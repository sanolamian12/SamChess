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amChess\docs\"/>
    </mc:Choice>
  </mc:AlternateContent>
  <xr:revisionPtr revIDLastSave="0" documentId="13_ncr:1_{9A49E606-8A15-4FE7-9176-E24645147486}" xr6:coauthVersionLast="47" xr6:coauthVersionMax="47" xr10:uidLastSave="{00000000-0000-0000-0000-000000000000}"/>
  <bookViews>
    <workbookView xWindow="-110" yWindow="-110" windowWidth="25820" windowHeight="13900" xr2:uid="{67B41BAA-AEF2-4AF0-8CD2-0E8DEEEF200D}"/>
  </bookViews>
  <sheets>
    <sheet name="고유 스킬" sheetId="1" r:id="rId1"/>
    <sheet name="책략" sheetId="13" r:id="rId2"/>
    <sheet name="오라매핑" sheetId="14" r:id="rId3"/>
    <sheet name="장수" sheetId="12" r:id="rId4"/>
    <sheet name="병종" sheetId="6" r:id="rId5"/>
    <sheet name="게임 환경" sheetId="7" r:id="rId6"/>
    <sheet name="도시 건물" sheetId="15" r:id="rId11"/>
  </sheets>
  <definedNames>
    <definedName name="_xlnm._FilterDatabase" localSheetId="0" hidden="1">'고유 스킬'!$A$1:$E$31</definedName>
    <definedName name="_xlnm._FilterDatabase" localSheetId="3" hidden="1">장수!$A$1:$H$261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6" i="7" l="1"/>
  <c r="H35" i="7"/>
  <c r="H34" i="7"/>
  <c r="H33" i="7"/>
  <c r="H32" i="7"/>
  <c r="E253" i="12"/>
  <c r="F253" i="12"/>
  <c r="F131" i="12"/>
  <c r="F85" i="12"/>
  <c r="F197" i="12"/>
  <c r="F10" i="12"/>
  <c r="F134" i="12"/>
  <c r="F62" i="12"/>
  <c r="F154" i="12"/>
  <c r="F215" i="12"/>
  <c r="F120" i="12"/>
  <c r="F229" i="12"/>
  <c r="F29" i="12"/>
  <c r="F108" i="12"/>
  <c r="F250" i="12"/>
  <c r="F158" i="12"/>
  <c r="F121" i="12"/>
  <c r="F49" i="12"/>
  <c r="F255" i="12"/>
  <c r="F234" i="12"/>
  <c r="F102" i="12"/>
  <c r="F112" i="12"/>
  <c r="F152" i="12"/>
  <c r="F125" i="12"/>
  <c r="F65" i="12"/>
  <c r="F124" i="12"/>
  <c r="F76" i="12"/>
  <c r="F98" i="12"/>
  <c r="F204" i="12"/>
  <c r="F27" i="12"/>
  <c r="F7" i="12"/>
  <c r="F221" i="12"/>
  <c r="F74" i="12"/>
  <c r="F218" i="12"/>
  <c r="F168" i="12"/>
  <c r="F225" i="12"/>
  <c r="F228" i="12"/>
  <c r="F25" i="12"/>
  <c r="F169" i="12"/>
  <c r="F123" i="12"/>
  <c r="F22" i="12"/>
  <c r="F223" i="12"/>
  <c r="F249" i="12"/>
  <c r="F109" i="12"/>
  <c r="F246" i="12"/>
  <c r="F56" i="12"/>
  <c r="F18" i="12"/>
  <c r="F99" i="12"/>
  <c r="F115" i="12"/>
  <c r="F138" i="12"/>
  <c r="F205" i="12"/>
  <c r="F200" i="12"/>
  <c r="F126" i="12"/>
  <c r="F77" i="12"/>
  <c r="F251" i="12"/>
  <c r="F96" i="12"/>
  <c r="F16" i="12"/>
  <c r="F55" i="12"/>
  <c r="F119" i="12"/>
  <c r="F20" i="12"/>
  <c r="F166" i="12"/>
  <c r="F172" i="12"/>
  <c r="F130" i="12"/>
  <c r="F113" i="12"/>
  <c r="F147" i="12"/>
  <c r="F208" i="12"/>
  <c r="F3" i="12"/>
  <c r="F51" i="12"/>
  <c r="F84" i="12"/>
  <c r="F64" i="12"/>
  <c r="F171" i="12"/>
  <c r="F31" i="12"/>
  <c r="F19" i="12"/>
  <c r="F86" i="12"/>
  <c r="F153" i="12"/>
  <c r="F83" i="12"/>
  <c r="F145" i="12"/>
  <c r="F52" i="12"/>
  <c r="F222" i="12"/>
  <c r="F95" i="12"/>
  <c r="F193" i="12"/>
  <c r="F36" i="12"/>
  <c r="F140" i="12"/>
  <c r="F242" i="12"/>
  <c r="F219" i="12"/>
  <c r="F235" i="12"/>
  <c r="F137" i="12"/>
  <c r="F12" i="12"/>
  <c r="F40" i="12"/>
  <c r="F231" i="12"/>
  <c r="F247" i="12"/>
  <c r="F37" i="12"/>
  <c r="F244" i="12"/>
  <c r="F90" i="12"/>
  <c r="F38" i="12"/>
  <c r="F148" i="12"/>
  <c r="F174" i="12"/>
  <c r="F17" i="12"/>
  <c r="F163" i="12"/>
  <c r="F13" i="12"/>
  <c r="F196" i="12"/>
  <c r="F150" i="12"/>
  <c r="F224" i="12"/>
  <c r="F110" i="12"/>
  <c r="F139" i="12"/>
  <c r="F248" i="12"/>
  <c r="F106" i="12"/>
  <c r="F32" i="12"/>
  <c r="F260" i="12"/>
  <c r="F48" i="12"/>
  <c r="F177" i="12"/>
  <c r="F46" i="12"/>
  <c r="F245" i="12"/>
  <c r="F178" i="12"/>
  <c r="F97" i="12"/>
  <c r="F100" i="12"/>
  <c r="F105" i="12"/>
  <c r="F156" i="12"/>
  <c r="F217" i="12"/>
  <c r="F165" i="12"/>
  <c r="F261" i="12"/>
  <c r="F129" i="12"/>
  <c r="F5" i="12"/>
  <c r="F30" i="12"/>
  <c r="F11" i="12"/>
  <c r="F132" i="12"/>
  <c r="F117" i="12"/>
  <c r="F81" i="12"/>
  <c r="F161" i="12"/>
  <c r="F28" i="12"/>
  <c r="F186" i="12"/>
  <c r="F254" i="12"/>
  <c r="F211" i="12"/>
  <c r="F101" i="12"/>
  <c r="F79" i="12"/>
  <c r="F128" i="12"/>
  <c r="F103" i="12"/>
  <c r="F9" i="12"/>
  <c r="F142" i="12"/>
  <c r="F232" i="12"/>
  <c r="F209" i="12"/>
  <c r="F241" i="12"/>
  <c r="F192" i="12"/>
  <c r="F220" i="12"/>
  <c r="F66" i="12"/>
  <c r="F230" i="12"/>
  <c r="F60" i="12"/>
  <c r="F53" i="12"/>
  <c r="F57" i="12"/>
  <c r="F135" i="12"/>
  <c r="F71" i="12"/>
  <c r="F92" i="12"/>
  <c r="F93" i="12"/>
  <c r="F104" i="12"/>
  <c r="F155" i="12"/>
  <c r="F141" i="12"/>
  <c r="F190" i="12"/>
  <c r="F159" i="12"/>
  <c r="F162" i="12"/>
  <c r="F146" i="12"/>
  <c r="F133" i="12"/>
  <c r="F14" i="12"/>
  <c r="F195" i="12"/>
  <c r="F183" i="12"/>
  <c r="F89" i="12"/>
  <c r="F21" i="12"/>
  <c r="F88" i="12"/>
  <c r="F173" i="12"/>
  <c r="F206" i="12"/>
  <c r="F238" i="12"/>
  <c r="F236" i="12"/>
  <c r="F54" i="12"/>
  <c r="F8" i="12"/>
  <c r="F239" i="12"/>
  <c r="F194" i="12"/>
  <c r="F160" i="12"/>
  <c r="F122" i="12"/>
  <c r="F189" i="12"/>
  <c r="F41" i="12"/>
  <c r="F114" i="12"/>
  <c r="F258" i="12"/>
  <c r="F73" i="12"/>
  <c r="F63" i="12"/>
  <c r="F182" i="12"/>
  <c r="F226" i="12"/>
  <c r="F210" i="12"/>
  <c r="F94" i="12"/>
  <c r="F45" i="12"/>
  <c r="F87" i="12"/>
  <c r="F61" i="12"/>
  <c r="F42" i="12"/>
  <c r="F149" i="12"/>
  <c r="F227" i="12"/>
  <c r="F70" i="12"/>
  <c r="F256" i="12"/>
  <c r="F213" i="12"/>
  <c r="F82" i="12"/>
  <c r="F44" i="12"/>
  <c r="F15" i="12"/>
  <c r="F207" i="12"/>
  <c r="F34" i="12"/>
  <c r="F188" i="12"/>
  <c r="F118" i="12"/>
  <c r="F91" i="12"/>
  <c r="F127" i="12"/>
  <c r="F180" i="12"/>
  <c r="F50" i="12"/>
  <c r="F252" i="12"/>
  <c r="F203" i="12"/>
  <c r="F116" i="12"/>
  <c r="F184" i="12"/>
  <c r="F2" i="12"/>
  <c r="F35" i="12"/>
  <c r="F214" i="12"/>
  <c r="F175" i="12"/>
  <c r="F216" i="12"/>
  <c r="F39" i="12"/>
  <c r="F199" i="12"/>
  <c r="F157" i="12"/>
  <c r="F136" i="12"/>
  <c r="F75" i="12"/>
  <c r="F185" i="12"/>
  <c r="F187" i="12"/>
  <c r="F170" i="12"/>
  <c r="F167" i="12"/>
  <c r="F72" i="12"/>
  <c r="F257" i="12"/>
  <c r="F68" i="12"/>
  <c r="F240" i="12"/>
  <c r="F202" i="12"/>
  <c r="F47" i="12"/>
  <c r="F4" i="12"/>
  <c r="F143" i="12"/>
  <c r="F164" i="12"/>
  <c r="F67" i="12"/>
  <c r="F24" i="12"/>
  <c r="F78" i="12"/>
  <c r="F33" i="12"/>
  <c r="F43" i="12"/>
  <c r="F59" i="12"/>
  <c r="F191" i="12"/>
  <c r="F58" i="12"/>
  <c r="F181" i="12"/>
  <c r="F179" i="12"/>
  <c r="F69" i="12"/>
  <c r="F237" i="12"/>
  <c r="F233" i="12"/>
  <c r="F26" i="12"/>
  <c r="F107" i="12"/>
  <c r="F243" i="12"/>
  <c r="F259" i="12"/>
  <c r="F80" i="12"/>
  <c r="F111" i="12"/>
  <c r="F176" i="12"/>
  <c r="F212" i="12"/>
  <c r="F151" i="12"/>
  <c r="F6" i="12"/>
  <c r="F201" i="12"/>
  <c r="F198" i="12"/>
  <c r="F23" i="12"/>
  <c r="F144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4" i="12"/>
  <c r="E255" i="12"/>
  <c r="E256" i="12"/>
  <c r="E257" i="12"/>
  <c r="E258" i="12"/>
  <c r="E259" i="12"/>
  <c r="E260" i="12"/>
  <c r="E261" i="12"/>
  <c r="E2" i="12"/>
</calcChain>
</file>

<file path=xl/sharedStrings.xml><?xml version="1.0" encoding="utf-8"?>
<sst xmlns="http://schemas.openxmlformats.org/spreadsheetml/2006/main" count="2688" uniqueCount="643">
  <si>
    <t>관우</t>
    <phoneticPr fontId="1" type="noConversion"/>
  </si>
  <si>
    <t>온주참화웅</t>
    <phoneticPr fontId="1" type="noConversion"/>
  </si>
  <si>
    <t>溫酒斬華雄</t>
    <phoneticPr fontId="1" type="noConversion"/>
  </si>
  <si>
    <t>이름</t>
    <phoneticPr fontId="1" type="noConversion"/>
  </si>
  <si>
    <t>캐릭터</t>
    <phoneticPr fontId="1" type="noConversion"/>
  </si>
  <si>
    <t>한자이름</t>
    <phoneticPr fontId="1" type="noConversion"/>
  </si>
  <si>
    <t>장비</t>
    <phoneticPr fontId="1" type="noConversion"/>
  </si>
  <si>
    <t>장판하뢰</t>
    <phoneticPr fontId="1" type="noConversion"/>
  </si>
  <si>
    <t>長坂河雷</t>
    <phoneticPr fontId="1" type="noConversion"/>
  </si>
  <si>
    <t>여포</t>
    <phoneticPr fontId="1" type="noConversion"/>
  </si>
  <si>
    <t>人中呂布 馬中赤兎</t>
    <phoneticPr fontId="1" type="noConversion"/>
  </si>
  <si>
    <t>인중여포 마중적토</t>
    <phoneticPr fontId="1" type="noConversion"/>
  </si>
  <si>
    <t>시전 효과</t>
    <phoneticPr fontId="1" type="noConversion"/>
  </si>
  <si>
    <t>캐릭터들의 통솔력 값으로 캐릭터 별 차례를 정함</t>
    <phoneticPr fontId="1" type="noConversion"/>
  </si>
  <si>
    <t>동일한 통솔력 값을 가진 캐릭터들은 랜덤하게 순서 배정</t>
    <phoneticPr fontId="1" type="noConversion"/>
  </si>
  <si>
    <t>게임 중에 동시에 waiting time 이 동시에 0에 도달한 캐릭터들도 랜덤하게 순서 배정</t>
    <phoneticPr fontId="1" type="noConversion"/>
  </si>
  <si>
    <t>한 케릭터당 5x5 필드를 제공하고, 중앙에 캐릭터가 위치하도록 해줌</t>
    <phoneticPr fontId="1" type="noConversion"/>
  </si>
  <si>
    <t>1분의 시간동안 아군 캐릭터들의 배치를 바꿀 수 있는 시간을 줌. 진영 안에서는 자유롭게 위치시킬 수 있음.</t>
    <phoneticPr fontId="1" type="noConversion"/>
  </si>
  <si>
    <t>조운</t>
    <phoneticPr fontId="1" type="noConversion"/>
  </si>
  <si>
    <t xml:space="preserve">간뇌도지 </t>
    <phoneticPr fontId="1" type="noConversion"/>
  </si>
  <si>
    <t>肝腦塗地</t>
    <phoneticPr fontId="1" type="noConversion"/>
  </si>
  <si>
    <t>황충</t>
    <phoneticPr fontId="1" type="noConversion"/>
  </si>
  <si>
    <t>백보천양</t>
    <phoneticPr fontId="1" type="noConversion"/>
  </si>
  <si>
    <t>百步穿楊</t>
    <phoneticPr fontId="1" type="noConversion"/>
  </si>
  <si>
    <t>마초</t>
    <phoneticPr fontId="1" type="noConversion"/>
  </si>
  <si>
    <t xml:space="preserve">용호상박 </t>
    <phoneticPr fontId="1" type="noConversion"/>
  </si>
  <si>
    <t>龍虎相搏</t>
    <phoneticPr fontId="1" type="noConversion"/>
  </si>
  <si>
    <t>하후돈</t>
    <phoneticPr fontId="1" type="noConversion"/>
  </si>
  <si>
    <t>허저</t>
    <phoneticPr fontId="1" type="noConversion"/>
  </si>
  <si>
    <t>張遼止啼</t>
    <phoneticPr fontId="1" type="noConversion"/>
  </si>
  <si>
    <t>장료</t>
    <phoneticPr fontId="1" type="noConversion"/>
  </si>
  <si>
    <t>장료지제</t>
    <phoneticPr fontId="1" type="noConversion"/>
  </si>
  <si>
    <t xml:space="preserve">세한지송백 </t>
    <phoneticPr fontId="1" type="noConversion"/>
  </si>
  <si>
    <t>방덕</t>
    <phoneticPr fontId="1" type="noConversion"/>
  </si>
  <si>
    <t>歲寒之松柏</t>
    <phoneticPr fontId="1" type="noConversion"/>
  </si>
  <si>
    <t>서황</t>
    <phoneticPr fontId="1" type="noConversion"/>
  </si>
  <si>
    <t xml:space="preserve">병귀신속 </t>
    <phoneticPr fontId="1" type="noConversion"/>
  </si>
  <si>
    <t>兵貴神速</t>
    <phoneticPr fontId="1" type="noConversion"/>
  </si>
  <si>
    <t>이동</t>
    <phoneticPr fontId="1" type="noConversion"/>
  </si>
  <si>
    <t>공격</t>
    <phoneticPr fontId="1" type="noConversion"/>
  </si>
  <si>
    <t>8방향 1칸</t>
    <phoneticPr fontId="1" type="noConversion"/>
  </si>
  <si>
    <t>Level</t>
    <phoneticPr fontId="1" type="noConversion"/>
  </si>
  <si>
    <t>아군 진영과 적군진영 사이에, 5x5 빈 필드를 각 진영의 참여 캐릭터 수 만큼 제공</t>
    <phoneticPr fontId="1" type="noConversion"/>
  </si>
  <si>
    <t>방통</t>
    <phoneticPr fontId="1" type="noConversion"/>
  </si>
  <si>
    <t>티어</t>
    <phoneticPr fontId="1" type="noConversion"/>
  </si>
  <si>
    <t>S</t>
    <phoneticPr fontId="1" type="noConversion"/>
  </si>
  <si>
    <t>제갈량</t>
    <phoneticPr fontId="1" type="noConversion"/>
  </si>
  <si>
    <t>차동풍</t>
    <phoneticPr fontId="1" type="noConversion"/>
  </si>
  <si>
    <t>借東風</t>
    <phoneticPr fontId="1" type="noConversion"/>
  </si>
  <si>
    <t>사마의</t>
    <phoneticPr fontId="1" type="noConversion"/>
  </si>
  <si>
    <t>주유</t>
    <phoneticPr fontId="1" type="noConversion"/>
  </si>
  <si>
    <t>苦肉之策</t>
    <phoneticPr fontId="1" type="noConversion"/>
  </si>
  <si>
    <t>고육지책</t>
    <phoneticPr fontId="1" type="noConversion"/>
  </si>
  <si>
    <t>백기겁위영</t>
    <phoneticPr fontId="1" type="noConversion"/>
  </si>
  <si>
    <t>감녕</t>
    <phoneticPr fontId="1" type="noConversion"/>
  </si>
  <si>
    <t>百騎劫魏營</t>
    <phoneticPr fontId="1" type="noConversion"/>
  </si>
  <si>
    <t>Rock</t>
    <phoneticPr fontId="1" type="noConversion"/>
  </si>
  <si>
    <t>Bishop</t>
    <phoneticPr fontId="1" type="noConversion"/>
  </si>
  <si>
    <t>King</t>
    <phoneticPr fontId="1" type="noConversion"/>
  </si>
  <si>
    <t>십자로 4칸</t>
    <phoneticPr fontId="1" type="noConversion"/>
  </si>
  <si>
    <t>대각 1칸</t>
    <phoneticPr fontId="1" type="noConversion"/>
  </si>
  <si>
    <t>대각 4칸</t>
    <phoneticPr fontId="1" type="noConversion"/>
  </si>
  <si>
    <t>4방향 1칸</t>
    <phoneticPr fontId="1" type="noConversion"/>
  </si>
  <si>
    <t>이동+공격범위</t>
    <phoneticPr fontId="1" type="noConversion"/>
  </si>
  <si>
    <t>25칸</t>
    <phoneticPr fontId="1" type="noConversion"/>
  </si>
  <si>
    <t>32칸</t>
    <phoneticPr fontId="1" type="noConversion"/>
  </si>
  <si>
    <t>Knight</t>
    <phoneticPr fontId="1" type="noConversion"/>
  </si>
  <si>
    <t>전진2+대각1칸</t>
    <phoneticPr fontId="1" type="noConversion"/>
  </si>
  <si>
    <t>41칸</t>
    <phoneticPr fontId="1" type="noConversion"/>
  </si>
  <si>
    <t>Queen</t>
    <phoneticPr fontId="1" type="noConversion"/>
  </si>
  <si>
    <t>8방향 3칸</t>
    <phoneticPr fontId="1" type="noConversion"/>
  </si>
  <si>
    <t>39칸</t>
    <phoneticPr fontId="1" type="noConversion"/>
  </si>
  <si>
    <t>8칸</t>
    <phoneticPr fontId="1" type="noConversion"/>
  </si>
  <si>
    <t>16칸</t>
    <phoneticPr fontId="1" type="noConversion"/>
  </si>
  <si>
    <t>24칸</t>
    <phoneticPr fontId="1" type="noConversion"/>
  </si>
  <si>
    <t>상하 1칸</t>
    <phoneticPr fontId="1" type="noConversion"/>
  </si>
  <si>
    <t>아군을 선택. 이번 게임동안 최대 HP가 2배가 됨. 현재 HP는 그대로</t>
    <phoneticPr fontId="1" type="noConversion"/>
  </si>
  <si>
    <t>순욱</t>
    <phoneticPr fontId="1" type="noConversion"/>
  </si>
  <si>
    <r>
      <t>驅虎</t>
    </r>
    <r>
      <rPr>
        <sz val="11"/>
        <color theme="1"/>
        <rFont val="Microsoft JhengHei"/>
        <family val="2"/>
        <charset val="136"/>
      </rPr>
      <t>吞狼</t>
    </r>
    <phoneticPr fontId="1" type="noConversion"/>
  </si>
  <si>
    <t>육손</t>
    <phoneticPr fontId="1" type="noConversion"/>
  </si>
  <si>
    <t>화소연영</t>
    <phoneticPr fontId="1" type="noConversion"/>
  </si>
  <si>
    <t>火燒連營</t>
    <phoneticPr fontId="1" type="noConversion"/>
  </si>
  <si>
    <t>連環計</t>
    <phoneticPr fontId="1" type="noConversion"/>
  </si>
  <si>
    <t>연환계</t>
    <phoneticPr fontId="1" type="noConversion"/>
  </si>
  <si>
    <t>單騎渡江</t>
    <phoneticPr fontId="1" type="noConversion"/>
  </si>
  <si>
    <t>단기도강</t>
    <phoneticPr fontId="1" type="noConversion"/>
  </si>
  <si>
    <t>가장 가까운 차례의 적군 2명을 내 유닛처럼 컨트롤 (이동+공격)</t>
    <phoneticPr fontId="1" type="noConversion"/>
  </si>
  <si>
    <t>Pawn</t>
    <phoneticPr fontId="1" type="noConversion"/>
  </si>
  <si>
    <t>태사자</t>
    <phoneticPr fontId="1" type="noConversion"/>
  </si>
  <si>
    <t>小霸王戰</t>
    <phoneticPr fontId="1" type="noConversion"/>
  </si>
  <si>
    <t>곽가</t>
    <phoneticPr fontId="1" type="noConversion"/>
  </si>
  <si>
    <t>遺言計策</t>
  </si>
  <si>
    <t>유언계책</t>
    <phoneticPr fontId="1" type="noConversion"/>
  </si>
  <si>
    <t>유비</t>
    <phoneticPr fontId="1" type="noConversion"/>
  </si>
  <si>
    <t>조조</t>
    <phoneticPr fontId="1" type="noConversion"/>
  </si>
  <si>
    <t>손권</t>
    <phoneticPr fontId="1" type="noConversion"/>
  </si>
  <si>
    <t>수성지주</t>
    <phoneticPr fontId="1" type="noConversion"/>
  </si>
  <si>
    <t>守成之主</t>
    <phoneticPr fontId="1" type="noConversion"/>
  </si>
  <si>
    <t>三顧草廬</t>
    <phoneticPr fontId="1" type="noConversion"/>
  </si>
  <si>
    <t>삼고초려</t>
    <phoneticPr fontId="1" type="noConversion"/>
  </si>
  <si>
    <t>여몽</t>
    <phoneticPr fontId="1" type="noConversion"/>
  </si>
  <si>
    <t>손견</t>
    <phoneticPr fontId="1" type="noConversion"/>
  </si>
  <si>
    <t>華容道 義釋曹操</t>
    <phoneticPr fontId="1" type="noConversion"/>
  </si>
  <si>
    <t>화용도 의석조조</t>
    <phoneticPr fontId="1" type="noConversion"/>
  </si>
  <si>
    <t>노숙</t>
    <phoneticPr fontId="1" type="noConversion"/>
  </si>
  <si>
    <t>백의도강</t>
    <phoneticPr fontId="1" type="noConversion"/>
  </si>
  <si>
    <t>白衣渡江</t>
    <phoneticPr fontId="1" type="noConversion"/>
  </si>
  <si>
    <t>江東之虎</t>
    <phoneticPr fontId="1" type="noConversion"/>
  </si>
  <si>
    <t>강동지호</t>
    <phoneticPr fontId="1" type="noConversion"/>
  </si>
  <si>
    <t>지곤상증</t>
    <phoneticPr fontId="1" type="noConversion"/>
  </si>
  <si>
    <t>指囷相贈</t>
    <phoneticPr fontId="1" type="noConversion"/>
  </si>
  <si>
    <t>모든 아군들의 HP 회복 (최대 체력의 30%)</t>
    <phoneticPr fontId="1" type="noConversion"/>
  </si>
  <si>
    <t>서서</t>
    <phoneticPr fontId="1" type="noConversion"/>
  </si>
  <si>
    <t>신재조영 심재촉</t>
    <phoneticPr fontId="1" type="noConversion"/>
  </si>
  <si>
    <t>身在曹營 心在蜀</t>
    <phoneticPr fontId="1" type="noConversion"/>
  </si>
  <si>
    <t>가후</t>
    <phoneticPr fontId="1" type="noConversion"/>
  </si>
  <si>
    <t xml:space="preserve">가후지책 </t>
    <phoneticPr fontId="1" type="noConversion"/>
  </si>
  <si>
    <t>賈詡之策</t>
    <phoneticPr fontId="1" type="noConversion"/>
  </si>
  <si>
    <t>소패왕전</t>
    <phoneticPr fontId="1" type="noConversion"/>
  </si>
  <si>
    <t>강유</t>
    <phoneticPr fontId="1" type="noConversion"/>
  </si>
  <si>
    <t>구벌중원</t>
    <phoneticPr fontId="1" type="noConversion"/>
  </si>
  <si>
    <t>九伐中圍</t>
  </si>
  <si>
    <t>모든 적군을 1번 내 유닛처럼 컨트롤 (이동만 가능)</t>
    <phoneticPr fontId="1" type="noConversion"/>
  </si>
  <si>
    <t>장합</t>
    <phoneticPr fontId="1" type="noConversion"/>
  </si>
  <si>
    <t>변화무쌍</t>
    <phoneticPr fontId="1" type="noConversion"/>
  </si>
  <si>
    <t>變化無雙</t>
    <phoneticPr fontId="1" type="noConversion"/>
  </si>
  <si>
    <t>time 100 마다, 아군과 적군 양쪽에 SP(Skill Point) 가 +1씩 쌓임</t>
    <phoneticPr fontId="1" type="noConversion"/>
  </si>
  <si>
    <t>게임에서 승리, 패배에 따라 코인이 모이고,</t>
    <phoneticPr fontId="1" type="noConversion"/>
  </si>
  <si>
    <t>필요 카드 수</t>
    <phoneticPr fontId="1" type="noConversion"/>
  </si>
  <si>
    <t>코인으로 카드를 구매. 카드는 랜덤하게 제공</t>
    <phoneticPr fontId="1" type="noConversion"/>
  </si>
  <si>
    <t>동일한 케릭터 카드 숫자가 일정량 모이면 Level up 가능</t>
    <phoneticPr fontId="1" type="noConversion"/>
  </si>
  <si>
    <t>나머지는 3:3, 5:5에 맞게 기물을 하나씩만 선택 가능</t>
    <phoneticPr fontId="1" type="noConversion"/>
  </si>
  <si>
    <t>4방향 2칸 (최대 2명 공격)</t>
    <phoneticPr fontId="1" type="noConversion"/>
  </si>
  <si>
    <t>1:1 부터 5:5 대전까지 지원</t>
    <phoneticPr fontId="1" type="noConversion"/>
  </si>
  <si>
    <t>King 은 반드시 선택해야 하고, King 이 군주임 (1:1은 군주전)</t>
    <phoneticPr fontId="1" type="noConversion"/>
  </si>
  <si>
    <t>각 기물에 대해 각 케릭터 카드를 배치</t>
    <phoneticPr fontId="1" type="noConversion"/>
  </si>
  <si>
    <t>상대방의 대장 King 을 잡으면 승리</t>
    <phoneticPr fontId="1" type="noConversion"/>
  </si>
  <si>
    <t>동탁</t>
  </si>
  <si>
    <t>화웅</t>
  </si>
  <si>
    <t>이유</t>
  </si>
  <si>
    <t>공융</t>
  </si>
  <si>
    <t>원술</t>
  </si>
  <si>
    <t>정보</t>
  </si>
  <si>
    <t>황개</t>
  </si>
  <si>
    <t>하후연</t>
  </si>
  <si>
    <t>조인</t>
  </si>
  <si>
    <t>조홍</t>
  </si>
  <si>
    <t>황권</t>
  </si>
  <si>
    <t>염포</t>
  </si>
  <si>
    <t>관훙</t>
  </si>
  <si>
    <t>마속</t>
  </si>
  <si>
    <t>서상</t>
  </si>
  <si>
    <t>요화</t>
  </si>
  <si>
    <t>사마가</t>
  </si>
  <si>
    <t>왕보</t>
  </si>
  <si>
    <t>손환</t>
  </si>
  <si>
    <t>장포</t>
  </si>
  <si>
    <t>주연</t>
  </si>
  <si>
    <t>전풍</t>
  </si>
  <si>
    <t>저수</t>
  </si>
  <si>
    <t>안량</t>
  </si>
  <si>
    <t>문추</t>
  </si>
  <si>
    <t>봉기</t>
  </si>
  <si>
    <t>손건</t>
  </si>
  <si>
    <t>순유</t>
  </si>
  <si>
    <t>정욱</t>
  </si>
  <si>
    <t>간옹</t>
  </si>
  <si>
    <t>허사</t>
  </si>
  <si>
    <t>차주</t>
  </si>
  <si>
    <t>심배</t>
  </si>
  <si>
    <t>곽도</t>
  </si>
  <si>
    <t>유표</t>
  </si>
  <si>
    <t>주영</t>
  </si>
  <si>
    <t>마등</t>
  </si>
  <si>
    <t>진림</t>
  </si>
  <si>
    <t>유엽</t>
  </si>
  <si>
    <t>장수</t>
  </si>
  <si>
    <t>고람</t>
  </si>
  <si>
    <t>순우경</t>
  </si>
  <si>
    <t>이이</t>
  </si>
  <si>
    <t>사정</t>
  </si>
  <si>
    <t>채모</t>
  </si>
  <si>
    <t>이적</t>
  </si>
  <si>
    <t>괴월</t>
  </si>
  <si>
    <t>문빙</t>
  </si>
  <si>
    <t>위연</t>
  </si>
  <si>
    <t>관평</t>
  </si>
  <si>
    <t>장소</t>
  </si>
  <si>
    <t>제갈근</t>
  </si>
  <si>
    <t>감택</t>
  </si>
  <si>
    <t>주창</t>
  </si>
  <si>
    <t>우번</t>
  </si>
  <si>
    <t>주태</t>
  </si>
  <si>
    <t>정봉</t>
  </si>
  <si>
    <t>서성</t>
  </si>
  <si>
    <t>능통</t>
  </si>
  <si>
    <t>진교</t>
  </si>
  <si>
    <t>반장</t>
  </si>
  <si>
    <t>마량</t>
  </si>
  <si>
    <t>형도영</t>
  </si>
  <si>
    <t>장송</t>
  </si>
  <si>
    <t>법정</t>
  </si>
  <si>
    <t>맹달</t>
  </si>
  <si>
    <t>왕누</t>
  </si>
  <si>
    <t>이회</t>
  </si>
  <si>
    <t>장임</t>
  </si>
  <si>
    <t>등현</t>
  </si>
  <si>
    <t>양회</t>
  </si>
  <si>
    <t>오의</t>
  </si>
  <si>
    <t>오란</t>
  </si>
  <si>
    <t>뇌동</t>
  </si>
  <si>
    <t>엄안</t>
  </si>
  <si>
    <t>마대</t>
  </si>
  <si>
    <t>장노</t>
  </si>
  <si>
    <t>조창</t>
  </si>
  <si>
    <t>조휴</t>
  </si>
  <si>
    <t>악진</t>
  </si>
  <si>
    <t>양안</t>
  </si>
  <si>
    <t>양망</t>
  </si>
  <si>
    <t>장획</t>
  </si>
  <si>
    <t>조식</t>
  </si>
  <si>
    <t>사마사</t>
  </si>
  <si>
    <t>사마소</t>
  </si>
  <si>
    <t>조진</t>
  </si>
  <si>
    <t>학소</t>
  </si>
  <si>
    <t>양수</t>
  </si>
  <si>
    <t>왕평</t>
  </si>
  <si>
    <t>이엄</t>
  </si>
  <si>
    <t>축융</t>
  </si>
  <si>
    <t>장완</t>
  </si>
  <si>
    <t>비위</t>
  </si>
  <si>
    <t>A</t>
    <phoneticPr fontId="1" type="noConversion"/>
  </si>
  <si>
    <t>B</t>
    <phoneticPr fontId="1" type="noConversion"/>
  </si>
  <si>
    <t xml:space="preserve">일당백 </t>
    <phoneticPr fontId="1" type="noConversion"/>
  </si>
  <si>
    <t>一當百</t>
    <phoneticPr fontId="1" type="noConversion"/>
  </si>
  <si>
    <t>신기묘산</t>
    <phoneticPr fontId="1" type="noConversion"/>
  </si>
  <si>
    <t xml:space="preserve"> 神機妙算</t>
    <phoneticPr fontId="1" type="noConversion"/>
  </si>
  <si>
    <t xml:space="preserve">용맹전진 </t>
    <phoneticPr fontId="1" type="noConversion"/>
  </si>
  <si>
    <t>勇往邁進</t>
    <phoneticPr fontId="1" type="noConversion"/>
  </si>
  <si>
    <t>시전 후, 조조 사망하면, HP 절반으로 렌덤한 위치에서 부활</t>
    <phoneticPr fontId="1" type="noConversion"/>
  </si>
  <si>
    <t xml:space="preserve">명경지수 </t>
    <phoneticPr fontId="1" type="noConversion"/>
  </si>
  <si>
    <t>明鏡止水</t>
    <phoneticPr fontId="1" type="noConversion"/>
  </si>
  <si>
    <t>신속</t>
    <phoneticPr fontId="1" type="noConversion"/>
  </si>
  <si>
    <t>神速</t>
    <phoneticPr fontId="1" type="noConversion"/>
  </si>
  <si>
    <t>S급은 SP 6, A급은 5, B급은 4일 때 특정 장군들은 고유 기술이 Enabled</t>
    <phoneticPr fontId="1" type="noConversion"/>
  </si>
  <si>
    <t>최대 SP 값은 해당 게임 참여한 아군 장수 숫자 x 5</t>
    <phoneticPr fontId="1" type="noConversion"/>
  </si>
  <si>
    <t>한천감우</t>
    <phoneticPr fontId="1" type="noConversion"/>
  </si>
  <si>
    <t>旱天甘雨</t>
    <phoneticPr fontId="1" type="noConversion"/>
  </si>
  <si>
    <t>자신 포함 주변 8방향에 있는 아군들이 HP 1씩 회복</t>
    <phoneticPr fontId="1" type="noConversion"/>
  </si>
  <si>
    <t>내 차례가 3번 돌아올 동안 waiting time -50</t>
    <phoneticPr fontId="1" type="noConversion"/>
  </si>
  <si>
    <t>내 차례가 한 번 돌아올 동안 waiting time -50</t>
    <phoneticPr fontId="1" type="noConversion"/>
  </si>
  <si>
    <t>아무 위치에 있는 적군 1명의 waiting time +90</t>
    <phoneticPr fontId="1" type="noConversion"/>
  </si>
  <si>
    <t>일격필살</t>
    <phoneticPr fontId="1" type="noConversion"/>
  </si>
  <si>
    <t>一擊必殺</t>
    <phoneticPr fontId="1" type="noConversion"/>
  </si>
  <si>
    <t>十面埋伏</t>
    <phoneticPr fontId="1" type="noConversion"/>
  </si>
  <si>
    <t>십면매복</t>
    <phoneticPr fontId="1" type="noConversion"/>
  </si>
  <si>
    <t>적의 SP 값을 1 내린다.</t>
    <phoneticPr fontId="1" type="noConversion"/>
  </si>
  <si>
    <t>釜底抽薪</t>
    <phoneticPr fontId="1" type="noConversion"/>
  </si>
  <si>
    <t>부저추신</t>
    <phoneticPr fontId="1" type="noConversion"/>
  </si>
  <si>
    <t>순위</t>
  </si>
  <si>
    <t>총 능력치</t>
  </si>
  <si>
    <t>팀 구성 (조합)</t>
  </si>
  <si>
    <t>조합 수</t>
  </si>
  <si>
    <t>1위</t>
  </si>
  <si>
    <t>30점</t>
  </si>
  <si>
    <t>S + S + S</t>
  </si>
  <si>
    <t>1개</t>
  </si>
  <si>
    <t>2위</t>
  </si>
  <si>
    <t>28점</t>
  </si>
  <si>
    <t>S + S + A</t>
  </si>
  <si>
    <t>3위</t>
  </si>
  <si>
    <t>26점</t>
  </si>
  <si>
    <t>2개</t>
  </si>
  <si>
    <t>4위</t>
  </si>
  <si>
    <t>24점</t>
  </si>
  <si>
    <t>3개</t>
  </si>
  <si>
    <t>5위</t>
  </si>
  <si>
    <t>22점</t>
  </si>
  <si>
    <t>4개</t>
  </si>
  <si>
    <t>6위</t>
  </si>
  <si>
    <t>20점</t>
  </si>
  <si>
    <t>7위</t>
  </si>
  <si>
    <t>18점</t>
  </si>
  <si>
    <t>5개</t>
  </si>
  <si>
    <t>8위</t>
  </si>
  <si>
    <t>16점</t>
  </si>
  <si>
    <t>9위</t>
  </si>
  <si>
    <t>14점</t>
  </si>
  <si>
    <t>10위</t>
  </si>
  <si>
    <t>12점</t>
  </si>
  <si>
    <t>11위</t>
  </si>
  <si>
    <t>10점</t>
  </si>
  <si>
    <t>12위</t>
  </si>
  <si>
    <t>8점</t>
  </si>
  <si>
    <t>C + D + D</t>
  </si>
  <si>
    <t>13위</t>
  </si>
  <si>
    <t>6점</t>
  </si>
  <si>
    <t>D + D + D</t>
  </si>
  <si>
    <t>S + S + B,
S + A + A</t>
    <phoneticPr fontId="1" type="noConversion"/>
  </si>
  <si>
    <t>S + S + C,
S + A + B,
A + A + A</t>
    <phoneticPr fontId="1" type="noConversion"/>
  </si>
  <si>
    <t>S + S + D,
S + A + C,
S + B + B,
A + A + B</t>
    <phoneticPr fontId="1" type="noConversion"/>
  </si>
  <si>
    <t>S + A + D, 
S + B + C, 
A + A + C, 
A + B + B</t>
    <phoneticPr fontId="1" type="noConversion"/>
  </si>
  <si>
    <t>S + B + D, 
S + C + C, 
A + A + D, 
A + B + C, 
B + B + B</t>
    <phoneticPr fontId="1" type="noConversion"/>
  </si>
  <si>
    <t>S + C + D, 
A + B + D, 
A + C + C, 
B + B + C</t>
    <phoneticPr fontId="1" type="noConversion"/>
  </si>
  <si>
    <t>S + D + D, 
A + C + D, 
B + B + D, 
B + C + C</t>
    <phoneticPr fontId="1" type="noConversion"/>
  </si>
  <si>
    <t>A + D + D, 
B + C + D, 
C + C + C</t>
    <phoneticPr fontId="1" type="noConversion"/>
  </si>
  <si>
    <t>B + D + D, 
C + C + D</t>
    <phoneticPr fontId="1" type="noConversion"/>
  </si>
  <si>
    <t>도시 레벨에 따른 군량 충전 량 및 보유 캐릭터 풀</t>
    <phoneticPr fontId="1" type="noConversion"/>
  </si>
  <si>
    <t>보유 캐릭터</t>
    <phoneticPr fontId="1" type="noConversion"/>
  </si>
  <si>
    <r>
      <rPr>
        <b/>
        <sz val="11"/>
        <color theme="1"/>
        <rFont val="맑은 고딕"/>
        <family val="2"/>
        <charset val="129"/>
      </rPr>
      <t>레벨</t>
    </r>
    <phoneticPr fontId="1" type="noConversion"/>
  </si>
  <si>
    <t>필요 자재</t>
    <phoneticPr fontId="1" type="noConversion"/>
  </si>
  <si>
    <t>시간당 충전</t>
    <phoneticPr fontId="1" type="noConversion"/>
  </si>
  <si>
    <t>최대 군량</t>
    <phoneticPr fontId="1" type="noConversion"/>
  </si>
  <si>
    <t>적군 전체의 MP를 0으로 만듦</t>
    <phoneticPr fontId="1" type="noConversion"/>
  </si>
  <si>
    <t>33칸</t>
    <phoneticPr fontId="1" type="noConversion"/>
  </si>
  <si>
    <t>이름</t>
  </si>
  <si>
    <t>무력</t>
  </si>
  <si>
    <t>지력</t>
  </si>
  <si>
    <t>통솔력</t>
  </si>
  <si>
    <t>소속</t>
  </si>
  <si>
    <t>유비군</t>
  </si>
  <si>
    <t>동탁군</t>
  </si>
  <si>
    <t>여포</t>
  </si>
  <si>
    <t>여포군</t>
  </si>
  <si>
    <t>공융군</t>
  </si>
  <si>
    <t>조조</t>
  </si>
  <si>
    <t>조조군</t>
  </si>
  <si>
    <t>원소</t>
  </si>
  <si>
    <t>원소군</t>
  </si>
  <si>
    <t>손견</t>
  </si>
  <si>
    <t>손권군</t>
  </si>
  <si>
    <t>원술군</t>
  </si>
  <si>
    <t>공손찬</t>
  </si>
  <si>
    <t>공손찬군</t>
  </si>
  <si>
    <t>유장군</t>
  </si>
  <si>
    <t>도겸</t>
  </si>
  <si>
    <t>도겸군</t>
  </si>
  <si>
    <t>하후돈</t>
  </si>
  <si>
    <t>이숙</t>
  </si>
  <si>
    <t>호진</t>
  </si>
  <si>
    <t>양앙</t>
  </si>
  <si>
    <t>장노군</t>
  </si>
  <si>
    <t>무소속</t>
  </si>
  <si>
    <t>공손월</t>
  </si>
  <si>
    <t>조표</t>
  </si>
  <si>
    <t>조잠</t>
  </si>
  <si>
    <t>여건</t>
  </si>
  <si>
    <t>유표군</t>
  </si>
  <si>
    <t>이풍</t>
  </si>
  <si>
    <t>순상</t>
  </si>
  <si>
    <t>두습</t>
  </si>
  <si>
    <t>조루</t>
  </si>
  <si>
    <t>유대</t>
  </si>
  <si>
    <t>장막</t>
  </si>
  <si>
    <t>원윤</t>
  </si>
  <si>
    <t>한당</t>
  </si>
  <si>
    <t>이각</t>
  </si>
  <si>
    <t>곽사</t>
  </si>
  <si>
    <t>서영</t>
  </si>
  <si>
    <t>조운</t>
  </si>
  <si>
    <t>허유</t>
  </si>
  <si>
    <t>진진</t>
  </si>
  <si>
    <t>경무</t>
  </si>
  <si>
    <t>관순</t>
  </si>
  <si>
    <t>엄강</t>
  </si>
  <si>
    <t>국의</t>
  </si>
  <si>
    <t>곽가</t>
  </si>
  <si>
    <t>우금</t>
  </si>
  <si>
    <t>미축</t>
  </si>
  <si>
    <t>진등</t>
  </si>
  <si>
    <t>악취</t>
  </si>
  <si>
    <t>허저</t>
  </si>
  <si>
    <t>순욱</t>
  </si>
  <si>
    <t>동소</t>
  </si>
  <si>
    <t>진기</t>
  </si>
  <si>
    <t>고순</t>
  </si>
  <si>
    <t>위속</t>
  </si>
  <si>
    <t>송겸</t>
  </si>
  <si>
    <t>진궁</t>
  </si>
  <si>
    <t>서황</t>
  </si>
  <si>
    <t>장요</t>
  </si>
  <si>
    <t>후성</t>
  </si>
  <si>
    <t>미방</t>
  </si>
  <si>
    <t>만총</t>
  </si>
  <si>
    <t>왕개</t>
  </si>
  <si>
    <t>학맹</t>
  </si>
  <si>
    <t>조성</t>
  </si>
  <si>
    <t>손관</t>
  </si>
  <si>
    <t>오반</t>
  </si>
  <si>
    <t>가후</t>
  </si>
  <si>
    <t>노소</t>
  </si>
  <si>
    <t>마등군</t>
  </si>
  <si>
    <t>왕충</t>
  </si>
  <si>
    <t>장합</t>
  </si>
  <si>
    <t>한맹</t>
  </si>
  <si>
    <t>장기</t>
  </si>
  <si>
    <t>마충</t>
  </si>
  <si>
    <t>신명</t>
  </si>
  <si>
    <t>서서</t>
  </si>
  <si>
    <t>유기</t>
  </si>
  <si>
    <t>이전</t>
  </si>
  <si>
    <t>유봉</t>
  </si>
  <si>
    <t>장무</t>
  </si>
  <si>
    <t>진손</t>
  </si>
  <si>
    <t>유종</t>
  </si>
  <si>
    <t>왕위</t>
  </si>
  <si>
    <t>여광</t>
  </si>
  <si>
    <t>여상</t>
  </si>
  <si>
    <t>제갈량</t>
  </si>
  <si>
    <t>하후란</t>
  </si>
  <si>
    <t>한조</t>
  </si>
  <si>
    <t>장윤</t>
  </si>
  <si>
    <t>이규</t>
  </si>
  <si>
    <t>방통</t>
  </si>
  <si>
    <t>왕찬</t>
  </si>
  <si>
    <t>송충</t>
  </si>
  <si>
    <t>하후은</t>
  </si>
  <si>
    <t>안명</t>
  </si>
  <si>
    <t>마연</t>
  </si>
  <si>
    <t>초촉</t>
  </si>
  <si>
    <t>장남</t>
  </si>
  <si>
    <t>하후걸</t>
  </si>
  <si>
    <t>손권</t>
  </si>
  <si>
    <t>주유</t>
  </si>
  <si>
    <t>노숙</t>
  </si>
  <si>
    <t>감녕</t>
  </si>
  <si>
    <t>여몽</t>
  </si>
  <si>
    <t>태사자</t>
  </si>
  <si>
    <t>육손</t>
  </si>
  <si>
    <t>포용</t>
  </si>
  <si>
    <t>채양</t>
  </si>
  <si>
    <t>채중</t>
  </si>
  <si>
    <t>고옹</t>
  </si>
  <si>
    <t>보즐</t>
  </si>
  <si>
    <t>설종</t>
  </si>
  <si>
    <t>육적</t>
  </si>
  <si>
    <t>엄준</t>
  </si>
  <si>
    <t>장흥</t>
  </si>
  <si>
    <t>채훈</t>
  </si>
  <si>
    <t>진무</t>
  </si>
  <si>
    <t>모개</t>
  </si>
  <si>
    <t>황충</t>
  </si>
  <si>
    <t>조순</t>
  </si>
  <si>
    <t>유도</t>
  </si>
  <si>
    <t>유현</t>
  </si>
  <si>
    <t>조범</t>
  </si>
  <si>
    <t>진응</t>
  </si>
  <si>
    <t>금선</t>
  </si>
  <si>
    <t>공지</t>
  </si>
  <si>
    <t>한현</t>
  </si>
  <si>
    <t>양령</t>
  </si>
  <si>
    <t>손유</t>
  </si>
  <si>
    <t>여범</t>
  </si>
  <si>
    <t>유장</t>
  </si>
  <si>
    <t>마초</t>
  </si>
  <si>
    <t>유괴</t>
  </si>
  <si>
    <t>냉포</t>
  </si>
  <si>
    <t>고패</t>
  </si>
  <si>
    <t>장위</t>
  </si>
  <si>
    <t>양임</t>
  </si>
  <si>
    <t>곽준</t>
  </si>
  <si>
    <t>진식</t>
  </si>
  <si>
    <t>하후상</t>
  </si>
  <si>
    <t>하후덕</t>
  </si>
  <si>
    <t>조비</t>
  </si>
  <si>
    <t>사마의</t>
  </si>
  <si>
    <t>방덕</t>
  </si>
  <si>
    <t>관해</t>
  </si>
  <si>
    <t>왕철</t>
  </si>
  <si>
    <t>장연</t>
  </si>
  <si>
    <t>번궁</t>
  </si>
  <si>
    <t>우칙</t>
  </si>
  <si>
    <t>주비</t>
  </si>
  <si>
    <t>조하</t>
  </si>
  <si>
    <t>후루</t>
  </si>
  <si>
    <t>진장</t>
  </si>
  <si>
    <t>동량</t>
  </si>
  <si>
    <t>이웅</t>
  </si>
  <si>
    <t>엄쌍</t>
  </si>
  <si>
    <t>주강</t>
  </si>
  <si>
    <t>오조</t>
  </si>
  <si>
    <t>맹숙</t>
  </si>
  <si>
    <t>정덕</t>
  </si>
  <si>
    <t>고창</t>
  </si>
  <si>
    <t>송비</t>
  </si>
  <si>
    <t>강유</t>
  </si>
  <si>
    <t>한영</t>
  </si>
  <si>
    <t>곽적</t>
  </si>
  <si>
    <t>양현</t>
  </si>
  <si>
    <t>유벽</t>
  </si>
  <si>
    <t>유순</t>
  </si>
  <si>
    <t>양송</t>
  </si>
  <si>
    <t>유선</t>
  </si>
  <si>
    <t>비관</t>
  </si>
  <si>
    <t>한섬</t>
  </si>
  <si>
    <t>이명</t>
  </si>
  <si>
    <t>등급</t>
    <phoneticPr fontId="1" type="noConversion"/>
  </si>
  <si>
    <t>S</t>
  </si>
  <si>
    <t>B</t>
  </si>
  <si>
    <t>A</t>
  </si>
  <si>
    <t>합계</t>
    <phoneticPr fontId="1" type="noConversion"/>
  </si>
  <si>
    <t>D</t>
    <phoneticPr fontId="1" type="noConversion"/>
  </si>
  <si>
    <t>C</t>
    <phoneticPr fontId="1" type="noConversion"/>
  </si>
  <si>
    <t>최고점</t>
    <phoneticPr fontId="1" type="noConversion"/>
  </si>
  <si>
    <t>진궁</t>
    <phoneticPr fontId="1" type="noConversion"/>
  </si>
  <si>
    <t>食少事煩</t>
  </si>
  <si>
    <t>식소사번</t>
    <phoneticPr fontId="1" type="noConversion"/>
  </si>
  <si>
    <t>time 190 동안 공격 대상이 되지 않음</t>
    <phoneticPr fontId="1" type="noConversion"/>
  </si>
  <si>
    <t>time 190 동안 맵 어디든지 이동할 수 있음</t>
    <phoneticPr fontId="1" type="noConversion"/>
  </si>
  <si>
    <t>아군 1명을 지정. time 290 동안 그가 받는 데미지가 절반이 됨, 모든 적군의 공격 데미지를 그가 대신 받음</t>
    <phoneticPr fontId="1" type="noConversion"/>
  </si>
  <si>
    <t>time 190 동안 모든 아군 Critical 100% 발동</t>
    <phoneticPr fontId="1" type="noConversion"/>
  </si>
  <si>
    <t>time 490 동안 받는 내가 데미지가 절반이 됨</t>
    <phoneticPr fontId="1" type="noConversion"/>
  </si>
  <si>
    <t>지금 즉시 모든 적군을 한 번씩 공격</t>
    <phoneticPr fontId="1" type="noConversion"/>
  </si>
  <si>
    <t>시전 후, 곽가 사망하면, 이로부터 time 290 후 적 군주 제외한 적 렌덤 1명 사망</t>
    <phoneticPr fontId="1" type="noConversion"/>
  </si>
  <si>
    <t>맵 중 어디든지 한 번 이동, time 290 동안 내 반경 2칸 이내 적의 공격력이 절반이 됨</t>
    <phoneticPr fontId="1" type="noConversion"/>
  </si>
  <si>
    <t>time 290 동안 Critical 100% 발동, 내가 받는 데미지가 절반이 됨</t>
    <phoneticPr fontId="1" type="noConversion"/>
  </si>
  <si>
    <t>time 190 동안 아무 위치의 적 1개를 공격 가능. Critical 100% 발동</t>
    <phoneticPr fontId="1" type="noConversion"/>
  </si>
  <si>
    <t>time 490 동안 Critical 100% 발동</t>
    <phoneticPr fontId="1" type="noConversion"/>
  </si>
  <si>
    <t>시전 후, time 490 안에, 매 공격 후 공격력+1 누적 최대 9번까지. 이후 초기화</t>
    <phoneticPr fontId="1" type="noConversion"/>
  </si>
  <si>
    <t>시전 후, time 490 안에 유비에게 3번 공격을 받은 적군은 우리편이 됨</t>
    <phoneticPr fontId="1" type="noConversion"/>
  </si>
  <si>
    <t>time 290 동안, 적이 나를 공격하면 반격함</t>
    <phoneticPr fontId="1" type="noConversion"/>
  </si>
  <si>
    <t>time 190 동안 모든 아군이 거는 환술이 100% 발동</t>
    <phoneticPr fontId="1" type="noConversion"/>
  </si>
  <si>
    <t>time 190 동안 Critical 100% 발동</t>
    <phoneticPr fontId="1" type="noConversion"/>
  </si>
  <si>
    <t xml:space="preserve">time 90 동안 나의 환술 성공률 100% </t>
    <phoneticPr fontId="1" type="noConversion"/>
  </si>
  <si>
    <t>time 190 동안 내가 받는 데미지가 절반이 됨</t>
    <phoneticPr fontId="1" type="noConversion"/>
  </si>
  <si>
    <t xml:space="preserve">time 190 동안 책략/환술 시 MP 소모량 0 </t>
    <phoneticPr fontId="1" type="noConversion"/>
  </si>
  <si>
    <t>time 90 동안 Critical 100% 발동</t>
    <phoneticPr fontId="1" type="noConversion"/>
  </si>
  <si>
    <t>time 290 동안 time 100 마다 전 적군이 자신 최대 HP의 10%씩 감소</t>
    <phoneticPr fontId="1" type="noConversion"/>
  </si>
  <si>
    <t>맵 중 1칸에 time 90 마다 HP 1씩 회복되는 지형을 만듦</t>
    <phoneticPr fontId="1" type="noConversion"/>
  </si>
  <si>
    <t>적군 1명 지정. 둘 중 하나가 사망할 때까지 서로는 서로만 공격할 수 있음</t>
    <phoneticPr fontId="1" type="noConversion"/>
  </si>
  <si>
    <t>time 190 동안 자신 포함 내 반경 1칸 이내 아군이 받는 데미지가 절반이 됨</t>
    <phoneticPr fontId="1" type="noConversion"/>
  </si>
  <si>
    <t>모든 아군이 이번 게임에서 고유 스킬을 두 번 사용할 수 있음</t>
    <phoneticPr fontId="1" type="noConversion"/>
  </si>
  <si>
    <t>스킬을 시전한 후 time 190 안에 처음으로 공격 받은 대상은 반드시 사망</t>
    <phoneticPr fontId="1" type="noConversion"/>
  </si>
  <si>
    <t>모든 적군의 waiting time + 150 (한턴 쉬는 효과)</t>
    <phoneticPr fontId="1" type="noConversion"/>
  </si>
  <si>
    <t>헌제</t>
    <phoneticPr fontId="1" type="noConversion"/>
  </si>
  <si>
    <t>황제군</t>
    <phoneticPr fontId="1" type="noConversion"/>
  </si>
  <si>
    <t>E</t>
    <phoneticPr fontId="1" type="noConversion"/>
  </si>
  <si>
    <t>황제옹립</t>
    <phoneticPr fontId="1" type="noConversion"/>
  </si>
  <si>
    <t>皇帝擁立</t>
    <phoneticPr fontId="1" type="noConversion"/>
  </si>
  <si>
    <t>고유 기술은 한 게임당 자기 턴에서 한 번 쓸 수 있음</t>
    <phoneticPr fontId="1" type="noConversion"/>
  </si>
  <si>
    <t>time 990 동안 공격 대상이 되지 않음</t>
    <phoneticPr fontId="1" type="noConversion"/>
  </si>
  <si>
    <t>E(Emperor)급 SP 7</t>
    <phoneticPr fontId="1" type="noConversion"/>
  </si>
  <si>
    <t>기령</t>
    <phoneticPr fontId="1" type="noConversion"/>
  </si>
  <si>
    <t>time 190 동안 Critical 100% 발동</t>
  </si>
  <si>
    <t>time 90 동안 나의 환술 성공률 100%</t>
  </si>
  <si>
    <t>time 190 동안 내가 받는 데미지가 절반이 됨</t>
  </si>
  <si>
    <t>time 190 동안 책략/환술 시 MP 소모량 0</t>
  </si>
  <si>
    <t>내 차례가 한 번 돌아올 동안 waiting time -50</t>
  </si>
  <si>
    <t>time 90 동안 Critical 100% 발동</t>
  </si>
  <si>
    <t>아무 위치에 있는 적군 1명의 waiting time +90</t>
  </si>
  <si>
    <t>자신 포함 주변 8방향에 있는 아군들이 HP 1씩 회복</t>
  </si>
  <si>
    <t>적의 SP 값을 1 내린다.</t>
  </si>
  <si>
    <t>적군 1명을 지정. 그 적은 게임이 끝날 때 까지 time 110 마다 HP 1 감소</t>
    <phoneticPr fontId="1" type="noConversion"/>
  </si>
  <si>
    <t>구호탄랑</t>
    <phoneticPr fontId="1" type="noConversion"/>
  </si>
  <si>
    <t>장로</t>
    <phoneticPr fontId="1" type="noConversion"/>
  </si>
  <si>
    <t>회</t>
    <phoneticPr fontId="1" type="noConversion"/>
  </si>
  <si>
    <t>장</t>
    <phoneticPr fontId="1" type="noConversion"/>
  </si>
  <si>
    <t>명</t>
    <phoneticPr fontId="1" type="noConversion"/>
  </si>
  <si>
    <t>냥</t>
    <phoneticPr fontId="1" type="noConversion"/>
  </si>
  <si>
    <t>원</t>
    <phoneticPr fontId="1" type="noConversion"/>
  </si>
  <si>
    <t>만원</t>
    <phoneticPr fontId="1" type="noConversion"/>
  </si>
  <si>
    <t>오라 타입</t>
    <phoneticPr fontId="1" type="noConversion"/>
  </si>
  <si>
    <t>데미지 반감</t>
    <phoneticPr fontId="1" type="noConversion"/>
  </si>
  <si>
    <t>유형</t>
    <phoneticPr fontId="1" type="noConversion"/>
  </si>
  <si>
    <t>HP 감소</t>
    <phoneticPr fontId="1" type="noConversion"/>
  </si>
  <si>
    <t>아군 1인</t>
    <phoneticPr fontId="1" type="noConversion"/>
  </si>
  <si>
    <t>적군 전체</t>
    <phoneticPr fontId="1" type="noConversion"/>
  </si>
  <si>
    <t>무적</t>
    <phoneticPr fontId="1" type="noConversion"/>
  </si>
  <si>
    <t>크리티컬</t>
    <phoneticPr fontId="1" type="noConversion"/>
  </si>
  <si>
    <t>아군 전체</t>
    <phoneticPr fontId="1" type="noConversion"/>
  </si>
  <si>
    <t>자유 이동</t>
    <phoneticPr fontId="1" type="noConversion"/>
  </si>
  <si>
    <t>아군 자신</t>
    <phoneticPr fontId="1" type="noConversion"/>
  </si>
  <si>
    <t>아군 다수</t>
    <phoneticPr fontId="1" type="noConversion"/>
  </si>
  <si>
    <t>적군 1인</t>
  </si>
  <si>
    <t>적군 1인</t>
    <phoneticPr fontId="1" type="noConversion"/>
  </si>
  <si>
    <t>컨트롤 탈취</t>
    <phoneticPr fontId="1" type="noConversion"/>
  </si>
  <si>
    <t>적군 2인</t>
    <phoneticPr fontId="1" type="noConversion"/>
  </si>
  <si>
    <t>시한부 사망</t>
    <phoneticPr fontId="1" type="noConversion"/>
  </si>
  <si>
    <t>오라 대상</t>
    <phoneticPr fontId="1" type="noConversion"/>
  </si>
  <si>
    <t>환술성공</t>
    <phoneticPr fontId="1" type="noConversion"/>
  </si>
  <si>
    <t>적공격 절반</t>
    <phoneticPr fontId="1" type="noConversion"/>
  </si>
  <si>
    <t>적군 다수</t>
    <phoneticPr fontId="1" type="noConversion"/>
  </si>
  <si>
    <t>즉사</t>
    <phoneticPr fontId="1" type="noConversion"/>
  </si>
  <si>
    <t>데미지반감+크리티컬</t>
    <phoneticPr fontId="1" type="noConversion"/>
  </si>
  <si>
    <t>조건부 컨트롤 탈취</t>
    <phoneticPr fontId="1" type="noConversion"/>
  </si>
  <si>
    <t>조건 달성된 적군</t>
    <phoneticPr fontId="1" type="noConversion"/>
  </si>
  <si>
    <t>공격력 누적</t>
    <phoneticPr fontId="1" type="noConversion"/>
  </si>
  <si>
    <t>반격</t>
    <phoneticPr fontId="1" type="noConversion"/>
  </si>
  <si>
    <t>HP 회복</t>
    <phoneticPr fontId="1" type="noConversion"/>
  </si>
  <si>
    <t>조건부 아군 1인</t>
    <phoneticPr fontId="1" type="noConversion"/>
  </si>
  <si>
    <t>쌍방 공격 강제</t>
    <phoneticPr fontId="1" type="noConversion"/>
  </si>
  <si>
    <t>아군 자신, 적군 1인</t>
    <phoneticPr fontId="1" type="noConversion"/>
  </si>
  <si>
    <t>시간 조절</t>
    <phoneticPr fontId="1" type="noConversion"/>
  </si>
  <si>
    <t>사망후 부활</t>
    <phoneticPr fontId="1" type="noConversion"/>
  </si>
  <si>
    <t>F</t>
    <phoneticPr fontId="1" type="noConversion"/>
  </si>
  <si>
    <t>MP 소모 0</t>
  </si>
  <si>
    <t>MP 소모 0</t>
    <phoneticPr fontId="1" type="noConversion"/>
  </si>
  <si>
    <t>대기시간 증가</t>
    <phoneticPr fontId="1" type="noConversion"/>
  </si>
  <si>
    <t>HP 증가</t>
    <phoneticPr fontId="1" type="noConversion"/>
  </si>
  <si>
    <t>증폭</t>
  </si>
  <si>
    <t>아군 1명의 1회 공격을 Critical 100% 로 만들어줌</t>
  </si>
  <si>
    <t>반감</t>
  </si>
  <si>
    <t>아군 1명이 1번, 받는 데미지가 절반이 됨</t>
  </si>
  <si>
    <t>회복</t>
  </si>
  <si>
    <t>8방향 내 아군 1명의 HP 회복 (최대 체력의 20%)</t>
  </si>
  <si>
    <t>결계</t>
  </si>
  <si>
    <t>화계/진화</t>
  </si>
  <si>
    <t>수계/매립</t>
  </si>
  <si>
    <t>선공</t>
  </si>
  <si>
    <t>대회복</t>
  </si>
  <si>
    <t>8방향 내 아군들의 HP 회복 (최대 체력의 20%)</t>
  </si>
  <si>
    <t>time 200 동안 아군 1명이 환술에 걸리지 않음. 모든 환술 무효</t>
  </si>
  <si>
    <t>가로 1 x 세로 1 영역에 time 100 마다 HP 1씩 감소하는 지형 생성</t>
  </si>
  <si>
    <t>맵 중 가로 1 x 세로 1 영역에 유닛을 위치시킬 수 없는 지형 생성</t>
  </si>
  <si>
    <t>아군 1명의 waiting time -100</t>
  </si>
  <si>
    <t>공포</t>
  </si>
  <si>
    <t>time 200 동안 적군 1명의 공격력이 절반이 됨</t>
  </si>
  <si>
    <t>침묵</t>
  </si>
  <si>
    <t>time 200 동안 적군 1명이 버프/환술을 사용할 수 없음</t>
  </si>
  <si>
    <t>함정</t>
  </si>
  <si>
    <t>적군 1명의 waiting time +50, HP 1 감소</t>
  </si>
  <si>
    <t>탈진</t>
  </si>
  <si>
    <t>time 200 마다 체력이 1씩 감소 (결계로 해제 가능)</t>
  </si>
  <si>
    <t>유인</t>
  </si>
  <si>
    <t>적군 1명을 컨트롤: 이동만 가능</t>
  </si>
  <si>
    <t>경직</t>
  </si>
  <si>
    <t>적군 1명의 waiting time +100</t>
  </si>
  <si>
    <t>질병</t>
  </si>
  <si>
    <t>time 100 마다 체력이 1씩 감소 (결계로 해제 가능)</t>
  </si>
  <si>
    <t>초선</t>
  </si>
  <si>
    <t>적군 1명을 컨트롤: 이동+공격</t>
  </si>
  <si>
    <t>환술</t>
    <phoneticPr fontId="1" type="noConversion"/>
  </si>
  <si>
    <t>지원책</t>
    <phoneticPr fontId="1" type="noConversion"/>
  </si>
  <si>
    <t>환술 무효</t>
    <phoneticPr fontId="1" type="noConversion"/>
  </si>
  <si>
    <t>적 책략 차단</t>
    <phoneticPr fontId="1" type="noConversion"/>
  </si>
  <si>
    <t>사용한 고유기술 리셋</t>
    <phoneticPr fontId="1" type="noConversion"/>
  </si>
  <si>
    <t>G</t>
    <phoneticPr fontId="1" type="noConversion"/>
  </si>
  <si>
    <t>SP 감소</t>
    <phoneticPr fontId="1" type="noConversion"/>
  </si>
  <si>
    <t>적 SP</t>
    <phoneticPr fontId="1" type="noConversion"/>
  </si>
  <si>
    <t>적</t>
    <phoneticPr fontId="1" type="noConversion"/>
  </si>
  <si>
    <t>MP 0으로</t>
    <phoneticPr fontId="1" type="noConversion"/>
  </si>
  <si>
    <t>발시담정</t>
    <phoneticPr fontId="1" type="noConversion"/>
  </si>
  <si>
    <t>拔矢啖睛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</si>
</sst>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icrosoft JhengHei"/>
      <family val="2"/>
      <charset val="136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맑은 고딕"/>
      <family val="2"/>
      <charset val="129"/>
    </font>
    <font>
      <sz val="11"/>
      <color rgb="FFC000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9" fontId="0" fillId="0" borderId="0" xfId="0" applyNumberFormat="1">
      <alignment vertical="center"/>
    </xf>
    <xf numFmtId="0" fontId="7" fillId="5" borderId="0" xfId="0" applyFont="1" applyFill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9257-A4BA-4664-86A0-27A3B586B2CF}">
  <sheetPr codeName="Sheet1"/>
  <dimension ref="A1:N141"/>
  <sheetViews>
    <sheetView tabSelected="1" workbookViewId="0">
      <selection activeCell="E7" sqref="E7"/>
    </sheetView>
  </sheetViews>
  <sheetFormatPr defaultRowHeight="17" x14ac:dyDescent="0.45"/>
  <cols>
    <col min="1" max="1" width="4.83203125" bestFit="1" customWidth="1"/>
    <col min="3" max="4" width="17" bestFit="1" customWidth="1"/>
    <col min="5" max="5" width="49.5" bestFit="1" customWidth="1"/>
    <col min="8" max="8" width="9.1640625" bestFit="1" customWidth="1"/>
    <col min="9" max="9" width="19.58203125" bestFit="1" customWidth="1"/>
    <col min="10" max="10" width="9.1640625" bestFit="1" customWidth="1"/>
    <col min="11" max="11" width="8.6640625" style="20"/>
    <col min="13" max="13" width="8.6640625" style="20"/>
  </cols>
  <sheetData>
    <row r="1" spans="1:10" x14ac:dyDescent="0.45">
      <c r="A1" t="s">
        <v>44</v>
      </c>
      <c r="B1" t="s">
        <v>4</v>
      </c>
      <c r="C1" t="s">
        <v>3</v>
      </c>
      <c r="D1" t="s">
        <v>5</v>
      </c>
      <c r="E1" t="s">
        <v>12</v>
      </c>
      <c r="H1" t="s">
        <v>561</v>
      </c>
      <c r="I1" t="s">
        <v>563</v>
      </c>
      <c r="J1" t="s">
        <v>578</v>
      </c>
    </row>
    <row r="2" spans="1:10" x14ac:dyDescent="0.45">
      <c r="A2" t="s">
        <v>45</v>
      </c>
      <c r="B2" t="s">
        <v>50</v>
      </c>
      <c r="C2" t="s">
        <v>52</v>
      </c>
      <c r="D2" t="s">
        <v>51</v>
      </c>
      <c r="E2" t="s">
        <v>509</v>
      </c>
      <c r="H2" s="20">
        <v>1</v>
      </c>
      <c r="I2" t="s">
        <v>562</v>
      </c>
      <c r="J2" t="s">
        <v>565</v>
      </c>
    </row>
    <row r="3" spans="1:10" x14ac:dyDescent="0.45">
      <c r="A3" t="s">
        <v>45</v>
      </c>
      <c r="B3" t="s">
        <v>54</v>
      </c>
      <c r="C3" t="s">
        <v>53</v>
      </c>
      <c r="D3" t="s">
        <v>55</v>
      </c>
      <c r="E3" t="s">
        <v>508</v>
      </c>
      <c r="H3" s="20">
        <v>5</v>
      </c>
      <c r="I3" t="s">
        <v>570</v>
      </c>
      <c r="J3" t="s">
        <v>571</v>
      </c>
    </row>
    <row r="4" spans="1:10" x14ac:dyDescent="0.45">
      <c r="A4" t="s">
        <v>45</v>
      </c>
      <c r="B4" t="s">
        <v>79</v>
      </c>
      <c r="C4" t="s">
        <v>80</v>
      </c>
      <c r="D4" t="s">
        <v>81</v>
      </c>
      <c r="E4" t="s">
        <v>527</v>
      </c>
      <c r="H4" s="20">
        <v>2</v>
      </c>
      <c r="I4" t="s">
        <v>564</v>
      </c>
      <c r="J4" t="s">
        <v>566</v>
      </c>
    </row>
    <row r="5" spans="1:10" x14ac:dyDescent="0.45">
      <c r="A5" t="s">
        <v>45</v>
      </c>
      <c r="B5" t="s">
        <v>88</v>
      </c>
      <c r="C5" t="s">
        <v>118</v>
      </c>
      <c r="D5" t="s">
        <v>89</v>
      </c>
      <c r="E5" t="s">
        <v>529</v>
      </c>
      <c r="H5" s="20">
        <v>18</v>
      </c>
      <c r="I5" t="s">
        <v>590</v>
      </c>
      <c r="J5" t="s">
        <v>591</v>
      </c>
    </row>
    <row r="6" spans="1:10" x14ac:dyDescent="0.45">
      <c r="A6" t="s">
        <v>45</v>
      </c>
      <c r="B6" t="s">
        <v>95</v>
      </c>
      <c r="C6" t="s">
        <v>96</v>
      </c>
      <c r="D6" t="s">
        <v>97</v>
      </c>
      <c r="E6" t="s">
        <v>528</v>
      </c>
      <c r="H6" s="20">
        <v>17</v>
      </c>
      <c r="I6" t="s">
        <v>588</v>
      </c>
      <c r="J6" t="s">
        <v>589</v>
      </c>
    </row>
    <row r="7" spans="1:10" x14ac:dyDescent="0.45">
      <c r="A7" t="s">
        <v>45</v>
      </c>
      <c r="B7" t="s">
        <v>100</v>
      </c>
      <c r="C7" t="s">
        <v>105</v>
      </c>
      <c r="D7" t="s">
        <v>106</v>
      </c>
      <c r="E7" t="s">
        <v>507</v>
      </c>
      <c r="H7" s="20">
        <v>3</v>
      </c>
      <c r="I7" t="s">
        <v>567</v>
      </c>
      <c r="J7" t="s">
        <v>571</v>
      </c>
    </row>
    <row r="8" spans="1:10" x14ac:dyDescent="0.45">
      <c r="A8" t="s">
        <v>45</v>
      </c>
      <c r="B8" t="s">
        <v>101</v>
      </c>
      <c r="C8" t="s">
        <v>108</v>
      </c>
      <c r="D8" t="s">
        <v>107</v>
      </c>
      <c r="E8" t="s">
        <v>510</v>
      </c>
      <c r="H8" s="20">
        <v>4</v>
      </c>
      <c r="I8" t="s">
        <v>568</v>
      </c>
      <c r="J8" t="s">
        <v>569</v>
      </c>
    </row>
    <row r="9" spans="1:10" x14ac:dyDescent="0.45">
      <c r="A9" t="s">
        <v>45</v>
      </c>
      <c r="B9" t="s">
        <v>104</v>
      </c>
      <c r="C9" t="s">
        <v>109</v>
      </c>
      <c r="D9" t="s">
        <v>110</v>
      </c>
      <c r="E9" t="s">
        <v>111</v>
      </c>
      <c r="H9" s="20" t="s">
        <v>231</v>
      </c>
      <c r="I9" t="s">
        <v>588</v>
      </c>
      <c r="J9" t="s">
        <v>569</v>
      </c>
    </row>
    <row r="10" spans="1:10" x14ac:dyDescent="0.45">
      <c r="A10" t="s">
        <v>45</v>
      </c>
      <c r="B10" t="s">
        <v>27</v>
      </c>
      <c r="C10" t="s">
        <v>641</v>
      </c>
      <c r="D10" t="s">
        <v>642</v>
      </c>
      <c r="E10" t="s">
        <v>511</v>
      </c>
      <c r="H10" s="20">
        <v>1</v>
      </c>
      <c r="I10" t="s">
        <v>562</v>
      </c>
      <c r="J10" t="s">
        <v>565</v>
      </c>
    </row>
    <row r="11" spans="1:10" x14ac:dyDescent="0.45">
      <c r="A11" t="s">
        <v>45</v>
      </c>
      <c r="B11" t="s">
        <v>28</v>
      </c>
      <c r="C11" t="s">
        <v>85</v>
      </c>
      <c r="D11" t="s">
        <v>84</v>
      </c>
      <c r="E11" t="s">
        <v>530</v>
      </c>
      <c r="H11" s="20">
        <v>1</v>
      </c>
      <c r="I11" t="s">
        <v>562</v>
      </c>
      <c r="J11" t="s">
        <v>572</v>
      </c>
    </row>
    <row r="12" spans="1:10" x14ac:dyDescent="0.45">
      <c r="A12" t="s">
        <v>45</v>
      </c>
      <c r="B12" t="s">
        <v>30</v>
      </c>
      <c r="C12" t="s">
        <v>31</v>
      </c>
      <c r="D12" t="s">
        <v>29</v>
      </c>
      <c r="E12" t="s">
        <v>512</v>
      </c>
      <c r="H12" s="20" t="s">
        <v>232</v>
      </c>
      <c r="I12" t="s">
        <v>564</v>
      </c>
      <c r="J12" t="s">
        <v>566</v>
      </c>
    </row>
    <row r="13" spans="1:10" x14ac:dyDescent="0.45">
      <c r="A13" t="s">
        <v>45</v>
      </c>
      <c r="B13" t="s">
        <v>33</v>
      </c>
      <c r="C13" t="s">
        <v>32</v>
      </c>
      <c r="D13" t="s">
        <v>34</v>
      </c>
      <c r="E13" t="s">
        <v>76</v>
      </c>
      <c r="H13" s="20" t="s">
        <v>502</v>
      </c>
      <c r="I13" t="s">
        <v>598</v>
      </c>
      <c r="J13" t="s">
        <v>571</v>
      </c>
    </row>
    <row r="14" spans="1:10" x14ac:dyDescent="0.45">
      <c r="A14" t="s">
        <v>45</v>
      </c>
      <c r="B14" t="s">
        <v>35</v>
      </c>
      <c r="C14" t="s">
        <v>36</v>
      </c>
      <c r="D14" t="s">
        <v>37</v>
      </c>
      <c r="E14" t="s">
        <v>249</v>
      </c>
      <c r="H14" s="20">
        <v>19</v>
      </c>
      <c r="I14" t="s">
        <v>592</v>
      </c>
      <c r="J14" t="s">
        <v>571</v>
      </c>
    </row>
    <row r="15" spans="1:10" x14ac:dyDescent="0.45">
      <c r="A15" t="s">
        <v>45</v>
      </c>
      <c r="B15" t="s">
        <v>49</v>
      </c>
      <c r="C15" t="s">
        <v>506</v>
      </c>
      <c r="D15" t="s">
        <v>505</v>
      </c>
      <c r="E15" t="s">
        <v>552</v>
      </c>
      <c r="H15" s="20">
        <v>2</v>
      </c>
      <c r="I15" t="s">
        <v>564</v>
      </c>
      <c r="J15" t="s">
        <v>574</v>
      </c>
    </row>
    <row r="16" spans="1:10" x14ac:dyDescent="0.45">
      <c r="A16" t="s">
        <v>45</v>
      </c>
      <c r="B16" t="s">
        <v>77</v>
      </c>
      <c r="C16" t="s">
        <v>553</v>
      </c>
      <c r="D16" t="s">
        <v>78</v>
      </c>
      <c r="E16" t="s">
        <v>86</v>
      </c>
      <c r="H16" s="20">
        <v>6</v>
      </c>
      <c r="I16" t="s">
        <v>575</v>
      </c>
      <c r="J16" t="s">
        <v>576</v>
      </c>
    </row>
    <row r="17" spans="1:14" x14ac:dyDescent="0.45">
      <c r="H17" s="20"/>
    </row>
    <row r="18" spans="1:14" x14ac:dyDescent="0.45">
      <c r="A18" t="s">
        <v>44</v>
      </c>
      <c r="B18" t="s">
        <v>4</v>
      </c>
      <c r="C18" t="s">
        <v>3</v>
      </c>
      <c r="D18" t="s">
        <v>5</v>
      </c>
      <c r="E18" t="s">
        <v>12</v>
      </c>
      <c r="H18" s="20"/>
    </row>
    <row r="19" spans="1:14" x14ac:dyDescent="0.45">
      <c r="A19" t="s">
        <v>45</v>
      </c>
      <c r="B19" t="s">
        <v>90</v>
      </c>
      <c r="C19" t="s">
        <v>92</v>
      </c>
      <c r="D19" t="s">
        <v>91</v>
      </c>
      <c r="E19" t="s">
        <v>513</v>
      </c>
      <c r="H19" s="20">
        <v>7</v>
      </c>
      <c r="I19" t="s">
        <v>577</v>
      </c>
      <c r="J19" t="s">
        <v>571</v>
      </c>
    </row>
    <row r="20" spans="1:14" x14ac:dyDescent="0.45">
      <c r="A20" t="s">
        <v>45</v>
      </c>
      <c r="B20" t="s">
        <v>94</v>
      </c>
      <c r="C20" t="s">
        <v>103</v>
      </c>
      <c r="D20" t="s">
        <v>102</v>
      </c>
      <c r="E20" t="s">
        <v>239</v>
      </c>
      <c r="H20" s="20">
        <v>7</v>
      </c>
      <c r="I20" t="s">
        <v>593</v>
      </c>
      <c r="J20" t="s">
        <v>571</v>
      </c>
    </row>
    <row r="21" spans="1:14" x14ac:dyDescent="0.45">
      <c r="A21" t="s">
        <v>45</v>
      </c>
      <c r="B21" t="s">
        <v>115</v>
      </c>
      <c r="C21" t="s">
        <v>116</v>
      </c>
      <c r="D21" t="s">
        <v>117</v>
      </c>
      <c r="E21" t="s">
        <v>521</v>
      </c>
      <c r="H21" s="20">
        <v>8</v>
      </c>
      <c r="I21" t="s">
        <v>579</v>
      </c>
      <c r="J21" t="s">
        <v>569</v>
      </c>
    </row>
    <row r="22" spans="1:14" x14ac:dyDescent="0.45">
      <c r="A22" t="s">
        <v>45</v>
      </c>
      <c r="B22" t="s">
        <v>9</v>
      </c>
      <c r="C22" t="s">
        <v>11</v>
      </c>
      <c r="D22" t="s">
        <v>10</v>
      </c>
      <c r="E22" t="s">
        <v>514</v>
      </c>
      <c r="H22" s="20">
        <v>9</v>
      </c>
      <c r="I22" t="s">
        <v>580</v>
      </c>
      <c r="J22" t="s">
        <v>581</v>
      </c>
      <c r="K22" s="20">
        <v>10</v>
      </c>
      <c r="L22" t="s">
        <v>571</v>
      </c>
    </row>
    <row r="23" spans="1:14" x14ac:dyDescent="0.45">
      <c r="A23" t="s">
        <v>45</v>
      </c>
      <c r="B23" t="s">
        <v>0</v>
      </c>
      <c r="C23" t="s">
        <v>1</v>
      </c>
      <c r="D23" t="s">
        <v>2</v>
      </c>
      <c r="E23" t="s">
        <v>532</v>
      </c>
      <c r="H23" s="20">
        <v>11</v>
      </c>
      <c r="I23" t="s">
        <v>582</v>
      </c>
      <c r="J23" t="s">
        <v>571</v>
      </c>
    </row>
    <row r="24" spans="1:14" x14ac:dyDescent="0.45">
      <c r="A24" t="s">
        <v>45</v>
      </c>
      <c r="B24" t="s">
        <v>6</v>
      </c>
      <c r="C24" t="s">
        <v>7</v>
      </c>
      <c r="D24" t="s">
        <v>8</v>
      </c>
      <c r="E24" t="s">
        <v>533</v>
      </c>
      <c r="H24" s="20" t="s">
        <v>501</v>
      </c>
      <c r="I24" t="s">
        <v>597</v>
      </c>
      <c r="J24" t="s">
        <v>566</v>
      </c>
    </row>
    <row r="25" spans="1:14" x14ac:dyDescent="0.45">
      <c r="A25" t="s">
        <v>45</v>
      </c>
      <c r="B25" t="s">
        <v>18</v>
      </c>
      <c r="C25" t="s">
        <v>19</v>
      </c>
      <c r="D25" t="s">
        <v>20</v>
      </c>
      <c r="E25" t="s">
        <v>515</v>
      </c>
      <c r="H25" s="20">
        <v>12</v>
      </c>
      <c r="I25" t="s">
        <v>583</v>
      </c>
      <c r="J25" t="s">
        <v>571</v>
      </c>
    </row>
    <row r="26" spans="1:14" x14ac:dyDescent="0.45">
      <c r="A26" t="s">
        <v>45</v>
      </c>
      <c r="B26" t="s">
        <v>21</v>
      </c>
      <c r="C26" t="s">
        <v>22</v>
      </c>
      <c r="D26" t="s">
        <v>23</v>
      </c>
      <c r="E26" t="s">
        <v>516</v>
      </c>
      <c r="H26" s="20">
        <v>4</v>
      </c>
      <c r="I26" t="s">
        <v>568</v>
      </c>
      <c r="J26" t="s">
        <v>571</v>
      </c>
    </row>
    <row r="27" spans="1:14" x14ac:dyDescent="0.45">
      <c r="A27" t="s">
        <v>45</v>
      </c>
      <c r="B27" t="s">
        <v>24</v>
      </c>
      <c r="C27" t="s">
        <v>25</v>
      </c>
      <c r="D27" t="s">
        <v>26</v>
      </c>
      <c r="E27" t="s">
        <v>517</v>
      </c>
      <c r="H27" s="20">
        <v>4</v>
      </c>
      <c r="I27" t="s">
        <v>568</v>
      </c>
      <c r="J27" t="s">
        <v>571</v>
      </c>
    </row>
    <row r="28" spans="1:14" x14ac:dyDescent="0.45">
      <c r="A28" t="s">
        <v>45</v>
      </c>
      <c r="B28" t="s">
        <v>43</v>
      </c>
      <c r="C28" t="s">
        <v>83</v>
      </c>
      <c r="D28" t="s">
        <v>82</v>
      </c>
      <c r="E28" t="s">
        <v>122</v>
      </c>
      <c r="H28" s="20">
        <v>23</v>
      </c>
      <c r="I28" t="s">
        <v>575</v>
      </c>
      <c r="J28" t="s">
        <v>566</v>
      </c>
    </row>
    <row r="29" spans="1:14" x14ac:dyDescent="0.45">
      <c r="A29" t="s">
        <v>45</v>
      </c>
      <c r="B29" t="s">
        <v>46</v>
      </c>
      <c r="C29" t="s">
        <v>47</v>
      </c>
      <c r="D29" t="s">
        <v>48</v>
      </c>
      <c r="E29" t="s">
        <v>531</v>
      </c>
      <c r="H29" s="20" t="s">
        <v>536</v>
      </c>
      <c r="I29" t="s">
        <v>635</v>
      </c>
      <c r="J29" t="s">
        <v>572</v>
      </c>
    </row>
    <row r="30" spans="1:14" x14ac:dyDescent="0.45">
      <c r="A30" t="s">
        <v>45</v>
      </c>
      <c r="B30" t="s">
        <v>93</v>
      </c>
      <c r="C30" t="s">
        <v>99</v>
      </c>
      <c r="D30" t="s">
        <v>98</v>
      </c>
      <c r="E30" t="s">
        <v>519</v>
      </c>
      <c r="H30" s="20">
        <v>13</v>
      </c>
      <c r="I30" t="s">
        <v>584</v>
      </c>
      <c r="J30" t="s">
        <v>581</v>
      </c>
      <c r="K30" s="20">
        <v>6</v>
      </c>
      <c r="L30" t="s">
        <v>585</v>
      </c>
      <c r="M30" s="20">
        <v>14</v>
      </c>
      <c r="N30" t="s">
        <v>571</v>
      </c>
    </row>
    <row r="31" spans="1:14" x14ac:dyDescent="0.45">
      <c r="A31" t="s">
        <v>45</v>
      </c>
      <c r="B31" t="s">
        <v>112</v>
      </c>
      <c r="C31" t="s">
        <v>113</v>
      </c>
      <c r="D31" t="s">
        <v>114</v>
      </c>
      <c r="E31" t="s">
        <v>313</v>
      </c>
      <c r="H31" s="20" t="s">
        <v>594</v>
      </c>
    </row>
    <row r="32" spans="1:14" x14ac:dyDescent="0.45">
      <c r="A32" t="s">
        <v>45</v>
      </c>
      <c r="B32" t="s">
        <v>119</v>
      </c>
      <c r="C32" t="s">
        <v>120</v>
      </c>
      <c r="D32" t="s">
        <v>121</v>
      </c>
      <c r="E32" t="s">
        <v>518</v>
      </c>
      <c r="H32" s="20">
        <v>15</v>
      </c>
      <c r="I32" t="s">
        <v>586</v>
      </c>
      <c r="J32" t="s">
        <v>571</v>
      </c>
    </row>
    <row r="33" spans="1:10" x14ac:dyDescent="0.45">
      <c r="A33" t="s">
        <v>45</v>
      </c>
      <c r="B33" t="s">
        <v>123</v>
      </c>
      <c r="C33" t="s">
        <v>124</v>
      </c>
      <c r="D33" t="s">
        <v>125</v>
      </c>
      <c r="E33" t="s">
        <v>520</v>
      </c>
      <c r="H33" s="20">
        <v>16</v>
      </c>
      <c r="I33" t="s">
        <v>587</v>
      </c>
      <c r="J33" t="s">
        <v>571</v>
      </c>
    </row>
    <row r="34" spans="1:10" x14ac:dyDescent="0.45">
      <c r="H34" s="20"/>
    </row>
    <row r="35" spans="1:10" x14ac:dyDescent="0.45">
      <c r="A35" t="s">
        <v>44</v>
      </c>
      <c r="B35" t="s">
        <v>4</v>
      </c>
      <c r="C35" t="s">
        <v>3</v>
      </c>
      <c r="D35" t="s">
        <v>5</v>
      </c>
      <c r="E35" t="s">
        <v>12</v>
      </c>
      <c r="H35" s="20"/>
    </row>
    <row r="36" spans="1:10" x14ac:dyDescent="0.45">
      <c r="A36" t="s">
        <v>231</v>
      </c>
      <c r="B36" t="s">
        <v>173</v>
      </c>
      <c r="C36" t="s">
        <v>233</v>
      </c>
      <c r="D36" t="s">
        <v>234</v>
      </c>
      <c r="E36" t="s">
        <v>522</v>
      </c>
      <c r="H36" s="20">
        <v>4</v>
      </c>
      <c r="I36" t="s">
        <v>568</v>
      </c>
      <c r="J36" t="s">
        <v>571</v>
      </c>
    </row>
    <row r="37" spans="1:10" x14ac:dyDescent="0.45">
      <c r="A37" t="s">
        <v>231</v>
      </c>
      <c r="B37" t="s">
        <v>185</v>
      </c>
      <c r="C37" t="s">
        <v>233</v>
      </c>
      <c r="D37" t="s">
        <v>234</v>
      </c>
      <c r="E37" t="s">
        <v>522</v>
      </c>
      <c r="H37" s="20">
        <v>4</v>
      </c>
      <c r="I37" t="s">
        <v>568</v>
      </c>
      <c r="J37" t="s">
        <v>571</v>
      </c>
    </row>
    <row r="38" spans="1:10" x14ac:dyDescent="0.45">
      <c r="A38" t="s">
        <v>231</v>
      </c>
      <c r="B38" t="s">
        <v>156</v>
      </c>
      <c r="C38" t="s">
        <v>233</v>
      </c>
      <c r="D38" t="s">
        <v>234</v>
      </c>
      <c r="E38" t="s">
        <v>543</v>
      </c>
      <c r="H38" s="20">
        <v>4</v>
      </c>
      <c r="I38" t="s">
        <v>568</v>
      </c>
      <c r="J38" t="s">
        <v>571</v>
      </c>
    </row>
    <row r="39" spans="1:10" x14ac:dyDescent="0.45">
      <c r="A39" t="s">
        <v>231</v>
      </c>
      <c r="B39" t="s">
        <v>161</v>
      </c>
      <c r="C39" t="s">
        <v>233</v>
      </c>
      <c r="D39" t="s">
        <v>234</v>
      </c>
      <c r="E39" t="s">
        <v>543</v>
      </c>
      <c r="H39" s="20">
        <v>4</v>
      </c>
      <c r="I39" t="s">
        <v>568</v>
      </c>
      <c r="J39" t="s">
        <v>571</v>
      </c>
    </row>
    <row r="40" spans="1:10" x14ac:dyDescent="0.45">
      <c r="A40" t="s">
        <v>231</v>
      </c>
      <c r="B40" t="s">
        <v>153</v>
      </c>
      <c r="C40" t="s">
        <v>233</v>
      </c>
      <c r="D40" t="s">
        <v>234</v>
      </c>
      <c r="E40" t="s">
        <v>543</v>
      </c>
      <c r="H40" s="20">
        <v>4</v>
      </c>
      <c r="I40" t="s">
        <v>568</v>
      </c>
      <c r="J40" t="s">
        <v>571</v>
      </c>
    </row>
    <row r="41" spans="1:10" x14ac:dyDescent="0.45">
      <c r="A41" t="s">
        <v>231</v>
      </c>
      <c r="B41" t="s">
        <v>144</v>
      </c>
      <c r="C41" t="s">
        <v>233</v>
      </c>
      <c r="D41" t="s">
        <v>234</v>
      </c>
      <c r="E41" t="s">
        <v>543</v>
      </c>
      <c r="H41" s="20">
        <v>4</v>
      </c>
      <c r="I41" t="s">
        <v>568</v>
      </c>
      <c r="J41" t="s">
        <v>571</v>
      </c>
    </row>
    <row r="42" spans="1:10" x14ac:dyDescent="0.45">
      <c r="A42" t="s">
        <v>231</v>
      </c>
      <c r="B42" t="s">
        <v>138</v>
      </c>
      <c r="C42" t="s">
        <v>233</v>
      </c>
      <c r="D42" t="s">
        <v>234</v>
      </c>
      <c r="E42" t="s">
        <v>543</v>
      </c>
      <c r="H42" s="20">
        <v>4</v>
      </c>
      <c r="I42" t="s">
        <v>568</v>
      </c>
      <c r="J42" t="s">
        <v>571</v>
      </c>
    </row>
    <row r="43" spans="1:10" x14ac:dyDescent="0.45">
      <c r="A43" t="s">
        <v>231</v>
      </c>
      <c r="B43" t="s">
        <v>214</v>
      </c>
      <c r="C43" t="s">
        <v>233</v>
      </c>
      <c r="D43" t="s">
        <v>234</v>
      </c>
      <c r="E43" t="s">
        <v>543</v>
      </c>
      <c r="H43" s="20">
        <v>4</v>
      </c>
      <c r="I43" t="s">
        <v>568</v>
      </c>
      <c r="J43" t="s">
        <v>571</v>
      </c>
    </row>
    <row r="44" spans="1:10" x14ac:dyDescent="0.45">
      <c r="A44" t="s">
        <v>231</v>
      </c>
      <c r="B44" t="s">
        <v>224</v>
      </c>
      <c r="C44" t="s">
        <v>233</v>
      </c>
      <c r="D44" t="s">
        <v>234</v>
      </c>
      <c r="E44" t="s">
        <v>543</v>
      </c>
      <c r="H44" s="20">
        <v>4</v>
      </c>
      <c r="I44" t="s">
        <v>568</v>
      </c>
      <c r="J44" t="s">
        <v>571</v>
      </c>
    </row>
    <row r="45" spans="1:10" x14ac:dyDescent="0.45">
      <c r="A45" t="s">
        <v>231</v>
      </c>
      <c r="B45" t="s">
        <v>211</v>
      </c>
      <c r="C45" t="s">
        <v>233</v>
      </c>
      <c r="D45" t="s">
        <v>234</v>
      </c>
      <c r="E45" t="s">
        <v>543</v>
      </c>
      <c r="H45" s="20">
        <v>4</v>
      </c>
      <c r="I45" t="s">
        <v>568</v>
      </c>
      <c r="J45" t="s">
        <v>571</v>
      </c>
    </row>
    <row r="46" spans="1:10" x14ac:dyDescent="0.45">
      <c r="A46" t="s">
        <v>231</v>
      </c>
      <c r="B46" t="s">
        <v>164</v>
      </c>
      <c r="C46" t="s">
        <v>235</v>
      </c>
      <c r="D46" t="s">
        <v>236</v>
      </c>
      <c r="E46" t="s">
        <v>523</v>
      </c>
      <c r="H46" s="20">
        <v>8</v>
      </c>
      <c r="I46" t="s">
        <v>579</v>
      </c>
      <c r="J46" t="s">
        <v>571</v>
      </c>
    </row>
    <row r="47" spans="1:10" x14ac:dyDescent="0.45">
      <c r="A47" t="s">
        <v>231</v>
      </c>
      <c r="B47" t="s">
        <v>187</v>
      </c>
      <c r="C47" t="s">
        <v>235</v>
      </c>
      <c r="D47" t="s">
        <v>236</v>
      </c>
      <c r="E47" t="s">
        <v>523</v>
      </c>
      <c r="H47" s="20">
        <v>8</v>
      </c>
      <c r="I47" t="s">
        <v>579</v>
      </c>
      <c r="J47" t="s">
        <v>571</v>
      </c>
    </row>
    <row r="48" spans="1:10" x14ac:dyDescent="0.45">
      <c r="A48" t="s">
        <v>231</v>
      </c>
      <c r="B48" t="s">
        <v>188</v>
      </c>
      <c r="C48" t="s">
        <v>235</v>
      </c>
      <c r="D48" t="s">
        <v>236</v>
      </c>
      <c r="E48" t="s">
        <v>544</v>
      </c>
      <c r="H48" s="20">
        <v>8</v>
      </c>
      <c r="I48" t="s">
        <v>579</v>
      </c>
      <c r="J48" t="s">
        <v>571</v>
      </c>
    </row>
    <row r="49" spans="1:10" x14ac:dyDescent="0.45">
      <c r="A49" t="s">
        <v>231</v>
      </c>
      <c r="B49" t="s">
        <v>158</v>
      </c>
      <c r="C49" t="s">
        <v>235</v>
      </c>
      <c r="D49" t="s">
        <v>236</v>
      </c>
      <c r="E49" t="s">
        <v>544</v>
      </c>
      <c r="H49" s="20">
        <v>8</v>
      </c>
      <c r="I49" t="s">
        <v>579</v>
      </c>
      <c r="J49" t="s">
        <v>571</v>
      </c>
    </row>
    <row r="50" spans="1:10" x14ac:dyDescent="0.45">
      <c r="A50" t="s">
        <v>231</v>
      </c>
      <c r="B50" t="s">
        <v>165</v>
      </c>
      <c r="C50" t="s">
        <v>235</v>
      </c>
      <c r="D50" t="s">
        <v>236</v>
      </c>
      <c r="E50" t="s">
        <v>544</v>
      </c>
      <c r="H50" s="20">
        <v>8</v>
      </c>
      <c r="I50" t="s">
        <v>579</v>
      </c>
      <c r="J50" t="s">
        <v>571</v>
      </c>
    </row>
    <row r="51" spans="1:10" x14ac:dyDescent="0.45">
      <c r="A51" t="s">
        <v>231</v>
      </c>
      <c r="B51" t="s">
        <v>139</v>
      </c>
      <c r="C51" t="s">
        <v>235</v>
      </c>
      <c r="D51" t="s">
        <v>236</v>
      </c>
      <c r="E51" t="s">
        <v>544</v>
      </c>
      <c r="H51" s="20">
        <v>8</v>
      </c>
      <c r="I51" t="s">
        <v>579</v>
      </c>
      <c r="J51" t="s">
        <v>571</v>
      </c>
    </row>
    <row r="52" spans="1:10" x14ac:dyDescent="0.45">
      <c r="C52" s="9"/>
      <c r="D52" s="9"/>
      <c r="E52" s="9"/>
      <c r="H52" s="20"/>
    </row>
    <row r="53" spans="1:10" x14ac:dyDescent="0.45">
      <c r="A53" t="s">
        <v>44</v>
      </c>
      <c r="B53" t="s">
        <v>4</v>
      </c>
      <c r="C53" t="s">
        <v>3</v>
      </c>
      <c r="D53" t="s">
        <v>5</v>
      </c>
      <c r="E53" t="s">
        <v>12</v>
      </c>
      <c r="H53" s="20"/>
    </row>
    <row r="54" spans="1:10" x14ac:dyDescent="0.45">
      <c r="A54" t="s">
        <v>231</v>
      </c>
      <c r="B54" t="s">
        <v>223</v>
      </c>
      <c r="C54" t="s">
        <v>237</v>
      </c>
      <c r="D54" t="s">
        <v>238</v>
      </c>
      <c r="E54" t="s">
        <v>524</v>
      </c>
      <c r="H54" s="20">
        <v>1</v>
      </c>
      <c r="I54" t="s">
        <v>562</v>
      </c>
      <c r="J54" t="s">
        <v>571</v>
      </c>
    </row>
    <row r="55" spans="1:10" x14ac:dyDescent="0.45">
      <c r="A55" t="s">
        <v>231</v>
      </c>
      <c r="B55" t="s">
        <v>149</v>
      </c>
      <c r="C55" t="s">
        <v>237</v>
      </c>
      <c r="D55" t="s">
        <v>238</v>
      </c>
      <c r="E55" t="s">
        <v>524</v>
      </c>
      <c r="H55" s="20">
        <v>1</v>
      </c>
      <c r="I55" t="s">
        <v>562</v>
      </c>
      <c r="J55" t="s">
        <v>571</v>
      </c>
    </row>
    <row r="56" spans="1:10" x14ac:dyDescent="0.45">
      <c r="A56" t="s">
        <v>231</v>
      </c>
      <c r="B56" t="s">
        <v>209</v>
      </c>
      <c r="C56" t="s">
        <v>237</v>
      </c>
      <c r="D56" t="s">
        <v>238</v>
      </c>
      <c r="E56" t="s">
        <v>545</v>
      </c>
      <c r="H56" s="20">
        <v>1</v>
      </c>
      <c r="I56" t="s">
        <v>562</v>
      </c>
      <c r="J56" t="s">
        <v>571</v>
      </c>
    </row>
    <row r="57" spans="1:10" x14ac:dyDescent="0.45">
      <c r="A57" t="s">
        <v>231</v>
      </c>
      <c r="B57" t="s">
        <v>205</v>
      </c>
      <c r="C57" t="s">
        <v>237</v>
      </c>
      <c r="D57" t="s">
        <v>238</v>
      </c>
      <c r="E57" t="s">
        <v>545</v>
      </c>
      <c r="H57" s="20">
        <v>1</v>
      </c>
      <c r="I57" t="s">
        <v>562</v>
      </c>
      <c r="J57" t="s">
        <v>571</v>
      </c>
    </row>
    <row r="58" spans="1:10" x14ac:dyDescent="0.45">
      <c r="A58" t="s">
        <v>231</v>
      </c>
      <c r="B58" t="s">
        <v>160</v>
      </c>
      <c r="C58" t="s">
        <v>237</v>
      </c>
      <c r="D58" t="s">
        <v>238</v>
      </c>
      <c r="E58" t="s">
        <v>545</v>
      </c>
      <c r="H58" s="20">
        <v>1</v>
      </c>
      <c r="I58" t="s">
        <v>562</v>
      </c>
      <c r="J58" t="s">
        <v>571</v>
      </c>
    </row>
    <row r="59" spans="1:10" x14ac:dyDescent="0.45">
      <c r="A59" t="s">
        <v>231</v>
      </c>
      <c r="B59" t="s">
        <v>190</v>
      </c>
      <c r="C59" t="s">
        <v>237</v>
      </c>
      <c r="D59" t="s">
        <v>238</v>
      </c>
      <c r="E59" t="s">
        <v>545</v>
      </c>
      <c r="H59" s="20">
        <v>1</v>
      </c>
      <c r="I59" t="s">
        <v>562</v>
      </c>
      <c r="J59" t="s">
        <v>571</v>
      </c>
    </row>
    <row r="60" spans="1:10" x14ac:dyDescent="0.45">
      <c r="A60" t="s">
        <v>231</v>
      </c>
      <c r="B60" t="s">
        <v>210</v>
      </c>
      <c r="C60" t="s">
        <v>237</v>
      </c>
      <c r="D60" t="s">
        <v>238</v>
      </c>
      <c r="E60" t="s">
        <v>545</v>
      </c>
      <c r="H60" s="20">
        <v>1</v>
      </c>
      <c r="I60" t="s">
        <v>562</v>
      </c>
      <c r="J60" t="s">
        <v>571</v>
      </c>
    </row>
    <row r="61" spans="1:10" x14ac:dyDescent="0.45">
      <c r="A61" t="s">
        <v>231</v>
      </c>
      <c r="B61" t="s">
        <v>145</v>
      </c>
      <c r="C61" t="s">
        <v>237</v>
      </c>
      <c r="D61" t="s">
        <v>238</v>
      </c>
      <c r="E61" t="s">
        <v>545</v>
      </c>
      <c r="H61" s="20">
        <v>1</v>
      </c>
      <c r="I61" t="s">
        <v>562</v>
      </c>
      <c r="J61" t="s">
        <v>571</v>
      </c>
    </row>
    <row r="62" spans="1:10" x14ac:dyDescent="0.45">
      <c r="A62" t="s">
        <v>231</v>
      </c>
      <c r="B62" t="s">
        <v>186</v>
      </c>
      <c r="C62" t="s">
        <v>237</v>
      </c>
      <c r="D62" t="s">
        <v>238</v>
      </c>
      <c r="E62" t="s">
        <v>545</v>
      </c>
      <c r="H62" s="20">
        <v>1</v>
      </c>
      <c r="I62" t="s">
        <v>562</v>
      </c>
      <c r="J62" t="s">
        <v>571</v>
      </c>
    </row>
    <row r="63" spans="1:10" x14ac:dyDescent="0.45">
      <c r="A63" t="s">
        <v>231</v>
      </c>
      <c r="B63" t="s">
        <v>137</v>
      </c>
      <c r="C63" t="s">
        <v>237</v>
      </c>
      <c r="D63" t="s">
        <v>238</v>
      </c>
      <c r="E63" t="s">
        <v>545</v>
      </c>
      <c r="H63" s="20">
        <v>1</v>
      </c>
      <c r="I63" t="s">
        <v>562</v>
      </c>
      <c r="J63" t="s">
        <v>571</v>
      </c>
    </row>
    <row r="64" spans="1:10" x14ac:dyDescent="0.45">
      <c r="A64" t="s">
        <v>231</v>
      </c>
      <c r="B64" t="s">
        <v>192</v>
      </c>
      <c r="C64" t="s">
        <v>237</v>
      </c>
      <c r="D64" t="s">
        <v>238</v>
      </c>
      <c r="E64" t="s">
        <v>545</v>
      </c>
      <c r="H64" s="20">
        <v>1</v>
      </c>
      <c r="I64" t="s">
        <v>562</v>
      </c>
      <c r="J64" t="s">
        <v>571</v>
      </c>
    </row>
    <row r="65" spans="1:10" x14ac:dyDescent="0.45">
      <c r="A65" t="s">
        <v>231</v>
      </c>
      <c r="B65" t="s">
        <v>143</v>
      </c>
      <c r="C65" t="s">
        <v>237</v>
      </c>
      <c r="D65" t="s">
        <v>238</v>
      </c>
      <c r="E65" t="s">
        <v>545</v>
      </c>
      <c r="H65" s="20">
        <v>1</v>
      </c>
      <c r="I65" t="s">
        <v>562</v>
      </c>
      <c r="J65" t="s">
        <v>571</v>
      </c>
    </row>
    <row r="66" spans="1:10" x14ac:dyDescent="0.45">
      <c r="A66" t="s">
        <v>231</v>
      </c>
      <c r="B66" t="s">
        <v>142</v>
      </c>
      <c r="C66" t="s">
        <v>237</v>
      </c>
      <c r="D66" t="s">
        <v>238</v>
      </c>
      <c r="E66" t="s">
        <v>545</v>
      </c>
      <c r="H66" s="20">
        <v>1</v>
      </c>
      <c r="I66" t="s">
        <v>562</v>
      </c>
      <c r="J66" t="s">
        <v>571</v>
      </c>
    </row>
    <row r="67" spans="1:10" x14ac:dyDescent="0.45">
      <c r="A67" t="s">
        <v>231</v>
      </c>
      <c r="B67" t="s">
        <v>195</v>
      </c>
      <c r="C67" t="s">
        <v>237</v>
      </c>
      <c r="D67" t="s">
        <v>238</v>
      </c>
      <c r="E67" t="s">
        <v>545</v>
      </c>
      <c r="H67" s="20">
        <v>1</v>
      </c>
      <c r="I67" t="s">
        <v>562</v>
      </c>
      <c r="J67" t="s">
        <v>571</v>
      </c>
    </row>
    <row r="68" spans="1:10" x14ac:dyDescent="0.45">
      <c r="A68" t="s">
        <v>231</v>
      </c>
      <c r="B68" t="s">
        <v>222</v>
      </c>
      <c r="C68" t="s">
        <v>240</v>
      </c>
      <c r="D68" t="s">
        <v>241</v>
      </c>
      <c r="E68" t="s">
        <v>525</v>
      </c>
      <c r="H68" s="20">
        <v>20</v>
      </c>
      <c r="I68" t="s">
        <v>596</v>
      </c>
      <c r="J68" t="s">
        <v>571</v>
      </c>
    </row>
    <row r="69" spans="1:10" x14ac:dyDescent="0.45">
      <c r="A69" t="s">
        <v>231</v>
      </c>
      <c r="B69" t="s">
        <v>221</v>
      </c>
      <c r="C69" t="s">
        <v>240</v>
      </c>
      <c r="D69" t="s">
        <v>241</v>
      </c>
      <c r="E69" t="s">
        <v>525</v>
      </c>
      <c r="H69" s="20">
        <v>20</v>
      </c>
      <c r="I69" t="s">
        <v>596</v>
      </c>
      <c r="J69" t="s">
        <v>571</v>
      </c>
    </row>
    <row r="70" spans="1:10" x14ac:dyDescent="0.45">
      <c r="A70" t="s">
        <v>231</v>
      </c>
      <c r="B70" t="s">
        <v>198</v>
      </c>
      <c r="C70" t="s">
        <v>240</v>
      </c>
      <c r="D70" t="s">
        <v>241</v>
      </c>
      <c r="E70" t="s">
        <v>546</v>
      </c>
      <c r="H70" s="20">
        <v>20</v>
      </c>
      <c r="I70" t="s">
        <v>595</v>
      </c>
      <c r="J70" t="s">
        <v>571</v>
      </c>
    </row>
    <row r="71" spans="1:10" x14ac:dyDescent="0.45">
      <c r="A71" t="s">
        <v>231</v>
      </c>
      <c r="B71" t="s">
        <v>554</v>
      </c>
      <c r="C71" t="s">
        <v>240</v>
      </c>
      <c r="D71" t="s">
        <v>241</v>
      </c>
      <c r="E71" t="s">
        <v>546</v>
      </c>
      <c r="H71" s="20">
        <v>20</v>
      </c>
      <c r="I71" t="s">
        <v>595</v>
      </c>
      <c r="J71" t="s">
        <v>571</v>
      </c>
    </row>
    <row r="72" spans="1:10" x14ac:dyDescent="0.45">
      <c r="A72" t="s">
        <v>231</v>
      </c>
      <c r="B72" t="s">
        <v>229</v>
      </c>
      <c r="C72" t="s">
        <v>240</v>
      </c>
      <c r="D72" t="s">
        <v>241</v>
      </c>
      <c r="E72" t="s">
        <v>546</v>
      </c>
      <c r="H72" s="20">
        <v>20</v>
      </c>
      <c r="I72" t="s">
        <v>595</v>
      </c>
      <c r="J72" t="s">
        <v>571</v>
      </c>
    </row>
    <row r="73" spans="1:10" x14ac:dyDescent="0.45">
      <c r="A73" t="s">
        <v>231</v>
      </c>
      <c r="B73" t="s">
        <v>204</v>
      </c>
      <c r="C73" t="s">
        <v>240</v>
      </c>
      <c r="D73" t="s">
        <v>241</v>
      </c>
      <c r="E73" t="s">
        <v>546</v>
      </c>
      <c r="H73" s="20">
        <v>20</v>
      </c>
      <c r="I73" t="s">
        <v>595</v>
      </c>
      <c r="J73" t="s">
        <v>571</v>
      </c>
    </row>
    <row r="74" spans="1:10" x14ac:dyDescent="0.45">
      <c r="A74" t="s">
        <v>231</v>
      </c>
      <c r="B74" t="s">
        <v>159</v>
      </c>
      <c r="C74" t="s">
        <v>240</v>
      </c>
      <c r="D74" t="s">
        <v>241</v>
      </c>
      <c r="E74" t="s">
        <v>546</v>
      </c>
      <c r="H74" s="20">
        <v>20</v>
      </c>
      <c r="I74" t="s">
        <v>595</v>
      </c>
      <c r="J74" t="s">
        <v>571</v>
      </c>
    </row>
    <row r="75" spans="1:10" x14ac:dyDescent="0.45">
      <c r="A75" t="s">
        <v>231</v>
      </c>
      <c r="B75" t="s">
        <v>201</v>
      </c>
      <c r="C75" t="s">
        <v>240</v>
      </c>
      <c r="D75" t="s">
        <v>241</v>
      </c>
      <c r="E75" t="s">
        <v>546</v>
      </c>
      <c r="H75" s="20">
        <v>20</v>
      </c>
      <c r="I75" t="s">
        <v>595</v>
      </c>
      <c r="J75" t="s">
        <v>571</v>
      </c>
    </row>
    <row r="76" spans="1:10" x14ac:dyDescent="0.45">
      <c r="A76" t="s">
        <v>231</v>
      </c>
      <c r="B76" t="s">
        <v>202</v>
      </c>
      <c r="C76" t="s">
        <v>240</v>
      </c>
      <c r="D76" t="s">
        <v>241</v>
      </c>
      <c r="E76" t="s">
        <v>546</v>
      </c>
      <c r="H76" s="20">
        <v>20</v>
      </c>
      <c r="I76" t="s">
        <v>595</v>
      </c>
      <c r="J76" t="s">
        <v>571</v>
      </c>
    </row>
    <row r="77" spans="1:10" x14ac:dyDescent="0.45">
      <c r="A77" t="s">
        <v>231</v>
      </c>
      <c r="B77" t="s">
        <v>227</v>
      </c>
      <c r="C77" t="s">
        <v>240</v>
      </c>
      <c r="D77" t="s">
        <v>241</v>
      </c>
      <c r="E77" t="s">
        <v>546</v>
      </c>
      <c r="H77" s="20">
        <v>20</v>
      </c>
      <c r="I77" t="s">
        <v>595</v>
      </c>
      <c r="J77" t="s">
        <v>571</v>
      </c>
    </row>
    <row r="78" spans="1:10" x14ac:dyDescent="0.45">
      <c r="C78" s="9"/>
      <c r="D78" s="9"/>
      <c r="E78" s="9"/>
      <c r="H78" s="20"/>
    </row>
    <row r="79" spans="1:10" x14ac:dyDescent="0.45">
      <c r="A79" t="s">
        <v>44</v>
      </c>
      <c r="B79" t="s">
        <v>4</v>
      </c>
      <c r="C79" t="s">
        <v>3</v>
      </c>
      <c r="D79" t="s">
        <v>5</v>
      </c>
      <c r="E79" t="s">
        <v>12</v>
      </c>
      <c r="H79" s="20"/>
    </row>
    <row r="80" spans="1:10" x14ac:dyDescent="0.45">
      <c r="A80" t="s">
        <v>232</v>
      </c>
      <c r="B80" t="s">
        <v>212</v>
      </c>
      <c r="C80" t="s">
        <v>242</v>
      </c>
      <c r="D80" t="s">
        <v>243</v>
      </c>
      <c r="E80" t="s">
        <v>250</v>
      </c>
      <c r="H80" s="20">
        <v>19</v>
      </c>
      <c r="I80" t="s">
        <v>592</v>
      </c>
      <c r="J80" t="s">
        <v>571</v>
      </c>
    </row>
    <row r="81" spans="1:10" x14ac:dyDescent="0.45">
      <c r="A81" t="s">
        <v>232</v>
      </c>
      <c r="B81" t="s">
        <v>184</v>
      </c>
      <c r="C81" t="s">
        <v>242</v>
      </c>
      <c r="D81" t="s">
        <v>243</v>
      </c>
      <c r="E81" t="s">
        <v>250</v>
      </c>
      <c r="H81" s="20">
        <v>19</v>
      </c>
      <c r="I81" t="s">
        <v>592</v>
      </c>
      <c r="J81" t="s">
        <v>571</v>
      </c>
    </row>
    <row r="82" spans="1:10" x14ac:dyDescent="0.45">
      <c r="A82" t="s">
        <v>232</v>
      </c>
      <c r="B82" t="s">
        <v>151</v>
      </c>
      <c r="C82" t="s">
        <v>242</v>
      </c>
      <c r="D82" t="s">
        <v>243</v>
      </c>
      <c r="E82" t="s">
        <v>547</v>
      </c>
      <c r="H82" s="20">
        <v>19</v>
      </c>
      <c r="I82" t="s">
        <v>592</v>
      </c>
      <c r="J82" t="s">
        <v>571</v>
      </c>
    </row>
    <row r="83" spans="1:10" x14ac:dyDescent="0.45">
      <c r="A83" t="s">
        <v>232</v>
      </c>
      <c r="B83" t="s">
        <v>228</v>
      </c>
      <c r="C83" t="s">
        <v>242</v>
      </c>
      <c r="D83" t="s">
        <v>243</v>
      </c>
      <c r="E83" t="s">
        <v>547</v>
      </c>
      <c r="H83" s="20">
        <v>19</v>
      </c>
      <c r="I83" t="s">
        <v>592</v>
      </c>
      <c r="J83" t="s">
        <v>571</v>
      </c>
    </row>
    <row r="84" spans="1:10" x14ac:dyDescent="0.45">
      <c r="A84" t="s">
        <v>232</v>
      </c>
      <c r="B84" t="s">
        <v>179</v>
      </c>
      <c r="C84" t="s">
        <v>242</v>
      </c>
      <c r="D84" t="s">
        <v>243</v>
      </c>
      <c r="E84" t="s">
        <v>547</v>
      </c>
      <c r="H84" s="20">
        <v>19</v>
      </c>
      <c r="I84" t="s">
        <v>592</v>
      </c>
      <c r="J84" t="s">
        <v>571</v>
      </c>
    </row>
    <row r="85" spans="1:10" x14ac:dyDescent="0.45">
      <c r="A85" t="s">
        <v>232</v>
      </c>
      <c r="B85" t="s">
        <v>141</v>
      </c>
      <c r="C85" t="s">
        <v>242</v>
      </c>
      <c r="D85" t="s">
        <v>243</v>
      </c>
      <c r="E85" t="s">
        <v>547</v>
      </c>
      <c r="H85" s="20">
        <v>19</v>
      </c>
      <c r="I85" t="s">
        <v>592</v>
      </c>
      <c r="J85" t="s">
        <v>571</v>
      </c>
    </row>
    <row r="86" spans="1:10" x14ac:dyDescent="0.45">
      <c r="A86" t="s">
        <v>232</v>
      </c>
      <c r="B86" t="s">
        <v>219</v>
      </c>
      <c r="C86" t="s">
        <v>242</v>
      </c>
      <c r="D86" t="s">
        <v>243</v>
      </c>
      <c r="E86" t="s">
        <v>547</v>
      </c>
      <c r="H86" s="20">
        <v>19</v>
      </c>
      <c r="I86" t="s">
        <v>592</v>
      </c>
      <c r="J86" t="s">
        <v>571</v>
      </c>
    </row>
    <row r="87" spans="1:10" x14ac:dyDescent="0.45">
      <c r="A87" t="s">
        <v>232</v>
      </c>
      <c r="B87" t="s">
        <v>152</v>
      </c>
      <c r="C87" t="s">
        <v>242</v>
      </c>
      <c r="D87" t="s">
        <v>243</v>
      </c>
      <c r="E87" t="s">
        <v>547</v>
      </c>
      <c r="H87" s="20">
        <v>19</v>
      </c>
      <c r="I87" t="s">
        <v>592</v>
      </c>
      <c r="J87" t="s">
        <v>571</v>
      </c>
    </row>
    <row r="88" spans="1:10" x14ac:dyDescent="0.45">
      <c r="A88" t="s">
        <v>232</v>
      </c>
      <c r="B88" t="s">
        <v>199</v>
      </c>
      <c r="C88" t="s">
        <v>242</v>
      </c>
      <c r="D88" t="s">
        <v>243</v>
      </c>
      <c r="E88" t="s">
        <v>547</v>
      </c>
      <c r="H88" s="20">
        <v>19</v>
      </c>
      <c r="I88" t="s">
        <v>592</v>
      </c>
      <c r="J88" t="s">
        <v>571</v>
      </c>
    </row>
    <row r="89" spans="1:10" x14ac:dyDescent="0.45">
      <c r="A89" t="s">
        <v>232</v>
      </c>
      <c r="B89" t="s">
        <v>193</v>
      </c>
      <c r="C89" t="s">
        <v>252</v>
      </c>
      <c r="D89" t="s">
        <v>253</v>
      </c>
      <c r="E89" t="s">
        <v>526</v>
      </c>
      <c r="H89" s="20">
        <v>4</v>
      </c>
      <c r="I89" t="s">
        <v>568</v>
      </c>
      <c r="J89" t="s">
        <v>571</v>
      </c>
    </row>
    <row r="90" spans="1:10" x14ac:dyDescent="0.45">
      <c r="A90" t="s">
        <v>232</v>
      </c>
      <c r="B90" t="s">
        <v>177</v>
      </c>
      <c r="C90" t="s">
        <v>252</v>
      </c>
      <c r="D90" t="s">
        <v>253</v>
      </c>
      <c r="E90" t="s">
        <v>526</v>
      </c>
      <c r="H90" s="20">
        <v>4</v>
      </c>
      <c r="I90" t="s">
        <v>568</v>
      </c>
      <c r="J90" t="s">
        <v>571</v>
      </c>
    </row>
    <row r="91" spans="1:10" x14ac:dyDescent="0.45">
      <c r="A91" t="s">
        <v>232</v>
      </c>
      <c r="B91" t="s">
        <v>207</v>
      </c>
      <c r="C91" t="s">
        <v>252</v>
      </c>
      <c r="D91" t="s">
        <v>253</v>
      </c>
      <c r="E91" t="s">
        <v>548</v>
      </c>
      <c r="H91" s="20">
        <v>4</v>
      </c>
      <c r="I91" t="s">
        <v>568</v>
      </c>
      <c r="J91" t="s">
        <v>571</v>
      </c>
    </row>
    <row r="92" spans="1:10" x14ac:dyDescent="0.45">
      <c r="A92" t="s">
        <v>232</v>
      </c>
      <c r="B92" t="s">
        <v>197</v>
      </c>
      <c r="C92" t="s">
        <v>252</v>
      </c>
      <c r="D92" t="s">
        <v>253</v>
      </c>
      <c r="E92" t="s">
        <v>548</v>
      </c>
      <c r="H92" s="20">
        <v>4</v>
      </c>
      <c r="I92" t="s">
        <v>568</v>
      </c>
      <c r="J92" t="s">
        <v>571</v>
      </c>
    </row>
    <row r="93" spans="1:10" x14ac:dyDescent="0.45">
      <c r="A93" t="s">
        <v>232</v>
      </c>
      <c r="B93" t="s">
        <v>146</v>
      </c>
      <c r="C93" t="s">
        <v>252</v>
      </c>
      <c r="D93" t="s">
        <v>253</v>
      </c>
      <c r="E93" t="s">
        <v>548</v>
      </c>
      <c r="H93" s="20">
        <v>4</v>
      </c>
      <c r="I93" t="s">
        <v>568</v>
      </c>
      <c r="J93" t="s">
        <v>571</v>
      </c>
    </row>
    <row r="94" spans="1:10" x14ac:dyDescent="0.45">
      <c r="A94" t="s">
        <v>232</v>
      </c>
      <c r="B94" t="s">
        <v>176</v>
      </c>
      <c r="C94" t="s">
        <v>252</v>
      </c>
      <c r="D94" t="s">
        <v>253</v>
      </c>
      <c r="E94" t="s">
        <v>548</v>
      </c>
      <c r="H94" s="20">
        <v>4</v>
      </c>
      <c r="I94" t="s">
        <v>568</v>
      </c>
      <c r="J94" t="s">
        <v>571</v>
      </c>
    </row>
    <row r="95" spans="1:10" x14ac:dyDescent="0.45">
      <c r="A95" t="s">
        <v>232</v>
      </c>
      <c r="B95" t="s">
        <v>216</v>
      </c>
      <c r="C95" t="s">
        <v>252</v>
      </c>
      <c r="D95" t="s">
        <v>253</v>
      </c>
      <c r="E95" t="s">
        <v>548</v>
      </c>
      <c r="H95" s="20">
        <v>4</v>
      </c>
      <c r="I95" t="s">
        <v>568</v>
      </c>
      <c r="J95" t="s">
        <v>571</v>
      </c>
    </row>
    <row r="96" spans="1:10" x14ac:dyDescent="0.45">
      <c r="A96" t="s">
        <v>232</v>
      </c>
      <c r="B96" t="s">
        <v>172</v>
      </c>
      <c r="C96" t="s">
        <v>252</v>
      </c>
      <c r="D96" t="s">
        <v>253</v>
      </c>
      <c r="E96" t="s">
        <v>548</v>
      </c>
      <c r="H96" s="20">
        <v>4</v>
      </c>
      <c r="I96" t="s">
        <v>568</v>
      </c>
      <c r="J96" t="s">
        <v>571</v>
      </c>
    </row>
    <row r="97" spans="1:10" x14ac:dyDescent="0.45">
      <c r="A97" t="s">
        <v>232</v>
      </c>
      <c r="B97" t="s">
        <v>178</v>
      </c>
      <c r="C97" t="s">
        <v>252</v>
      </c>
      <c r="D97" t="s">
        <v>253</v>
      </c>
      <c r="E97" t="s">
        <v>548</v>
      </c>
      <c r="H97" s="20">
        <v>4</v>
      </c>
      <c r="I97" t="s">
        <v>568</v>
      </c>
      <c r="J97" t="s">
        <v>571</v>
      </c>
    </row>
    <row r="98" spans="1:10" x14ac:dyDescent="0.45">
      <c r="A98" t="s">
        <v>232</v>
      </c>
      <c r="B98" t="s">
        <v>217</v>
      </c>
      <c r="C98" t="s">
        <v>252</v>
      </c>
      <c r="D98" t="s">
        <v>253</v>
      </c>
      <c r="E98" t="s">
        <v>548</v>
      </c>
      <c r="H98" s="20">
        <v>4</v>
      </c>
      <c r="I98" t="s">
        <v>568</v>
      </c>
      <c r="J98" t="s">
        <v>571</v>
      </c>
    </row>
    <row r="99" spans="1:10" x14ac:dyDescent="0.45">
      <c r="C99" s="9"/>
      <c r="D99" s="9"/>
      <c r="E99" s="9"/>
      <c r="H99" s="20"/>
    </row>
    <row r="100" spans="1:10" x14ac:dyDescent="0.45">
      <c r="A100" t="s">
        <v>44</v>
      </c>
      <c r="B100" t="s">
        <v>4</v>
      </c>
      <c r="C100" t="s">
        <v>3</v>
      </c>
      <c r="D100" t="s">
        <v>5</v>
      </c>
      <c r="E100" t="s">
        <v>12</v>
      </c>
      <c r="H100" s="20"/>
    </row>
    <row r="101" spans="1:10" x14ac:dyDescent="0.45">
      <c r="A101" t="s">
        <v>232</v>
      </c>
      <c r="B101" t="s">
        <v>200</v>
      </c>
      <c r="C101" t="s">
        <v>255</v>
      </c>
      <c r="D101" t="s">
        <v>254</v>
      </c>
      <c r="E101" t="s">
        <v>251</v>
      </c>
      <c r="H101" s="20" t="s">
        <v>501</v>
      </c>
      <c r="I101" t="s">
        <v>597</v>
      </c>
      <c r="J101" t="s">
        <v>574</v>
      </c>
    </row>
    <row r="102" spans="1:10" x14ac:dyDescent="0.45">
      <c r="A102" t="s">
        <v>232</v>
      </c>
      <c r="B102" t="s">
        <v>170</v>
      </c>
      <c r="C102" t="s">
        <v>255</v>
      </c>
      <c r="D102" t="s">
        <v>254</v>
      </c>
      <c r="E102" t="s">
        <v>251</v>
      </c>
      <c r="H102" s="20" t="s">
        <v>501</v>
      </c>
      <c r="I102" t="s">
        <v>597</v>
      </c>
      <c r="J102" t="s">
        <v>574</v>
      </c>
    </row>
    <row r="103" spans="1:10" x14ac:dyDescent="0.45">
      <c r="A103" t="s">
        <v>232</v>
      </c>
      <c r="B103" t="s">
        <v>225</v>
      </c>
      <c r="C103" t="s">
        <v>255</v>
      </c>
      <c r="D103" t="s">
        <v>254</v>
      </c>
      <c r="E103" t="s">
        <v>549</v>
      </c>
      <c r="H103" s="20" t="s">
        <v>501</v>
      </c>
      <c r="I103" t="s">
        <v>597</v>
      </c>
      <c r="J103" t="s">
        <v>573</v>
      </c>
    </row>
    <row r="104" spans="1:10" x14ac:dyDescent="0.45">
      <c r="A104" t="s">
        <v>232</v>
      </c>
      <c r="B104" t="s">
        <v>167</v>
      </c>
      <c r="C104" t="s">
        <v>255</v>
      </c>
      <c r="D104" t="s">
        <v>254</v>
      </c>
      <c r="E104" t="s">
        <v>549</v>
      </c>
      <c r="H104" s="20" t="s">
        <v>501</v>
      </c>
      <c r="I104" t="s">
        <v>597</v>
      </c>
      <c r="J104" t="s">
        <v>573</v>
      </c>
    </row>
    <row r="105" spans="1:10" x14ac:dyDescent="0.45">
      <c r="A105" t="s">
        <v>232</v>
      </c>
      <c r="B105" t="s">
        <v>150</v>
      </c>
      <c r="C105" t="s">
        <v>255</v>
      </c>
      <c r="D105" t="s">
        <v>254</v>
      </c>
      <c r="E105" t="s">
        <v>549</v>
      </c>
      <c r="H105" s="20" t="s">
        <v>501</v>
      </c>
      <c r="I105" t="s">
        <v>597</v>
      </c>
      <c r="J105" t="s">
        <v>573</v>
      </c>
    </row>
    <row r="106" spans="1:10" x14ac:dyDescent="0.45">
      <c r="A106" t="s">
        <v>232</v>
      </c>
      <c r="B106" t="s">
        <v>147</v>
      </c>
      <c r="C106" t="s">
        <v>255</v>
      </c>
      <c r="D106" t="s">
        <v>254</v>
      </c>
      <c r="E106" t="s">
        <v>549</v>
      </c>
      <c r="H106" s="20" t="s">
        <v>501</v>
      </c>
      <c r="I106" t="s">
        <v>597</v>
      </c>
      <c r="J106" t="s">
        <v>573</v>
      </c>
    </row>
    <row r="107" spans="1:10" x14ac:dyDescent="0.45">
      <c r="A107" t="s">
        <v>232</v>
      </c>
      <c r="B107" t="s">
        <v>182</v>
      </c>
      <c r="C107" t="s">
        <v>255</v>
      </c>
      <c r="D107" t="s">
        <v>254</v>
      </c>
      <c r="E107" t="s">
        <v>549</v>
      </c>
      <c r="H107" s="20" t="s">
        <v>501</v>
      </c>
      <c r="I107" t="s">
        <v>597</v>
      </c>
      <c r="J107" t="s">
        <v>573</v>
      </c>
    </row>
    <row r="108" spans="1:10" x14ac:dyDescent="0.45">
      <c r="A108" t="s">
        <v>232</v>
      </c>
      <c r="B108" t="s">
        <v>162</v>
      </c>
      <c r="C108" t="s">
        <v>255</v>
      </c>
      <c r="D108" t="s">
        <v>254</v>
      </c>
      <c r="E108" t="s">
        <v>549</v>
      </c>
      <c r="H108" s="20" t="s">
        <v>501</v>
      </c>
      <c r="I108" t="s">
        <v>597</v>
      </c>
      <c r="J108" t="s">
        <v>573</v>
      </c>
    </row>
    <row r="109" spans="1:10" x14ac:dyDescent="0.45">
      <c r="A109" t="s">
        <v>232</v>
      </c>
      <c r="B109" t="s">
        <v>189</v>
      </c>
      <c r="C109" t="s">
        <v>255</v>
      </c>
      <c r="D109" t="s">
        <v>254</v>
      </c>
      <c r="E109" t="s">
        <v>549</v>
      </c>
      <c r="H109" s="20" t="s">
        <v>501</v>
      </c>
      <c r="I109" t="s">
        <v>597</v>
      </c>
      <c r="J109" t="s">
        <v>573</v>
      </c>
    </row>
    <row r="110" spans="1:10" x14ac:dyDescent="0.45">
      <c r="A110" t="s">
        <v>232</v>
      </c>
      <c r="B110" t="s">
        <v>148</v>
      </c>
      <c r="C110" t="s">
        <v>255</v>
      </c>
      <c r="D110" t="s">
        <v>254</v>
      </c>
      <c r="E110" t="s">
        <v>549</v>
      </c>
      <c r="H110" s="20" t="s">
        <v>501</v>
      </c>
      <c r="I110" t="s">
        <v>597</v>
      </c>
      <c r="J110" t="s">
        <v>573</v>
      </c>
    </row>
    <row r="111" spans="1:10" x14ac:dyDescent="0.45">
      <c r="A111" t="s">
        <v>232</v>
      </c>
      <c r="B111" t="s">
        <v>504</v>
      </c>
      <c r="C111" t="s">
        <v>255</v>
      </c>
      <c r="D111" t="s">
        <v>254</v>
      </c>
      <c r="E111" t="s">
        <v>549</v>
      </c>
      <c r="H111" s="20" t="s">
        <v>501</v>
      </c>
      <c r="I111" t="s">
        <v>597</v>
      </c>
      <c r="J111" t="s">
        <v>573</v>
      </c>
    </row>
    <row r="112" spans="1:10" x14ac:dyDescent="0.45">
      <c r="A112" t="s">
        <v>232</v>
      </c>
      <c r="B112" t="s">
        <v>174</v>
      </c>
      <c r="C112" t="s">
        <v>255</v>
      </c>
      <c r="D112" t="s">
        <v>254</v>
      </c>
      <c r="E112" t="s">
        <v>549</v>
      </c>
      <c r="H112" s="20" t="s">
        <v>501</v>
      </c>
      <c r="I112" t="s">
        <v>597</v>
      </c>
      <c r="J112" t="s">
        <v>573</v>
      </c>
    </row>
    <row r="113" spans="1:10" x14ac:dyDescent="0.45">
      <c r="A113" t="s">
        <v>232</v>
      </c>
      <c r="B113" t="s">
        <v>230</v>
      </c>
      <c r="C113" t="s">
        <v>246</v>
      </c>
      <c r="D113" t="s">
        <v>247</v>
      </c>
      <c r="E113" t="s">
        <v>248</v>
      </c>
      <c r="H113" s="20" t="s">
        <v>231</v>
      </c>
      <c r="I113" t="s">
        <v>588</v>
      </c>
      <c r="J113" t="s">
        <v>572</v>
      </c>
    </row>
    <row r="114" spans="1:10" x14ac:dyDescent="0.45">
      <c r="A114" t="s">
        <v>232</v>
      </c>
      <c r="B114" t="s">
        <v>203</v>
      </c>
      <c r="C114" t="s">
        <v>246</v>
      </c>
      <c r="D114" t="s">
        <v>247</v>
      </c>
      <c r="E114" t="s">
        <v>248</v>
      </c>
      <c r="H114" s="20" t="s">
        <v>231</v>
      </c>
      <c r="I114" t="s">
        <v>588</v>
      </c>
      <c r="J114" t="s">
        <v>572</v>
      </c>
    </row>
    <row r="115" spans="1:10" x14ac:dyDescent="0.45">
      <c r="A115" t="s">
        <v>232</v>
      </c>
      <c r="B115" t="s">
        <v>191</v>
      </c>
      <c r="C115" t="s">
        <v>246</v>
      </c>
      <c r="D115" t="s">
        <v>247</v>
      </c>
      <c r="E115" t="s">
        <v>550</v>
      </c>
      <c r="H115" s="20" t="s">
        <v>231</v>
      </c>
      <c r="I115" t="s">
        <v>588</v>
      </c>
      <c r="J115" t="s">
        <v>572</v>
      </c>
    </row>
    <row r="116" spans="1:10" x14ac:dyDescent="0.45">
      <c r="A116" t="s">
        <v>232</v>
      </c>
      <c r="B116" t="s">
        <v>175</v>
      </c>
      <c r="C116" t="s">
        <v>246</v>
      </c>
      <c r="D116" t="s">
        <v>247</v>
      </c>
      <c r="E116" t="s">
        <v>550</v>
      </c>
      <c r="H116" s="20" t="s">
        <v>231</v>
      </c>
      <c r="I116" t="s">
        <v>588</v>
      </c>
      <c r="J116" t="s">
        <v>572</v>
      </c>
    </row>
    <row r="117" spans="1:10" x14ac:dyDescent="0.45">
      <c r="A117" t="s">
        <v>232</v>
      </c>
      <c r="B117" t="s">
        <v>220</v>
      </c>
      <c r="C117" t="s">
        <v>246</v>
      </c>
      <c r="D117" t="s">
        <v>247</v>
      </c>
      <c r="E117" t="s">
        <v>550</v>
      </c>
      <c r="H117" s="20" t="s">
        <v>231</v>
      </c>
      <c r="I117" t="s">
        <v>588</v>
      </c>
      <c r="J117" t="s">
        <v>572</v>
      </c>
    </row>
    <row r="118" spans="1:10" x14ac:dyDescent="0.45">
      <c r="A118" t="s">
        <v>232</v>
      </c>
      <c r="B118" t="s">
        <v>140</v>
      </c>
      <c r="C118" t="s">
        <v>246</v>
      </c>
      <c r="D118" t="s">
        <v>247</v>
      </c>
      <c r="E118" t="s">
        <v>550</v>
      </c>
      <c r="H118" s="20" t="s">
        <v>231</v>
      </c>
      <c r="I118" t="s">
        <v>588</v>
      </c>
      <c r="J118" t="s">
        <v>572</v>
      </c>
    </row>
    <row r="119" spans="1:10" x14ac:dyDescent="0.45">
      <c r="A119" t="s">
        <v>232</v>
      </c>
      <c r="B119" t="s">
        <v>166</v>
      </c>
      <c r="C119" t="s">
        <v>246</v>
      </c>
      <c r="D119" t="s">
        <v>247</v>
      </c>
      <c r="E119" t="s">
        <v>550</v>
      </c>
      <c r="H119" s="20" t="s">
        <v>231</v>
      </c>
      <c r="I119" t="s">
        <v>588</v>
      </c>
      <c r="J119" t="s">
        <v>572</v>
      </c>
    </row>
    <row r="120" spans="1:10" x14ac:dyDescent="0.45">
      <c r="A120" t="s">
        <v>232</v>
      </c>
      <c r="B120" t="s">
        <v>163</v>
      </c>
      <c r="C120" t="s">
        <v>246</v>
      </c>
      <c r="D120" t="s">
        <v>247</v>
      </c>
      <c r="E120" t="s">
        <v>550</v>
      </c>
      <c r="H120" s="20" t="s">
        <v>231</v>
      </c>
      <c r="I120" t="s">
        <v>588</v>
      </c>
      <c r="J120" t="s">
        <v>572</v>
      </c>
    </row>
    <row r="121" spans="1:10" x14ac:dyDescent="0.45">
      <c r="A121" t="s">
        <v>232</v>
      </c>
      <c r="B121" t="s">
        <v>183</v>
      </c>
      <c r="C121" t="s">
        <v>246</v>
      </c>
      <c r="D121" t="s">
        <v>247</v>
      </c>
      <c r="E121" t="s">
        <v>550</v>
      </c>
      <c r="H121" s="20" t="s">
        <v>231</v>
      </c>
      <c r="I121" t="s">
        <v>588</v>
      </c>
      <c r="J121" t="s">
        <v>572</v>
      </c>
    </row>
    <row r="122" spans="1:10" x14ac:dyDescent="0.45">
      <c r="A122" t="s">
        <v>232</v>
      </c>
      <c r="B122" t="s">
        <v>196</v>
      </c>
      <c r="C122" t="s">
        <v>246</v>
      </c>
      <c r="D122" t="s">
        <v>247</v>
      </c>
      <c r="E122" t="s">
        <v>550</v>
      </c>
      <c r="H122" s="20" t="s">
        <v>231</v>
      </c>
      <c r="I122" t="s">
        <v>588</v>
      </c>
      <c r="J122" t="s">
        <v>572</v>
      </c>
    </row>
    <row r="123" spans="1:10" x14ac:dyDescent="0.45">
      <c r="A123" t="s">
        <v>232</v>
      </c>
      <c r="B123" t="s">
        <v>154</v>
      </c>
      <c r="C123" t="s">
        <v>246</v>
      </c>
      <c r="D123" t="s">
        <v>247</v>
      </c>
      <c r="E123" t="s">
        <v>550</v>
      </c>
      <c r="H123" s="20" t="s">
        <v>231</v>
      </c>
      <c r="I123" t="s">
        <v>588</v>
      </c>
      <c r="J123" t="s">
        <v>572</v>
      </c>
    </row>
    <row r="124" spans="1:10" x14ac:dyDescent="0.45">
      <c r="A124" t="s">
        <v>232</v>
      </c>
      <c r="B124" t="s">
        <v>155</v>
      </c>
      <c r="C124" t="s">
        <v>246</v>
      </c>
      <c r="D124" t="s">
        <v>247</v>
      </c>
      <c r="E124" t="s">
        <v>550</v>
      </c>
      <c r="H124" s="20" t="s">
        <v>231</v>
      </c>
      <c r="I124" t="s">
        <v>588</v>
      </c>
      <c r="J124" t="s">
        <v>572</v>
      </c>
    </row>
    <row r="125" spans="1:10" x14ac:dyDescent="0.45">
      <c r="C125" s="9"/>
      <c r="D125" s="9"/>
      <c r="E125" s="9"/>
    </row>
    <row r="126" spans="1:10" x14ac:dyDescent="0.45">
      <c r="A126" t="s">
        <v>44</v>
      </c>
      <c r="B126" t="s">
        <v>4</v>
      </c>
      <c r="C126" t="s">
        <v>3</v>
      </c>
      <c r="D126" t="s">
        <v>5</v>
      </c>
      <c r="E126" t="s">
        <v>12</v>
      </c>
    </row>
    <row r="127" spans="1:10" x14ac:dyDescent="0.45">
      <c r="A127" t="s">
        <v>232</v>
      </c>
      <c r="B127" t="s">
        <v>194</v>
      </c>
      <c r="C127" t="s">
        <v>258</v>
      </c>
      <c r="D127" t="s">
        <v>257</v>
      </c>
      <c r="E127" t="s">
        <v>256</v>
      </c>
      <c r="H127" s="20" t="s">
        <v>636</v>
      </c>
      <c r="I127" t="s">
        <v>637</v>
      </c>
      <c r="J127" t="s">
        <v>638</v>
      </c>
    </row>
    <row r="128" spans="1:10" x14ac:dyDescent="0.45">
      <c r="A128" t="s">
        <v>232</v>
      </c>
      <c r="B128" t="s">
        <v>208</v>
      </c>
      <c r="C128" t="s">
        <v>258</v>
      </c>
      <c r="D128" t="s">
        <v>257</v>
      </c>
      <c r="E128" t="s">
        <v>256</v>
      </c>
      <c r="H128" s="20" t="s">
        <v>636</v>
      </c>
      <c r="I128" t="s">
        <v>637</v>
      </c>
      <c r="J128" t="s">
        <v>638</v>
      </c>
    </row>
    <row r="129" spans="1:10" x14ac:dyDescent="0.45">
      <c r="A129" t="s">
        <v>232</v>
      </c>
      <c r="B129" t="s">
        <v>181</v>
      </c>
      <c r="C129" t="s">
        <v>258</v>
      </c>
      <c r="D129" t="s">
        <v>257</v>
      </c>
      <c r="E129" t="s">
        <v>551</v>
      </c>
      <c r="H129" s="20" t="s">
        <v>636</v>
      </c>
      <c r="I129" t="s">
        <v>637</v>
      </c>
      <c r="J129" t="s">
        <v>638</v>
      </c>
    </row>
    <row r="130" spans="1:10" x14ac:dyDescent="0.45">
      <c r="A130" t="s">
        <v>232</v>
      </c>
      <c r="B130" t="s">
        <v>226</v>
      </c>
      <c r="C130" t="s">
        <v>258</v>
      </c>
      <c r="D130" t="s">
        <v>257</v>
      </c>
      <c r="E130" t="s">
        <v>551</v>
      </c>
      <c r="H130" s="20" t="s">
        <v>636</v>
      </c>
      <c r="I130" t="s">
        <v>637</v>
      </c>
      <c r="J130" t="s">
        <v>638</v>
      </c>
    </row>
    <row r="131" spans="1:10" x14ac:dyDescent="0.45">
      <c r="A131" t="s">
        <v>232</v>
      </c>
      <c r="B131" t="s">
        <v>169</v>
      </c>
      <c r="C131" t="s">
        <v>258</v>
      </c>
      <c r="D131" t="s">
        <v>257</v>
      </c>
      <c r="E131" t="s">
        <v>551</v>
      </c>
      <c r="H131" s="20" t="s">
        <v>636</v>
      </c>
      <c r="I131" t="s">
        <v>637</v>
      </c>
      <c r="J131" t="s">
        <v>638</v>
      </c>
    </row>
    <row r="132" spans="1:10" x14ac:dyDescent="0.45">
      <c r="A132" t="s">
        <v>232</v>
      </c>
      <c r="B132" t="s">
        <v>218</v>
      </c>
      <c r="C132" t="s">
        <v>258</v>
      </c>
      <c r="D132" t="s">
        <v>257</v>
      </c>
      <c r="E132" t="s">
        <v>551</v>
      </c>
      <c r="H132" s="20" t="s">
        <v>636</v>
      </c>
      <c r="I132" t="s">
        <v>637</v>
      </c>
      <c r="J132" t="s">
        <v>638</v>
      </c>
    </row>
    <row r="133" spans="1:10" x14ac:dyDescent="0.45">
      <c r="A133" t="s">
        <v>232</v>
      </c>
      <c r="B133" t="s">
        <v>215</v>
      </c>
      <c r="C133" t="s">
        <v>258</v>
      </c>
      <c r="D133" t="s">
        <v>257</v>
      </c>
      <c r="E133" t="s">
        <v>551</v>
      </c>
      <c r="H133" s="20" t="s">
        <v>636</v>
      </c>
      <c r="I133" t="s">
        <v>637</v>
      </c>
      <c r="J133" t="s">
        <v>638</v>
      </c>
    </row>
    <row r="134" spans="1:10" x14ac:dyDescent="0.45">
      <c r="A134" t="s">
        <v>232</v>
      </c>
      <c r="B134" t="s">
        <v>171</v>
      </c>
      <c r="C134" t="s">
        <v>258</v>
      </c>
      <c r="D134" t="s">
        <v>257</v>
      </c>
      <c r="E134" t="s">
        <v>551</v>
      </c>
      <c r="H134" s="20" t="s">
        <v>636</v>
      </c>
      <c r="I134" t="s">
        <v>637</v>
      </c>
      <c r="J134" t="s">
        <v>638</v>
      </c>
    </row>
    <row r="135" spans="1:10" x14ac:dyDescent="0.45">
      <c r="A135" t="s">
        <v>232</v>
      </c>
      <c r="B135" t="s">
        <v>206</v>
      </c>
      <c r="C135" t="s">
        <v>258</v>
      </c>
      <c r="D135" t="s">
        <v>257</v>
      </c>
      <c r="E135" t="s">
        <v>551</v>
      </c>
      <c r="H135" s="20" t="s">
        <v>636</v>
      </c>
      <c r="I135" t="s">
        <v>637</v>
      </c>
      <c r="J135" t="s">
        <v>638</v>
      </c>
    </row>
    <row r="136" spans="1:10" x14ac:dyDescent="0.45">
      <c r="A136" t="s">
        <v>232</v>
      </c>
      <c r="B136" t="s">
        <v>180</v>
      </c>
      <c r="C136" t="s">
        <v>258</v>
      </c>
      <c r="D136" t="s">
        <v>257</v>
      </c>
      <c r="E136" t="s">
        <v>551</v>
      </c>
      <c r="H136" s="20" t="s">
        <v>636</v>
      </c>
      <c r="I136" t="s">
        <v>637</v>
      </c>
      <c r="J136" t="s">
        <v>638</v>
      </c>
    </row>
    <row r="137" spans="1:10" x14ac:dyDescent="0.45">
      <c r="A137" t="s">
        <v>232</v>
      </c>
      <c r="B137" t="s">
        <v>157</v>
      </c>
      <c r="C137" t="s">
        <v>258</v>
      </c>
      <c r="D137" t="s">
        <v>257</v>
      </c>
      <c r="E137" t="s">
        <v>551</v>
      </c>
      <c r="H137" s="20" t="s">
        <v>636</v>
      </c>
      <c r="I137" t="s">
        <v>637</v>
      </c>
      <c r="J137" t="s">
        <v>638</v>
      </c>
    </row>
    <row r="138" spans="1:10" x14ac:dyDescent="0.45">
      <c r="A138" t="s">
        <v>232</v>
      </c>
      <c r="B138" t="s">
        <v>168</v>
      </c>
      <c r="C138" t="s">
        <v>258</v>
      </c>
      <c r="D138" t="s">
        <v>257</v>
      </c>
      <c r="E138" t="s">
        <v>551</v>
      </c>
      <c r="H138" s="20" t="s">
        <v>636</v>
      </c>
      <c r="I138" t="s">
        <v>637</v>
      </c>
      <c r="J138" t="s">
        <v>638</v>
      </c>
    </row>
    <row r="139" spans="1:10" x14ac:dyDescent="0.45">
      <c r="H139" s="20"/>
    </row>
    <row r="140" spans="1:10" x14ac:dyDescent="0.45">
      <c r="A140" t="s">
        <v>44</v>
      </c>
      <c r="B140" t="s">
        <v>4</v>
      </c>
      <c r="C140" t="s">
        <v>3</v>
      </c>
      <c r="D140" t="s">
        <v>5</v>
      </c>
      <c r="E140" t="s">
        <v>12</v>
      </c>
    </row>
    <row r="141" spans="1:10" x14ac:dyDescent="0.45">
      <c r="A141" t="s">
        <v>536</v>
      </c>
      <c r="B141" t="s">
        <v>534</v>
      </c>
      <c r="C141" t="s">
        <v>537</v>
      </c>
      <c r="D141" t="s">
        <v>538</v>
      </c>
      <c r="E141" t="s">
        <v>540</v>
      </c>
      <c r="H141">
        <v>3</v>
      </c>
      <c r="I141" t="s">
        <v>567</v>
      </c>
      <c r="J141" t="s">
        <v>571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8C68-D319-4AF3-B386-6DF7CD4EB588}">
  <dimension ref="A1:E19"/>
  <sheetViews>
    <sheetView workbookViewId="0">
      <selection activeCell="D13" sqref="D13"/>
    </sheetView>
  </sheetViews>
  <sheetFormatPr defaultRowHeight="17" x14ac:dyDescent="0.45"/>
  <cols>
    <col min="1" max="1" width="9.25" bestFit="1" customWidth="1"/>
    <col min="2" max="2" width="59.08203125" bestFit="1" customWidth="1"/>
    <col min="3" max="3" width="8.6640625" style="20"/>
    <col min="4" max="4" width="13.08203125" bestFit="1" customWidth="1"/>
  </cols>
  <sheetData>
    <row r="1" spans="1:5" x14ac:dyDescent="0.45">
      <c r="A1" t="s">
        <v>632</v>
      </c>
      <c r="C1" s="20" t="s">
        <v>561</v>
      </c>
      <c r="D1" t="s">
        <v>563</v>
      </c>
      <c r="E1" t="s">
        <v>578</v>
      </c>
    </row>
    <row r="2" spans="1:5" x14ac:dyDescent="0.45">
      <c r="A2" t="s">
        <v>599</v>
      </c>
      <c r="B2" t="s">
        <v>600</v>
      </c>
      <c r="C2" s="20">
        <v>4</v>
      </c>
      <c r="D2" t="s">
        <v>568</v>
      </c>
      <c r="E2" t="s">
        <v>565</v>
      </c>
    </row>
    <row r="3" spans="1:5" x14ac:dyDescent="0.45">
      <c r="A3" t="s">
        <v>601</v>
      </c>
      <c r="B3" t="s">
        <v>602</v>
      </c>
      <c r="C3" s="20">
        <v>1</v>
      </c>
      <c r="D3" t="s">
        <v>562</v>
      </c>
      <c r="E3" t="s">
        <v>565</v>
      </c>
    </row>
    <row r="4" spans="1:5" x14ac:dyDescent="0.45">
      <c r="A4" t="s">
        <v>603</v>
      </c>
      <c r="B4" t="s">
        <v>604</v>
      </c>
      <c r="C4" s="20" t="s">
        <v>231</v>
      </c>
      <c r="D4" t="s">
        <v>588</v>
      </c>
      <c r="E4" t="s">
        <v>572</v>
      </c>
    </row>
    <row r="5" spans="1:5" x14ac:dyDescent="0.45">
      <c r="A5" t="s">
        <v>605</v>
      </c>
      <c r="B5" t="s">
        <v>611</v>
      </c>
      <c r="C5" s="20">
        <v>21</v>
      </c>
      <c r="D5" t="s">
        <v>633</v>
      </c>
      <c r="E5" t="s">
        <v>565</v>
      </c>
    </row>
    <row r="6" spans="1:5" x14ac:dyDescent="0.45">
      <c r="A6" t="s">
        <v>606</v>
      </c>
      <c r="B6" t="s">
        <v>612</v>
      </c>
    </row>
    <row r="7" spans="1:5" x14ac:dyDescent="0.45">
      <c r="A7" t="s">
        <v>607</v>
      </c>
      <c r="B7" t="s">
        <v>613</v>
      </c>
    </row>
    <row r="8" spans="1:5" x14ac:dyDescent="0.45">
      <c r="A8" t="s">
        <v>608</v>
      </c>
      <c r="B8" t="s">
        <v>614</v>
      </c>
      <c r="C8" s="20">
        <v>19</v>
      </c>
      <c r="D8" t="s">
        <v>592</v>
      </c>
      <c r="E8" t="s">
        <v>565</v>
      </c>
    </row>
    <row r="9" spans="1:5" x14ac:dyDescent="0.45">
      <c r="A9" t="s">
        <v>609</v>
      </c>
      <c r="B9" t="s">
        <v>610</v>
      </c>
      <c r="C9" s="20" t="s">
        <v>231</v>
      </c>
      <c r="D9" t="s">
        <v>588</v>
      </c>
      <c r="E9" t="s">
        <v>572</v>
      </c>
    </row>
    <row r="11" spans="1:5" x14ac:dyDescent="0.45">
      <c r="A11" t="s">
        <v>631</v>
      </c>
    </row>
    <row r="12" spans="1:5" x14ac:dyDescent="0.45">
      <c r="A12" t="s">
        <v>615</v>
      </c>
      <c r="B12" t="s">
        <v>616</v>
      </c>
      <c r="C12" s="20">
        <v>9</v>
      </c>
      <c r="D12" t="s">
        <v>580</v>
      </c>
      <c r="E12" t="s">
        <v>574</v>
      </c>
    </row>
    <row r="13" spans="1:5" x14ac:dyDescent="0.45">
      <c r="A13" t="s">
        <v>617</v>
      </c>
      <c r="B13" t="s">
        <v>618</v>
      </c>
      <c r="C13" s="20">
        <v>22</v>
      </c>
      <c r="D13" t="s">
        <v>634</v>
      </c>
      <c r="E13" t="s">
        <v>574</v>
      </c>
    </row>
    <row r="14" spans="1:5" x14ac:dyDescent="0.45">
      <c r="A14" t="s">
        <v>619</v>
      </c>
      <c r="B14" t="s">
        <v>620</v>
      </c>
      <c r="C14" s="20" t="s">
        <v>501</v>
      </c>
      <c r="D14" t="s">
        <v>597</v>
      </c>
      <c r="E14" t="s">
        <v>574</v>
      </c>
    </row>
    <row r="15" spans="1:5" x14ac:dyDescent="0.45">
      <c r="A15" t="s">
        <v>621</v>
      </c>
      <c r="B15" t="s">
        <v>622</v>
      </c>
      <c r="C15" s="20">
        <v>2</v>
      </c>
      <c r="D15" t="s">
        <v>564</v>
      </c>
      <c r="E15" t="s">
        <v>574</v>
      </c>
    </row>
    <row r="16" spans="1:5" x14ac:dyDescent="0.45">
      <c r="A16" t="s">
        <v>623</v>
      </c>
      <c r="B16" t="s">
        <v>624</v>
      </c>
      <c r="C16" s="20">
        <v>23</v>
      </c>
      <c r="D16" t="s">
        <v>575</v>
      </c>
      <c r="E16" t="s">
        <v>574</v>
      </c>
    </row>
    <row r="17" spans="1:5" x14ac:dyDescent="0.45">
      <c r="A17" t="s">
        <v>625</v>
      </c>
      <c r="B17" t="s">
        <v>626</v>
      </c>
      <c r="C17" s="20" t="s">
        <v>501</v>
      </c>
      <c r="D17" t="s">
        <v>597</v>
      </c>
      <c r="E17" t="s">
        <v>574</v>
      </c>
    </row>
    <row r="18" spans="1:5" x14ac:dyDescent="0.45">
      <c r="A18" t="s">
        <v>627</v>
      </c>
      <c r="B18" t="s">
        <v>628</v>
      </c>
      <c r="C18" s="20">
        <v>2</v>
      </c>
      <c r="D18" t="s">
        <v>564</v>
      </c>
      <c r="E18" t="s">
        <v>574</v>
      </c>
    </row>
    <row r="19" spans="1:5" x14ac:dyDescent="0.45">
      <c r="A19" t="s">
        <v>629</v>
      </c>
      <c r="B19" t="s">
        <v>630</v>
      </c>
      <c r="C19" s="20">
        <v>6</v>
      </c>
      <c r="D19" t="s">
        <v>575</v>
      </c>
      <c r="E19" t="s">
        <v>574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971D-0121-411B-B4B9-5D5AD91005D7}">
  <dimension ref="A1:J148"/>
  <sheetViews>
    <sheetView workbookViewId="0">
      <selection activeCell="C11" sqref="C11"/>
    </sheetView>
  </sheetViews>
  <sheetFormatPr defaultRowHeight="17" x14ac:dyDescent="0.45"/>
  <cols>
    <col min="1" max="1" width="4.83203125" bestFit="1" customWidth="1"/>
    <col min="3" max="3" width="17" bestFit="1" customWidth="1"/>
    <col min="4" max="4" width="9.1640625" bestFit="1" customWidth="1"/>
    <col min="5" max="5" width="19.6640625" bestFit="1" customWidth="1"/>
    <col min="6" max="6" width="18" bestFit="1" customWidth="1"/>
    <col min="7" max="7" width="9.1640625" style="20" bestFit="1" customWidth="1"/>
    <col min="8" max="8" width="15.75" bestFit="1" customWidth="1"/>
    <col min="9" max="10" width="9.1640625" bestFit="1" customWidth="1"/>
  </cols>
  <sheetData>
    <row r="1" spans="1:10" x14ac:dyDescent="0.45">
      <c r="A1" t="s">
        <v>44</v>
      </c>
      <c r="B1" t="s">
        <v>4</v>
      </c>
      <c r="C1" t="s">
        <v>3</v>
      </c>
      <c r="D1" t="s">
        <v>561</v>
      </c>
      <c r="E1" t="s">
        <v>563</v>
      </c>
      <c r="F1" t="s">
        <v>578</v>
      </c>
      <c r="G1" t="s">
        <v>561</v>
      </c>
      <c r="H1" t="s">
        <v>578</v>
      </c>
      <c r="I1" t="s">
        <v>561</v>
      </c>
      <c r="J1" t="s">
        <v>578</v>
      </c>
    </row>
    <row r="2" spans="1:10" x14ac:dyDescent="0.45">
      <c r="A2" t="s">
        <v>45</v>
      </c>
      <c r="B2" t="s">
        <v>50</v>
      </c>
      <c r="C2" t="s">
        <v>52</v>
      </c>
      <c r="D2" s="20">
        <v>1</v>
      </c>
      <c r="E2" t="s">
        <v>562</v>
      </c>
      <c r="F2" t="s">
        <v>565</v>
      </c>
    </row>
    <row r="3" spans="1:10" x14ac:dyDescent="0.45">
      <c r="A3" t="s">
        <v>45</v>
      </c>
      <c r="B3" t="s">
        <v>54</v>
      </c>
      <c r="C3" t="s">
        <v>53</v>
      </c>
      <c r="D3" s="20">
        <v>5</v>
      </c>
      <c r="E3" t="s">
        <v>570</v>
      </c>
      <c r="F3" t="s">
        <v>571</v>
      </c>
    </row>
    <row r="4" spans="1:10" x14ac:dyDescent="0.45">
      <c r="A4" t="s">
        <v>45</v>
      </c>
      <c r="B4" t="s">
        <v>79</v>
      </c>
      <c r="C4" t="s">
        <v>80</v>
      </c>
      <c r="D4" s="20">
        <v>2</v>
      </c>
      <c r="E4" t="s">
        <v>564</v>
      </c>
      <c r="F4" t="s">
        <v>566</v>
      </c>
    </row>
    <row r="5" spans="1:10" x14ac:dyDescent="0.45">
      <c r="A5" t="s">
        <v>45</v>
      </c>
      <c r="B5" t="s">
        <v>88</v>
      </c>
      <c r="C5" t="s">
        <v>118</v>
      </c>
      <c r="D5" s="20">
        <v>18</v>
      </c>
      <c r="E5" t="s">
        <v>590</v>
      </c>
      <c r="F5" t="s">
        <v>591</v>
      </c>
    </row>
    <row r="6" spans="1:10" x14ac:dyDescent="0.45">
      <c r="A6" t="s">
        <v>45</v>
      </c>
      <c r="B6" t="s">
        <v>95</v>
      </c>
      <c r="C6" t="s">
        <v>96</v>
      </c>
      <c r="D6" s="20">
        <v>17</v>
      </c>
      <c r="E6" t="s">
        <v>588</v>
      </c>
      <c r="F6" t="s">
        <v>589</v>
      </c>
    </row>
    <row r="7" spans="1:10" x14ac:dyDescent="0.45">
      <c r="A7" t="s">
        <v>45</v>
      </c>
      <c r="B7" t="s">
        <v>100</v>
      </c>
      <c r="C7" t="s">
        <v>105</v>
      </c>
      <c r="D7" s="20">
        <v>3</v>
      </c>
      <c r="E7" t="s">
        <v>567</v>
      </c>
      <c r="F7" t="s">
        <v>571</v>
      </c>
    </row>
    <row r="8" spans="1:10" x14ac:dyDescent="0.45">
      <c r="A8" t="s">
        <v>45</v>
      </c>
      <c r="B8" t="s">
        <v>101</v>
      </c>
      <c r="C8" t="s">
        <v>108</v>
      </c>
      <c r="D8" s="20">
        <v>4</v>
      </c>
      <c r="E8" t="s">
        <v>568</v>
      </c>
      <c r="F8" t="s">
        <v>569</v>
      </c>
    </row>
    <row r="9" spans="1:10" x14ac:dyDescent="0.45">
      <c r="A9" t="s">
        <v>45</v>
      </c>
      <c r="B9" t="s">
        <v>104</v>
      </c>
      <c r="C9" t="s">
        <v>109</v>
      </c>
      <c r="D9" s="20" t="s">
        <v>231</v>
      </c>
      <c r="E9" t="s">
        <v>588</v>
      </c>
      <c r="F9" t="s">
        <v>569</v>
      </c>
    </row>
    <row r="10" spans="1:10" x14ac:dyDescent="0.45">
      <c r="A10" t="s">
        <v>45</v>
      </c>
      <c r="B10" t="s">
        <v>27</v>
      </c>
      <c r="C10" t="s">
        <v>641</v>
      </c>
      <c r="D10" s="20">
        <v>1</v>
      </c>
      <c r="E10" t="s">
        <v>562</v>
      </c>
      <c r="F10" t="s">
        <v>565</v>
      </c>
    </row>
    <row r="11" spans="1:10" x14ac:dyDescent="0.45">
      <c r="A11" t="s">
        <v>45</v>
      </c>
      <c r="B11" t="s">
        <v>28</v>
      </c>
      <c r="C11" t="s">
        <v>85</v>
      </c>
      <c r="D11" s="20">
        <v>1</v>
      </c>
      <c r="E11" t="s">
        <v>562</v>
      </c>
      <c r="F11" t="s">
        <v>572</v>
      </c>
    </row>
    <row r="12" spans="1:10" x14ac:dyDescent="0.45">
      <c r="A12" t="s">
        <v>45</v>
      </c>
      <c r="B12" t="s">
        <v>30</v>
      </c>
      <c r="C12" t="s">
        <v>31</v>
      </c>
      <c r="D12" s="20" t="s">
        <v>232</v>
      </c>
      <c r="E12" t="s">
        <v>564</v>
      </c>
      <c r="F12" t="s">
        <v>566</v>
      </c>
    </row>
    <row r="13" spans="1:10" x14ac:dyDescent="0.45">
      <c r="A13" t="s">
        <v>45</v>
      </c>
      <c r="B13" t="s">
        <v>33</v>
      </c>
      <c r="C13" t="s">
        <v>32</v>
      </c>
      <c r="D13" s="20" t="s">
        <v>502</v>
      </c>
      <c r="E13" t="s">
        <v>598</v>
      </c>
      <c r="F13" t="s">
        <v>571</v>
      </c>
    </row>
    <row r="14" spans="1:10" x14ac:dyDescent="0.45">
      <c r="A14" t="s">
        <v>45</v>
      </c>
      <c r="B14" t="s">
        <v>35</v>
      </c>
      <c r="C14" t="s">
        <v>36</v>
      </c>
      <c r="D14" s="20">
        <v>19</v>
      </c>
      <c r="E14" t="s">
        <v>592</v>
      </c>
      <c r="F14" t="s">
        <v>571</v>
      </c>
    </row>
    <row r="15" spans="1:10" x14ac:dyDescent="0.45">
      <c r="A15" t="s">
        <v>45</v>
      </c>
      <c r="B15" t="s">
        <v>49</v>
      </c>
      <c r="C15" t="s">
        <v>506</v>
      </c>
      <c r="D15" s="20">
        <v>2</v>
      </c>
      <c r="E15" t="s">
        <v>564</v>
      </c>
      <c r="F15" t="s">
        <v>574</v>
      </c>
    </row>
    <row r="16" spans="1:10" x14ac:dyDescent="0.45">
      <c r="A16" t="s">
        <v>45</v>
      </c>
      <c r="B16" t="s">
        <v>77</v>
      </c>
      <c r="C16" t="s">
        <v>553</v>
      </c>
      <c r="D16" s="20">
        <v>6</v>
      </c>
      <c r="E16" t="s">
        <v>575</v>
      </c>
      <c r="F16" t="s">
        <v>576</v>
      </c>
    </row>
    <row r="17" spans="1:10" x14ac:dyDescent="0.45">
      <c r="A17" t="s">
        <v>45</v>
      </c>
      <c r="B17" t="s">
        <v>90</v>
      </c>
      <c r="C17" t="s">
        <v>92</v>
      </c>
      <c r="D17" s="20">
        <v>7</v>
      </c>
      <c r="E17" t="s">
        <v>577</v>
      </c>
      <c r="F17" t="s">
        <v>571</v>
      </c>
    </row>
    <row r="18" spans="1:10" x14ac:dyDescent="0.45">
      <c r="A18" t="s">
        <v>45</v>
      </c>
      <c r="B18" t="s">
        <v>94</v>
      </c>
      <c r="C18" t="s">
        <v>103</v>
      </c>
      <c r="D18" s="20">
        <v>7</v>
      </c>
      <c r="E18" t="s">
        <v>593</v>
      </c>
      <c r="F18" t="s">
        <v>571</v>
      </c>
    </row>
    <row r="19" spans="1:10" x14ac:dyDescent="0.45">
      <c r="A19" t="s">
        <v>45</v>
      </c>
      <c r="B19" t="s">
        <v>115</v>
      </c>
      <c r="C19" t="s">
        <v>116</v>
      </c>
      <c r="D19" s="20">
        <v>8</v>
      </c>
      <c r="E19" t="s">
        <v>579</v>
      </c>
      <c r="F19" t="s">
        <v>569</v>
      </c>
    </row>
    <row r="20" spans="1:10" x14ac:dyDescent="0.45">
      <c r="A20" t="s">
        <v>45</v>
      </c>
      <c r="B20" t="s">
        <v>9</v>
      </c>
      <c r="C20" t="s">
        <v>11</v>
      </c>
      <c r="D20" s="20">
        <v>9</v>
      </c>
      <c r="E20" t="s">
        <v>580</v>
      </c>
      <c r="F20" t="s">
        <v>581</v>
      </c>
      <c r="G20" s="20">
        <v>10</v>
      </c>
      <c r="H20" t="s">
        <v>571</v>
      </c>
    </row>
    <row r="21" spans="1:10" x14ac:dyDescent="0.45">
      <c r="A21" t="s">
        <v>45</v>
      </c>
      <c r="B21" t="s">
        <v>0</v>
      </c>
      <c r="C21" t="s">
        <v>1</v>
      </c>
      <c r="D21" s="20">
        <v>11</v>
      </c>
      <c r="E21" t="s">
        <v>582</v>
      </c>
      <c r="F21" t="s">
        <v>571</v>
      </c>
    </row>
    <row r="22" spans="1:10" x14ac:dyDescent="0.45">
      <c r="A22" t="s">
        <v>45</v>
      </c>
      <c r="B22" t="s">
        <v>6</v>
      </c>
      <c r="C22" t="s">
        <v>7</v>
      </c>
      <c r="D22" s="20" t="s">
        <v>501</v>
      </c>
      <c r="E22" t="s">
        <v>597</v>
      </c>
      <c r="F22" t="s">
        <v>566</v>
      </c>
    </row>
    <row r="23" spans="1:10" x14ac:dyDescent="0.45">
      <c r="A23" t="s">
        <v>45</v>
      </c>
      <c r="B23" t="s">
        <v>18</v>
      </c>
      <c r="C23" t="s">
        <v>19</v>
      </c>
      <c r="D23" s="20">
        <v>12</v>
      </c>
      <c r="E23" t="s">
        <v>583</v>
      </c>
      <c r="F23" t="s">
        <v>571</v>
      </c>
    </row>
    <row r="24" spans="1:10" x14ac:dyDescent="0.45">
      <c r="A24" t="s">
        <v>45</v>
      </c>
      <c r="B24" t="s">
        <v>21</v>
      </c>
      <c r="C24" t="s">
        <v>22</v>
      </c>
      <c r="D24" s="20">
        <v>4</v>
      </c>
      <c r="E24" t="s">
        <v>568</v>
      </c>
      <c r="F24" t="s">
        <v>571</v>
      </c>
    </row>
    <row r="25" spans="1:10" x14ac:dyDescent="0.45">
      <c r="A25" t="s">
        <v>45</v>
      </c>
      <c r="B25" t="s">
        <v>24</v>
      </c>
      <c r="C25" t="s">
        <v>25</v>
      </c>
      <c r="D25" s="20">
        <v>4</v>
      </c>
      <c r="E25" t="s">
        <v>568</v>
      </c>
      <c r="F25" t="s">
        <v>571</v>
      </c>
    </row>
    <row r="26" spans="1:10" x14ac:dyDescent="0.45">
      <c r="A26" t="s">
        <v>45</v>
      </c>
      <c r="B26" t="s">
        <v>43</v>
      </c>
      <c r="C26" t="s">
        <v>83</v>
      </c>
      <c r="D26" s="20">
        <v>23</v>
      </c>
      <c r="E26" t="s">
        <v>575</v>
      </c>
      <c r="F26" t="s">
        <v>566</v>
      </c>
    </row>
    <row r="27" spans="1:10" x14ac:dyDescent="0.45">
      <c r="A27" t="s">
        <v>45</v>
      </c>
      <c r="B27" t="s">
        <v>46</v>
      </c>
      <c r="C27" t="s">
        <v>47</v>
      </c>
      <c r="D27" s="20" t="s">
        <v>536</v>
      </c>
      <c r="E27" t="s">
        <v>635</v>
      </c>
      <c r="F27" t="s">
        <v>572</v>
      </c>
    </row>
    <row r="28" spans="1:10" x14ac:dyDescent="0.45">
      <c r="A28" t="s">
        <v>45</v>
      </c>
      <c r="B28" t="s">
        <v>93</v>
      </c>
      <c r="C28" t="s">
        <v>99</v>
      </c>
      <c r="D28" s="20">
        <v>13</v>
      </c>
      <c r="E28" t="s">
        <v>584</v>
      </c>
      <c r="F28" t="s">
        <v>581</v>
      </c>
      <c r="G28" s="20">
        <v>6</v>
      </c>
      <c r="H28" t="s">
        <v>585</v>
      </c>
      <c r="I28" s="20">
        <v>14</v>
      </c>
      <c r="J28" t="s">
        <v>571</v>
      </c>
    </row>
    <row r="29" spans="1:10" x14ac:dyDescent="0.45">
      <c r="A29" t="s">
        <v>45</v>
      </c>
      <c r="B29" t="s">
        <v>112</v>
      </c>
      <c r="C29" t="s">
        <v>113</v>
      </c>
      <c r="D29" s="20" t="s">
        <v>594</v>
      </c>
      <c r="E29" t="s">
        <v>640</v>
      </c>
      <c r="F29" t="s">
        <v>566</v>
      </c>
    </row>
    <row r="30" spans="1:10" x14ac:dyDescent="0.45">
      <c r="A30" t="s">
        <v>45</v>
      </c>
      <c r="B30" t="s">
        <v>119</v>
      </c>
      <c r="C30" t="s">
        <v>120</v>
      </c>
      <c r="D30" s="20">
        <v>15</v>
      </c>
      <c r="E30" t="s">
        <v>586</v>
      </c>
      <c r="F30" t="s">
        <v>571</v>
      </c>
    </row>
    <row r="31" spans="1:10" x14ac:dyDescent="0.45">
      <c r="A31" t="s">
        <v>45</v>
      </c>
      <c r="B31" t="s">
        <v>123</v>
      </c>
      <c r="C31" t="s">
        <v>124</v>
      </c>
      <c r="D31" s="20">
        <v>16</v>
      </c>
      <c r="E31" t="s">
        <v>587</v>
      </c>
      <c r="F31" t="s">
        <v>571</v>
      </c>
    </row>
    <row r="32" spans="1:10" x14ac:dyDescent="0.45">
      <c r="A32" t="s">
        <v>231</v>
      </c>
      <c r="B32" t="s">
        <v>173</v>
      </c>
      <c r="C32" t="s">
        <v>233</v>
      </c>
      <c r="D32" s="20">
        <v>4</v>
      </c>
      <c r="E32" t="s">
        <v>568</v>
      </c>
      <c r="F32" t="s">
        <v>571</v>
      </c>
    </row>
    <row r="33" spans="1:6" x14ac:dyDescent="0.45">
      <c r="A33" t="s">
        <v>231</v>
      </c>
      <c r="B33" t="s">
        <v>185</v>
      </c>
      <c r="C33" t="s">
        <v>233</v>
      </c>
      <c r="D33" s="20">
        <v>4</v>
      </c>
      <c r="E33" t="s">
        <v>568</v>
      </c>
      <c r="F33" t="s">
        <v>571</v>
      </c>
    </row>
    <row r="34" spans="1:6" x14ac:dyDescent="0.45">
      <c r="A34" t="s">
        <v>231</v>
      </c>
      <c r="B34" t="s">
        <v>156</v>
      </c>
      <c r="C34" t="s">
        <v>233</v>
      </c>
      <c r="D34" s="20">
        <v>4</v>
      </c>
      <c r="E34" t="s">
        <v>568</v>
      </c>
      <c r="F34" t="s">
        <v>571</v>
      </c>
    </row>
    <row r="35" spans="1:6" x14ac:dyDescent="0.45">
      <c r="A35" t="s">
        <v>231</v>
      </c>
      <c r="B35" t="s">
        <v>161</v>
      </c>
      <c r="C35" t="s">
        <v>233</v>
      </c>
      <c r="D35" s="20">
        <v>4</v>
      </c>
      <c r="E35" t="s">
        <v>568</v>
      </c>
      <c r="F35" t="s">
        <v>571</v>
      </c>
    </row>
    <row r="36" spans="1:6" x14ac:dyDescent="0.45">
      <c r="A36" t="s">
        <v>231</v>
      </c>
      <c r="B36" t="s">
        <v>153</v>
      </c>
      <c r="C36" t="s">
        <v>233</v>
      </c>
      <c r="D36" s="20">
        <v>4</v>
      </c>
      <c r="E36" t="s">
        <v>568</v>
      </c>
      <c r="F36" t="s">
        <v>571</v>
      </c>
    </row>
    <row r="37" spans="1:6" x14ac:dyDescent="0.45">
      <c r="A37" t="s">
        <v>231</v>
      </c>
      <c r="B37" t="s">
        <v>144</v>
      </c>
      <c r="C37" t="s">
        <v>233</v>
      </c>
      <c r="D37" s="20">
        <v>4</v>
      </c>
      <c r="E37" t="s">
        <v>568</v>
      </c>
      <c r="F37" t="s">
        <v>571</v>
      </c>
    </row>
    <row r="38" spans="1:6" x14ac:dyDescent="0.45">
      <c r="A38" t="s">
        <v>231</v>
      </c>
      <c r="B38" t="s">
        <v>138</v>
      </c>
      <c r="C38" t="s">
        <v>233</v>
      </c>
      <c r="D38" s="20">
        <v>4</v>
      </c>
      <c r="E38" t="s">
        <v>568</v>
      </c>
      <c r="F38" t="s">
        <v>571</v>
      </c>
    </row>
    <row r="39" spans="1:6" x14ac:dyDescent="0.45">
      <c r="A39" t="s">
        <v>231</v>
      </c>
      <c r="B39" t="s">
        <v>214</v>
      </c>
      <c r="C39" t="s">
        <v>233</v>
      </c>
      <c r="D39" s="20">
        <v>4</v>
      </c>
      <c r="E39" t="s">
        <v>568</v>
      </c>
      <c r="F39" t="s">
        <v>571</v>
      </c>
    </row>
    <row r="40" spans="1:6" x14ac:dyDescent="0.45">
      <c r="A40" t="s">
        <v>231</v>
      </c>
      <c r="B40" t="s">
        <v>224</v>
      </c>
      <c r="C40" t="s">
        <v>233</v>
      </c>
      <c r="D40" s="20">
        <v>4</v>
      </c>
      <c r="E40" t="s">
        <v>568</v>
      </c>
      <c r="F40" t="s">
        <v>571</v>
      </c>
    </row>
    <row r="41" spans="1:6" x14ac:dyDescent="0.45">
      <c r="A41" t="s">
        <v>231</v>
      </c>
      <c r="B41" t="s">
        <v>211</v>
      </c>
      <c r="C41" t="s">
        <v>233</v>
      </c>
      <c r="D41" s="20">
        <v>4</v>
      </c>
      <c r="E41" t="s">
        <v>568</v>
      </c>
      <c r="F41" t="s">
        <v>571</v>
      </c>
    </row>
    <row r="42" spans="1:6" x14ac:dyDescent="0.45">
      <c r="A42" t="s">
        <v>231</v>
      </c>
      <c r="B42" t="s">
        <v>164</v>
      </c>
      <c r="C42" t="s">
        <v>235</v>
      </c>
      <c r="D42" s="20">
        <v>8</v>
      </c>
      <c r="E42" t="s">
        <v>579</v>
      </c>
      <c r="F42" t="s">
        <v>571</v>
      </c>
    </row>
    <row r="43" spans="1:6" x14ac:dyDescent="0.45">
      <c r="A43" t="s">
        <v>231</v>
      </c>
      <c r="B43" t="s">
        <v>187</v>
      </c>
      <c r="C43" t="s">
        <v>235</v>
      </c>
      <c r="D43" s="20">
        <v>8</v>
      </c>
      <c r="E43" t="s">
        <v>579</v>
      </c>
      <c r="F43" t="s">
        <v>571</v>
      </c>
    </row>
    <row r="44" spans="1:6" x14ac:dyDescent="0.45">
      <c r="A44" t="s">
        <v>231</v>
      </c>
      <c r="B44" t="s">
        <v>188</v>
      </c>
      <c r="C44" t="s">
        <v>235</v>
      </c>
      <c r="D44" s="20">
        <v>8</v>
      </c>
      <c r="E44" t="s">
        <v>579</v>
      </c>
      <c r="F44" t="s">
        <v>571</v>
      </c>
    </row>
    <row r="45" spans="1:6" x14ac:dyDescent="0.45">
      <c r="A45" t="s">
        <v>231</v>
      </c>
      <c r="B45" t="s">
        <v>158</v>
      </c>
      <c r="C45" t="s">
        <v>235</v>
      </c>
      <c r="D45" s="20">
        <v>8</v>
      </c>
      <c r="E45" t="s">
        <v>579</v>
      </c>
      <c r="F45" t="s">
        <v>571</v>
      </c>
    </row>
    <row r="46" spans="1:6" x14ac:dyDescent="0.45">
      <c r="A46" t="s">
        <v>231</v>
      </c>
      <c r="B46" t="s">
        <v>165</v>
      </c>
      <c r="C46" t="s">
        <v>235</v>
      </c>
      <c r="D46" s="20">
        <v>8</v>
      </c>
      <c r="E46" t="s">
        <v>579</v>
      </c>
      <c r="F46" t="s">
        <v>571</v>
      </c>
    </row>
    <row r="47" spans="1:6" x14ac:dyDescent="0.45">
      <c r="A47" t="s">
        <v>231</v>
      </c>
      <c r="B47" t="s">
        <v>139</v>
      </c>
      <c r="C47" t="s">
        <v>235</v>
      </c>
      <c r="D47" s="20">
        <v>8</v>
      </c>
      <c r="E47" t="s">
        <v>579</v>
      </c>
      <c r="F47" t="s">
        <v>571</v>
      </c>
    </row>
    <row r="48" spans="1:6" x14ac:dyDescent="0.45">
      <c r="A48" t="s">
        <v>231</v>
      </c>
      <c r="B48" t="s">
        <v>223</v>
      </c>
      <c r="C48" t="s">
        <v>237</v>
      </c>
      <c r="D48" s="20">
        <v>1</v>
      </c>
      <c r="E48" t="s">
        <v>562</v>
      </c>
      <c r="F48" t="s">
        <v>571</v>
      </c>
    </row>
    <row r="49" spans="1:6" x14ac:dyDescent="0.45">
      <c r="A49" t="s">
        <v>231</v>
      </c>
      <c r="B49" t="s">
        <v>149</v>
      </c>
      <c r="C49" t="s">
        <v>237</v>
      </c>
      <c r="D49" s="20">
        <v>1</v>
      </c>
      <c r="E49" t="s">
        <v>562</v>
      </c>
      <c r="F49" t="s">
        <v>571</v>
      </c>
    </row>
    <row r="50" spans="1:6" x14ac:dyDescent="0.45">
      <c r="A50" t="s">
        <v>231</v>
      </c>
      <c r="B50" t="s">
        <v>209</v>
      </c>
      <c r="C50" t="s">
        <v>237</v>
      </c>
      <c r="D50" s="20">
        <v>1</v>
      </c>
      <c r="E50" t="s">
        <v>562</v>
      </c>
      <c r="F50" t="s">
        <v>571</v>
      </c>
    </row>
    <row r="51" spans="1:6" x14ac:dyDescent="0.45">
      <c r="A51" t="s">
        <v>231</v>
      </c>
      <c r="B51" t="s">
        <v>205</v>
      </c>
      <c r="C51" t="s">
        <v>237</v>
      </c>
      <c r="D51" s="20">
        <v>1</v>
      </c>
      <c r="E51" t="s">
        <v>562</v>
      </c>
      <c r="F51" t="s">
        <v>571</v>
      </c>
    </row>
    <row r="52" spans="1:6" x14ac:dyDescent="0.45">
      <c r="A52" t="s">
        <v>231</v>
      </c>
      <c r="B52" t="s">
        <v>160</v>
      </c>
      <c r="C52" t="s">
        <v>237</v>
      </c>
      <c r="D52" s="20">
        <v>1</v>
      </c>
      <c r="E52" t="s">
        <v>562</v>
      </c>
      <c r="F52" t="s">
        <v>571</v>
      </c>
    </row>
    <row r="53" spans="1:6" x14ac:dyDescent="0.45">
      <c r="A53" t="s">
        <v>231</v>
      </c>
      <c r="B53" t="s">
        <v>190</v>
      </c>
      <c r="C53" t="s">
        <v>237</v>
      </c>
      <c r="D53" s="20">
        <v>1</v>
      </c>
      <c r="E53" t="s">
        <v>562</v>
      </c>
      <c r="F53" t="s">
        <v>571</v>
      </c>
    </row>
    <row r="54" spans="1:6" x14ac:dyDescent="0.45">
      <c r="A54" t="s">
        <v>231</v>
      </c>
      <c r="B54" t="s">
        <v>210</v>
      </c>
      <c r="C54" t="s">
        <v>237</v>
      </c>
      <c r="D54" s="20">
        <v>1</v>
      </c>
      <c r="E54" t="s">
        <v>562</v>
      </c>
      <c r="F54" t="s">
        <v>571</v>
      </c>
    </row>
    <row r="55" spans="1:6" x14ac:dyDescent="0.45">
      <c r="A55" t="s">
        <v>231</v>
      </c>
      <c r="B55" t="s">
        <v>145</v>
      </c>
      <c r="C55" t="s">
        <v>237</v>
      </c>
      <c r="D55" s="20">
        <v>1</v>
      </c>
      <c r="E55" t="s">
        <v>562</v>
      </c>
      <c r="F55" t="s">
        <v>571</v>
      </c>
    </row>
    <row r="56" spans="1:6" x14ac:dyDescent="0.45">
      <c r="A56" t="s">
        <v>231</v>
      </c>
      <c r="B56" t="s">
        <v>186</v>
      </c>
      <c r="C56" t="s">
        <v>237</v>
      </c>
      <c r="D56" s="20">
        <v>1</v>
      </c>
      <c r="E56" t="s">
        <v>562</v>
      </c>
      <c r="F56" t="s">
        <v>571</v>
      </c>
    </row>
    <row r="57" spans="1:6" x14ac:dyDescent="0.45">
      <c r="A57" t="s">
        <v>231</v>
      </c>
      <c r="B57" t="s">
        <v>137</v>
      </c>
      <c r="C57" t="s">
        <v>237</v>
      </c>
      <c r="D57" s="20">
        <v>1</v>
      </c>
      <c r="E57" t="s">
        <v>562</v>
      </c>
      <c r="F57" t="s">
        <v>571</v>
      </c>
    </row>
    <row r="58" spans="1:6" x14ac:dyDescent="0.45">
      <c r="A58" t="s">
        <v>231</v>
      </c>
      <c r="B58" t="s">
        <v>192</v>
      </c>
      <c r="C58" t="s">
        <v>237</v>
      </c>
      <c r="D58" s="20">
        <v>1</v>
      </c>
      <c r="E58" t="s">
        <v>562</v>
      </c>
      <c r="F58" t="s">
        <v>571</v>
      </c>
    </row>
    <row r="59" spans="1:6" x14ac:dyDescent="0.45">
      <c r="A59" t="s">
        <v>231</v>
      </c>
      <c r="B59" t="s">
        <v>143</v>
      </c>
      <c r="C59" t="s">
        <v>237</v>
      </c>
      <c r="D59" s="20">
        <v>1</v>
      </c>
      <c r="E59" t="s">
        <v>562</v>
      </c>
      <c r="F59" t="s">
        <v>571</v>
      </c>
    </row>
    <row r="60" spans="1:6" x14ac:dyDescent="0.45">
      <c r="A60" t="s">
        <v>231</v>
      </c>
      <c r="B60" t="s">
        <v>142</v>
      </c>
      <c r="C60" t="s">
        <v>237</v>
      </c>
      <c r="D60" s="20">
        <v>1</v>
      </c>
      <c r="E60" t="s">
        <v>562</v>
      </c>
      <c r="F60" t="s">
        <v>571</v>
      </c>
    </row>
    <row r="61" spans="1:6" x14ac:dyDescent="0.45">
      <c r="A61" t="s">
        <v>231</v>
      </c>
      <c r="B61" t="s">
        <v>195</v>
      </c>
      <c r="C61" t="s">
        <v>237</v>
      </c>
      <c r="D61" s="20">
        <v>1</v>
      </c>
      <c r="E61" t="s">
        <v>562</v>
      </c>
      <c r="F61" t="s">
        <v>571</v>
      </c>
    </row>
    <row r="62" spans="1:6" x14ac:dyDescent="0.45">
      <c r="A62" t="s">
        <v>231</v>
      </c>
      <c r="B62" t="s">
        <v>222</v>
      </c>
      <c r="C62" t="s">
        <v>240</v>
      </c>
      <c r="D62" s="20">
        <v>20</v>
      </c>
      <c r="E62" t="s">
        <v>596</v>
      </c>
      <c r="F62" t="s">
        <v>571</v>
      </c>
    </row>
    <row r="63" spans="1:6" x14ac:dyDescent="0.45">
      <c r="A63" t="s">
        <v>231</v>
      </c>
      <c r="B63" t="s">
        <v>221</v>
      </c>
      <c r="C63" t="s">
        <v>240</v>
      </c>
      <c r="D63" s="20">
        <v>20</v>
      </c>
      <c r="E63" t="s">
        <v>596</v>
      </c>
      <c r="F63" t="s">
        <v>571</v>
      </c>
    </row>
    <row r="64" spans="1:6" x14ac:dyDescent="0.45">
      <c r="A64" t="s">
        <v>231</v>
      </c>
      <c r="B64" t="s">
        <v>198</v>
      </c>
      <c r="C64" t="s">
        <v>240</v>
      </c>
      <c r="D64" s="20">
        <v>20</v>
      </c>
      <c r="E64" t="s">
        <v>595</v>
      </c>
      <c r="F64" t="s">
        <v>571</v>
      </c>
    </row>
    <row r="65" spans="1:6" x14ac:dyDescent="0.45">
      <c r="A65" t="s">
        <v>231</v>
      </c>
      <c r="B65" t="s">
        <v>554</v>
      </c>
      <c r="C65" t="s">
        <v>240</v>
      </c>
      <c r="D65" s="20">
        <v>20</v>
      </c>
      <c r="E65" t="s">
        <v>595</v>
      </c>
      <c r="F65" t="s">
        <v>571</v>
      </c>
    </row>
    <row r="66" spans="1:6" x14ac:dyDescent="0.45">
      <c r="A66" t="s">
        <v>231</v>
      </c>
      <c r="B66" t="s">
        <v>229</v>
      </c>
      <c r="C66" t="s">
        <v>240</v>
      </c>
      <c r="D66" s="20">
        <v>20</v>
      </c>
      <c r="E66" t="s">
        <v>595</v>
      </c>
      <c r="F66" t="s">
        <v>571</v>
      </c>
    </row>
    <row r="67" spans="1:6" x14ac:dyDescent="0.45">
      <c r="A67" t="s">
        <v>231</v>
      </c>
      <c r="B67" t="s">
        <v>204</v>
      </c>
      <c r="C67" t="s">
        <v>240</v>
      </c>
      <c r="D67" s="20">
        <v>20</v>
      </c>
      <c r="E67" t="s">
        <v>595</v>
      </c>
      <c r="F67" t="s">
        <v>571</v>
      </c>
    </row>
    <row r="68" spans="1:6" x14ac:dyDescent="0.45">
      <c r="A68" t="s">
        <v>231</v>
      </c>
      <c r="B68" t="s">
        <v>159</v>
      </c>
      <c r="C68" t="s">
        <v>240</v>
      </c>
      <c r="D68" s="20">
        <v>20</v>
      </c>
      <c r="E68" t="s">
        <v>595</v>
      </c>
      <c r="F68" t="s">
        <v>571</v>
      </c>
    </row>
    <row r="69" spans="1:6" x14ac:dyDescent="0.45">
      <c r="A69" t="s">
        <v>231</v>
      </c>
      <c r="B69" t="s">
        <v>201</v>
      </c>
      <c r="C69" t="s">
        <v>240</v>
      </c>
      <c r="D69" s="20">
        <v>20</v>
      </c>
      <c r="E69" t="s">
        <v>595</v>
      </c>
      <c r="F69" t="s">
        <v>571</v>
      </c>
    </row>
    <row r="70" spans="1:6" x14ac:dyDescent="0.45">
      <c r="A70" t="s">
        <v>231</v>
      </c>
      <c r="B70" t="s">
        <v>202</v>
      </c>
      <c r="C70" t="s">
        <v>240</v>
      </c>
      <c r="D70" s="20">
        <v>20</v>
      </c>
      <c r="E70" t="s">
        <v>595</v>
      </c>
      <c r="F70" t="s">
        <v>571</v>
      </c>
    </row>
    <row r="71" spans="1:6" x14ac:dyDescent="0.45">
      <c r="A71" t="s">
        <v>231</v>
      </c>
      <c r="B71" t="s">
        <v>227</v>
      </c>
      <c r="C71" t="s">
        <v>240</v>
      </c>
      <c r="D71" s="20">
        <v>20</v>
      </c>
      <c r="E71" t="s">
        <v>595</v>
      </c>
      <c r="F71" t="s">
        <v>571</v>
      </c>
    </row>
    <row r="72" spans="1:6" x14ac:dyDescent="0.45">
      <c r="A72" t="s">
        <v>232</v>
      </c>
      <c r="B72" t="s">
        <v>212</v>
      </c>
      <c r="C72" t="s">
        <v>242</v>
      </c>
      <c r="D72" s="20">
        <v>19</v>
      </c>
      <c r="E72" t="s">
        <v>592</v>
      </c>
      <c r="F72" t="s">
        <v>571</v>
      </c>
    </row>
    <row r="73" spans="1:6" x14ac:dyDescent="0.45">
      <c r="A73" t="s">
        <v>232</v>
      </c>
      <c r="B73" t="s">
        <v>184</v>
      </c>
      <c r="C73" t="s">
        <v>242</v>
      </c>
      <c r="D73" s="20">
        <v>19</v>
      </c>
      <c r="E73" t="s">
        <v>592</v>
      </c>
      <c r="F73" t="s">
        <v>571</v>
      </c>
    </row>
    <row r="74" spans="1:6" x14ac:dyDescent="0.45">
      <c r="A74" t="s">
        <v>232</v>
      </c>
      <c r="B74" t="s">
        <v>151</v>
      </c>
      <c r="C74" t="s">
        <v>242</v>
      </c>
      <c r="D74" s="20">
        <v>19</v>
      </c>
      <c r="E74" t="s">
        <v>592</v>
      </c>
      <c r="F74" t="s">
        <v>571</v>
      </c>
    </row>
    <row r="75" spans="1:6" x14ac:dyDescent="0.45">
      <c r="A75" t="s">
        <v>232</v>
      </c>
      <c r="B75" t="s">
        <v>228</v>
      </c>
      <c r="C75" t="s">
        <v>242</v>
      </c>
      <c r="D75" s="20">
        <v>19</v>
      </c>
      <c r="E75" t="s">
        <v>592</v>
      </c>
      <c r="F75" t="s">
        <v>571</v>
      </c>
    </row>
    <row r="76" spans="1:6" x14ac:dyDescent="0.45">
      <c r="A76" t="s">
        <v>232</v>
      </c>
      <c r="B76" t="s">
        <v>179</v>
      </c>
      <c r="C76" t="s">
        <v>242</v>
      </c>
      <c r="D76" s="20">
        <v>19</v>
      </c>
      <c r="E76" t="s">
        <v>592</v>
      </c>
      <c r="F76" t="s">
        <v>571</v>
      </c>
    </row>
    <row r="77" spans="1:6" x14ac:dyDescent="0.45">
      <c r="A77" t="s">
        <v>232</v>
      </c>
      <c r="B77" t="s">
        <v>141</v>
      </c>
      <c r="C77" t="s">
        <v>242</v>
      </c>
      <c r="D77" s="20">
        <v>19</v>
      </c>
      <c r="E77" t="s">
        <v>592</v>
      </c>
      <c r="F77" t="s">
        <v>571</v>
      </c>
    </row>
    <row r="78" spans="1:6" x14ac:dyDescent="0.45">
      <c r="A78" t="s">
        <v>232</v>
      </c>
      <c r="B78" t="s">
        <v>219</v>
      </c>
      <c r="C78" t="s">
        <v>242</v>
      </c>
      <c r="D78" s="20">
        <v>19</v>
      </c>
      <c r="E78" t="s">
        <v>592</v>
      </c>
      <c r="F78" t="s">
        <v>571</v>
      </c>
    </row>
    <row r="79" spans="1:6" x14ac:dyDescent="0.45">
      <c r="A79" t="s">
        <v>232</v>
      </c>
      <c r="B79" t="s">
        <v>152</v>
      </c>
      <c r="C79" t="s">
        <v>242</v>
      </c>
      <c r="D79" s="20">
        <v>19</v>
      </c>
      <c r="E79" t="s">
        <v>592</v>
      </c>
      <c r="F79" t="s">
        <v>571</v>
      </c>
    </row>
    <row r="80" spans="1:6" x14ac:dyDescent="0.45">
      <c r="A80" t="s">
        <v>232</v>
      </c>
      <c r="B80" t="s">
        <v>199</v>
      </c>
      <c r="C80" t="s">
        <v>242</v>
      </c>
      <c r="D80" s="20">
        <v>19</v>
      </c>
      <c r="E80" t="s">
        <v>592</v>
      </c>
      <c r="F80" t="s">
        <v>571</v>
      </c>
    </row>
    <row r="81" spans="1:6" x14ac:dyDescent="0.45">
      <c r="A81" t="s">
        <v>232</v>
      </c>
      <c r="B81" t="s">
        <v>193</v>
      </c>
      <c r="C81" t="s">
        <v>252</v>
      </c>
      <c r="D81" s="20">
        <v>4</v>
      </c>
      <c r="E81" t="s">
        <v>568</v>
      </c>
      <c r="F81" t="s">
        <v>571</v>
      </c>
    </row>
    <row r="82" spans="1:6" x14ac:dyDescent="0.45">
      <c r="A82" t="s">
        <v>232</v>
      </c>
      <c r="B82" t="s">
        <v>177</v>
      </c>
      <c r="C82" t="s">
        <v>252</v>
      </c>
      <c r="D82" s="20">
        <v>4</v>
      </c>
      <c r="E82" t="s">
        <v>568</v>
      </c>
      <c r="F82" t="s">
        <v>571</v>
      </c>
    </row>
    <row r="83" spans="1:6" x14ac:dyDescent="0.45">
      <c r="A83" t="s">
        <v>232</v>
      </c>
      <c r="B83" t="s">
        <v>207</v>
      </c>
      <c r="C83" t="s">
        <v>252</v>
      </c>
      <c r="D83" s="20">
        <v>4</v>
      </c>
      <c r="E83" t="s">
        <v>568</v>
      </c>
      <c r="F83" t="s">
        <v>571</v>
      </c>
    </row>
    <row r="84" spans="1:6" x14ac:dyDescent="0.45">
      <c r="A84" t="s">
        <v>232</v>
      </c>
      <c r="B84" t="s">
        <v>197</v>
      </c>
      <c r="C84" t="s">
        <v>252</v>
      </c>
      <c r="D84" s="20">
        <v>4</v>
      </c>
      <c r="E84" t="s">
        <v>568</v>
      </c>
      <c r="F84" t="s">
        <v>571</v>
      </c>
    </row>
    <row r="85" spans="1:6" x14ac:dyDescent="0.45">
      <c r="A85" t="s">
        <v>232</v>
      </c>
      <c r="B85" t="s">
        <v>146</v>
      </c>
      <c r="C85" t="s">
        <v>252</v>
      </c>
      <c r="D85" s="20">
        <v>4</v>
      </c>
      <c r="E85" t="s">
        <v>568</v>
      </c>
      <c r="F85" t="s">
        <v>571</v>
      </c>
    </row>
    <row r="86" spans="1:6" x14ac:dyDescent="0.45">
      <c r="A86" t="s">
        <v>232</v>
      </c>
      <c r="B86" t="s">
        <v>176</v>
      </c>
      <c r="C86" t="s">
        <v>252</v>
      </c>
      <c r="D86" s="20">
        <v>4</v>
      </c>
      <c r="E86" t="s">
        <v>568</v>
      </c>
      <c r="F86" t="s">
        <v>571</v>
      </c>
    </row>
    <row r="87" spans="1:6" x14ac:dyDescent="0.45">
      <c r="A87" t="s">
        <v>232</v>
      </c>
      <c r="B87" t="s">
        <v>216</v>
      </c>
      <c r="C87" t="s">
        <v>252</v>
      </c>
      <c r="D87" s="20">
        <v>4</v>
      </c>
      <c r="E87" t="s">
        <v>568</v>
      </c>
      <c r="F87" t="s">
        <v>571</v>
      </c>
    </row>
    <row r="88" spans="1:6" x14ac:dyDescent="0.45">
      <c r="A88" t="s">
        <v>232</v>
      </c>
      <c r="B88" t="s">
        <v>172</v>
      </c>
      <c r="C88" t="s">
        <v>252</v>
      </c>
      <c r="D88" s="20">
        <v>4</v>
      </c>
      <c r="E88" t="s">
        <v>568</v>
      </c>
      <c r="F88" t="s">
        <v>571</v>
      </c>
    </row>
    <row r="89" spans="1:6" x14ac:dyDescent="0.45">
      <c r="A89" t="s">
        <v>232</v>
      </c>
      <c r="B89" t="s">
        <v>178</v>
      </c>
      <c r="C89" t="s">
        <v>252</v>
      </c>
      <c r="D89" s="20">
        <v>4</v>
      </c>
      <c r="E89" t="s">
        <v>568</v>
      </c>
      <c r="F89" t="s">
        <v>571</v>
      </c>
    </row>
    <row r="90" spans="1:6" x14ac:dyDescent="0.45">
      <c r="A90" t="s">
        <v>232</v>
      </c>
      <c r="B90" t="s">
        <v>217</v>
      </c>
      <c r="C90" t="s">
        <v>252</v>
      </c>
      <c r="D90" s="20">
        <v>4</v>
      </c>
      <c r="E90" t="s">
        <v>568</v>
      </c>
      <c r="F90" t="s">
        <v>571</v>
      </c>
    </row>
    <row r="91" spans="1:6" x14ac:dyDescent="0.45">
      <c r="A91" t="s">
        <v>232</v>
      </c>
      <c r="B91" t="s">
        <v>200</v>
      </c>
      <c r="C91" t="s">
        <v>255</v>
      </c>
      <c r="D91" s="20" t="s">
        <v>501</v>
      </c>
      <c r="E91" t="s">
        <v>597</v>
      </c>
      <c r="F91" t="s">
        <v>574</v>
      </c>
    </row>
    <row r="92" spans="1:6" x14ac:dyDescent="0.45">
      <c r="A92" t="s">
        <v>232</v>
      </c>
      <c r="B92" t="s">
        <v>170</v>
      </c>
      <c r="C92" t="s">
        <v>255</v>
      </c>
      <c r="D92" s="20" t="s">
        <v>501</v>
      </c>
      <c r="E92" t="s">
        <v>597</v>
      </c>
      <c r="F92" t="s">
        <v>574</v>
      </c>
    </row>
    <row r="93" spans="1:6" x14ac:dyDescent="0.45">
      <c r="A93" t="s">
        <v>232</v>
      </c>
      <c r="B93" t="s">
        <v>225</v>
      </c>
      <c r="C93" t="s">
        <v>255</v>
      </c>
      <c r="D93" s="20" t="s">
        <v>501</v>
      </c>
      <c r="E93" t="s">
        <v>597</v>
      </c>
      <c r="F93" t="s">
        <v>573</v>
      </c>
    </row>
    <row r="94" spans="1:6" x14ac:dyDescent="0.45">
      <c r="A94" t="s">
        <v>232</v>
      </c>
      <c r="B94" t="s">
        <v>167</v>
      </c>
      <c r="C94" t="s">
        <v>255</v>
      </c>
      <c r="D94" s="20" t="s">
        <v>501</v>
      </c>
      <c r="E94" t="s">
        <v>597</v>
      </c>
      <c r="F94" t="s">
        <v>573</v>
      </c>
    </row>
    <row r="95" spans="1:6" x14ac:dyDescent="0.45">
      <c r="A95" t="s">
        <v>232</v>
      </c>
      <c r="B95" t="s">
        <v>150</v>
      </c>
      <c r="C95" t="s">
        <v>255</v>
      </c>
      <c r="D95" s="20" t="s">
        <v>501</v>
      </c>
      <c r="E95" t="s">
        <v>597</v>
      </c>
      <c r="F95" t="s">
        <v>573</v>
      </c>
    </row>
    <row r="96" spans="1:6" x14ac:dyDescent="0.45">
      <c r="A96" t="s">
        <v>232</v>
      </c>
      <c r="B96" t="s">
        <v>147</v>
      </c>
      <c r="C96" t="s">
        <v>255</v>
      </c>
      <c r="D96" s="20" t="s">
        <v>501</v>
      </c>
      <c r="E96" t="s">
        <v>597</v>
      </c>
      <c r="F96" t="s">
        <v>573</v>
      </c>
    </row>
    <row r="97" spans="1:6" x14ac:dyDescent="0.45">
      <c r="A97" t="s">
        <v>232</v>
      </c>
      <c r="B97" t="s">
        <v>182</v>
      </c>
      <c r="C97" t="s">
        <v>255</v>
      </c>
      <c r="D97" s="20" t="s">
        <v>501</v>
      </c>
      <c r="E97" t="s">
        <v>597</v>
      </c>
      <c r="F97" t="s">
        <v>573</v>
      </c>
    </row>
    <row r="98" spans="1:6" x14ac:dyDescent="0.45">
      <c r="A98" t="s">
        <v>232</v>
      </c>
      <c r="B98" t="s">
        <v>162</v>
      </c>
      <c r="C98" t="s">
        <v>255</v>
      </c>
      <c r="D98" s="20" t="s">
        <v>501</v>
      </c>
      <c r="E98" t="s">
        <v>597</v>
      </c>
      <c r="F98" t="s">
        <v>573</v>
      </c>
    </row>
    <row r="99" spans="1:6" x14ac:dyDescent="0.45">
      <c r="A99" t="s">
        <v>232</v>
      </c>
      <c r="B99" t="s">
        <v>189</v>
      </c>
      <c r="C99" t="s">
        <v>255</v>
      </c>
      <c r="D99" s="20" t="s">
        <v>501</v>
      </c>
      <c r="E99" t="s">
        <v>597</v>
      </c>
      <c r="F99" t="s">
        <v>573</v>
      </c>
    </row>
    <row r="100" spans="1:6" x14ac:dyDescent="0.45">
      <c r="A100" t="s">
        <v>232</v>
      </c>
      <c r="B100" t="s">
        <v>148</v>
      </c>
      <c r="C100" t="s">
        <v>255</v>
      </c>
      <c r="D100" s="20" t="s">
        <v>501</v>
      </c>
      <c r="E100" t="s">
        <v>597</v>
      </c>
      <c r="F100" t="s">
        <v>573</v>
      </c>
    </row>
    <row r="101" spans="1:6" x14ac:dyDescent="0.45">
      <c r="A101" t="s">
        <v>232</v>
      </c>
      <c r="B101" t="s">
        <v>504</v>
      </c>
      <c r="C101" t="s">
        <v>255</v>
      </c>
      <c r="D101" s="20" t="s">
        <v>501</v>
      </c>
      <c r="E101" t="s">
        <v>597</v>
      </c>
      <c r="F101" t="s">
        <v>573</v>
      </c>
    </row>
    <row r="102" spans="1:6" x14ac:dyDescent="0.45">
      <c r="A102" t="s">
        <v>232</v>
      </c>
      <c r="B102" t="s">
        <v>174</v>
      </c>
      <c r="C102" t="s">
        <v>255</v>
      </c>
      <c r="D102" s="20" t="s">
        <v>501</v>
      </c>
      <c r="E102" t="s">
        <v>597</v>
      </c>
      <c r="F102" t="s">
        <v>573</v>
      </c>
    </row>
    <row r="103" spans="1:6" x14ac:dyDescent="0.45">
      <c r="A103" t="s">
        <v>232</v>
      </c>
      <c r="B103" t="s">
        <v>230</v>
      </c>
      <c r="C103" t="s">
        <v>246</v>
      </c>
      <c r="D103" s="20" t="s">
        <v>231</v>
      </c>
      <c r="E103" t="s">
        <v>588</v>
      </c>
      <c r="F103" t="s">
        <v>572</v>
      </c>
    </row>
    <row r="104" spans="1:6" x14ac:dyDescent="0.45">
      <c r="A104" t="s">
        <v>232</v>
      </c>
      <c r="B104" t="s">
        <v>203</v>
      </c>
      <c r="C104" t="s">
        <v>246</v>
      </c>
      <c r="D104" s="20" t="s">
        <v>231</v>
      </c>
      <c r="E104" t="s">
        <v>588</v>
      </c>
      <c r="F104" t="s">
        <v>572</v>
      </c>
    </row>
    <row r="105" spans="1:6" x14ac:dyDescent="0.45">
      <c r="A105" t="s">
        <v>232</v>
      </c>
      <c r="B105" t="s">
        <v>191</v>
      </c>
      <c r="C105" t="s">
        <v>246</v>
      </c>
      <c r="D105" s="20" t="s">
        <v>231</v>
      </c>
      <c r="E105" t="s">
        <v>588</v>
      </c>
      <c r="F105" t="s">
        <v>572</v>
      </c>
    </row>
    <row r="106" spans="1:6" x14ac:dyDescent="0.45">
      <c r="A106" t="s">
        <v>232</v>
      </c>
      <c r="B106" t="s">
        <v>175</v>
      </c>
      <c r="C106" t="s">
        <v>246</v>
      </c>
      <c r="D106" s="20" t="s">
        <v>231</v>
      </c>
      <c r="E106" t="s">
        <v>588</v>
      </c>
      <c r="F106" t="s">
        <v>572</v>
      </c>
    </row>
    <row r="107" spans="1:6" x14ac:dyDescent="0.45">
      <c r="A107" t="s">
        <v>232</v>
      </c>
      <c r="B107" t="s">
        <v>220</v>
      </c>
      <c r="C107" t="s">
        <v>246</v>
      </c>
      <c r="D107" s="20" t="s">
        <v>231</v>
      </c>
      <c r="E107" t="s">
        <v>588</v>
      </c>
      <c r="F107" t="s">
        <v>572</v>
      </c>
    </row>
    <row r="108" spans="1:6" x14ac:dyDescent="0.45">
      <c r="A108" t="s">
        <v>232</v>
      </c>
      <c r="B108" t="s">
        <v>140</v>
      </c>
      <c r="C108" t="s">
        <v>246</v>
      </c>
      <c r="D108" s="20" t="s">
        <v>231</v>
      </c>
      <c r="E108" t="s">
        <v>588</v>
      </c>
      <c r="F108" t="s">
        <v>572</v>
      </c>
    </row>
    <row r="109" spans="1:6" x14ac:dyDescent="0.45">
      <c r="A109" t="s">
        <v>232</v>
      </c>
      <c r="B109" t="s">
        <v>166</v>
      </c>
      <c r="C109" t="s">
        <v>246</v>
      </c>
      <c r="D109" s="20" t="s">
        <v>231</v>
      </c>
      <c r="E109" t="s">
        <v>588</v>
      </c>
      <c r="F109" t="s">
        <v>572</v>
      </c>
    </row>
    <row r="110" spans="1:6" x14ac:dyDescent="0.45">
      <c r="A110" t="s">
        <v>232</v>
      </c>
      <c r="B110" t="s">
        <v>163</v>
      </c>
      <c r="C110" t="s">
        <v>246</v>
      </c>
      <c r="D110" s="20" t="s">
        <v>231</v>
      </c>
      <c r="E110" t="s">
        <v>588</v>
      </c>
      <c r="F110" t="s">
        <v>572</v>
      </c>
    </row>
    <row r="111" spans="1:6" x14ac:dyDescent="0.45">
      <c r="A111" t="s">
        <v>232</v>
      </c>
      <c r="B111" t="s">
        <v>183</v>
      </c>
      <c r="C111" t="s">
        <v>246</v>
      </c>
      <c r="D111" s="20" t="s">
        <v>231</v>
      </c>
      <c r="E111" t="s">
        <v>588</v>
      </c>
      <c r="F111" t="s">
        <v>572</v>
      </c>
    </row>
    <row r="112" spans="1:6" x14ac:dyDescent="0.45">
      <c r="A112" t="s">
        <v>232</v>
      </c>
      <c r="B112" t="s">
        <v>196</v>
      </c>
      <c r="C112" t="s">
        <v>246</v>
      </c>
      <c r="D112" s="20" t="s">
        <v>231</v>
      </c>
      <c r="E112" t="s">
        <v>588</v>
      </c>
      <c r="F112" t="s">
        <v>572</v>
      </c>
    </row>
    <row r="113" spans="1:6" x14ac:dyDescent="0.45">
      <c r="A113" t="s">
        <v>232</v>
      </c>
      <c r="B113" t="s">
        <v>154</v>
      </c>
      <c r="C113" t="s">
        <v>246</v>
      </c>
      <c r="D113" s="20" t="s">
        <v>231</v>
      </c>
      <c r="E113" t="s">
        <v>588</v>
      </c>
      <c r="F113" t="s">
        <v>572</v>
      </c>
    </row>
    <row r="114" spans="1:6" x14ac:dyDescent="0.45">
      <c r="A114" t="s">
        <v>232</v>
      </c>
      <c r="B114" t="s">
        <v>155</v>
      </c>
      <c r="C114" t="s">
        <v>246</v>
      </c>
      <c r="D114" s="20" t="s">
        <v>231</v>
      </c>
      <c r="E114" t="s">
        <v>588</v>
      </c>
      <c r="F114" t="s">
        <v>572</v>
      </c>
    </row>
    <row r="115" spans="1:6" x14ac:dyDescent="0.45">
      <c r="A115" t="s">
        <v>232</v>
      </c>
      <c r="B115" t="s">
        <v>194</v>
      </c>
      <c r="C115" t="s">
        <v>258</v>
      </c>
      <c r="D115" s="20" t="s">
        <v>636</v>
      </c>
      <c r="E115" t="s">
        <v>637</v>
      </c>
      <c r="F115" t="s">
        <v>639</v>
      </c>
    </row>
    <row r="116" spans="1:6" x14ac:dyDescent="0.45">
      <c r="A116" t="s">
        <v>232</v>
      </c>
      <c r="B116" t="s">
        <v>208</v>
      </c>
      <c r="C116" t="s">
        <v>258</v>
      </c>
      <c r="D116" s="20" t="s">
        <v>636</v>
      </c>
      <c r="E116" t="s">
        <v>637</v>
      </c>
      <c r="F116" t="s">
        <v>639</v>
      </c>
    </row>
    <row r="117" spans="1:6" x14ac:dyDescent="0.45">
      <c r="A117" t="s">
        <v>232</v>
      </c>
      <c r="B117" t="s">
        <v>181</v>
      </c>
      <c r="C117" t="s">
        <v>258</v>
      </c>
      <c r="D117" s="20" t="s">
        <v>636</v>
      </c>
      <c r="E117" t="s">
        <v>637</v>
      </c>
      <c r="F117" t="s">
        <v>639</v>
      </c>
    </row>
    <row r="118" spans="1:6" x14ac:dyDescent="0.45">
      <c r="A118" t="s">
        <v>232</v>
      </c>
      <c r="B118" t="s">
        <v>226</v>
      </c>
      <c r="C118" t="s">
        <v>258</v>
      </c>
      <c r="D118" s="20" t="s">
        <v>636</v>
      </c>
      <c r="E118" t="s">
        <v>637</v>
      </c>
      <c r="F118" t="s">
        <v>639</v>
      </c>
    </row>
    <row r="119" spans="1:6" x14ac:dyDescent="0.45">
      <c r="A119" t="s">
        <v>232</v>
      </c>
      <c r="B119" t="s">
        <v>169</v>
      </c>
      <c r="C119" t="s">
        <v>258</v>
      </c>
      <c r="D119" s="20" t="s">
        <v>636</v>
      </c>
      <c r="E119" t="s">
        <v>637</v>
      </c>
      <c r="F119" t="s">
        <v>639</v>
      </c>
    </row>
    <row r="120" spans="1:6" x14ac:dyDescent="0.45">
      <c r="A120" t="s">
        <v>232</v>
      </c>
      <c r="B120" t="s">
        <v>218</v>
      </c>
      <c r="C120" t="s">
        <v>258</v>
      </c>
      <c r="D120" s="20" t="s">
        <v>636</v>
      </c>
      <c r="E120" t="s">
        <v>637</v>
      </c>
      <c r="F120" t="s">
        <v>639</v>
      </c>
    </row>
    <row r="121" spans="1:6" x14ac:dyDescent="0.45">
      <c r="A121" t="s">
        <v>232</v>
      </c>
      <c r="B121" t="s">
        <v>215</v>
      </c>
      <c r="C121" t="s">
        <v>258</v>
      </c>
      <c r="D121" s="20" t="s">
        <v>636</v>
      </c>
      <c r="E121" t="s">
        <v>637</v>
      </c>
      <c r="F121" t="s">
        <v>639</v>
      </c>
    </row>
    <row r="122" spans="1:6" x14ac:dyDescent="0.45">
      <c r="A122" t="s">
        <v>232</v>
      </c>
      <c r="B122" t="s">
        <v>171</v>
      </c>
      <c r="C122" t="s">
        <v>258</v>
      </c>
      <c r="D122" s="20" t="s">
        <v>636</v>
      </c>
      <c r="E122" t="s">
        <v>637</v>
      </c>
      <c r="F122" t="s">
        <v>639</v>
      </c>
    </row>
    <row r="123" spans="1:6" x14ac:dyDescent="0.45">
      <c r="A123" t="s">
        <v>232</v>
      </c>
      <c r="B123" t="s">
        <v>206</v>
      </c>
      <c r="C123" t="s">
        <v>258</v>
      </c>
      <c r="D123" s="20" t="s">
        <v>636</v>
      </c>
      <c r="E123" t="s">
        <v>637</v>
      </c>
      <c r="F123" t="s">
        <v>639</v>
      </c>
    </row>
    <row r="124" spans="1:6" x14ac:dyDescent="0.45">
      <c r="A124" t="s">
        <v>232</v>
      </c>
      <c r="B124" t="s">
        <v>180</v>
      </c>
      <c r="C124" t="s">
        <v>258</v>
      </c>
      <c r="D124" s="20" t="s">
        <v>636</v>
      </c>
      <c r="E124" t="s">
        <v>637</v>
      </c>
      <c r="F124" t="s">
        <v>639</v>
      </c>
    </row>
    <row r="125" spans="1:6" x14ac:dyDescent="0.45">
      <c r="A125" t="s">
        <v>232</v>
      </c>
      <c r="B125" t="s">
        <v>157</v>
      </c>
      <c r="C125" t="s">
        <v>258</v>
      </c>
      <c r="D125" s="20" t="s">
        <v>636</v>
      </c>
      <c r="E125" t="s">
        <v>637</v>
      </c>
      <c r="F125" t="s">
        <v>639</v>
      </c>
    </row>
    <row r="126" spans="1:6" x14ac:dyDescent="0.45">
      <c r="A126" t="s">
        <v>232</v>
      </c>
      <c r="B126" t="s">
        <v>168</v>
      </c>
      <c r="C126" t="s">
        <v>258</v>
      </c>
      <c r="D126" s="20" t="s">
        <v>636</v>
      </c>
      <c r="E126" t="s">
        <v>637</v>
      </c>
      <c r="F126" t="s">
        <v>639</v>
      </c>
    </row>
    <row r="127" spans="1:6" x14ac:dyDescent="0.45">
      <c r="A127" t="s">
        <v>536</v>
      </c>
      <c r="B127" t="s">
        <v>534</v>
      </c>
      <c r="C127" t="s">
        <v>537</v>
      </c>
      <c r="D127">
        <v>3</v>
      </c>
      <c r="E127" t="s">
        <v>567</v>
      </c>
      <c r="F127" t="s">
        <v>571</v>
      </c>
    </row>
    <row r="130" spans="1:6" x14ac:dyDescent="0.45">
      <c r="A130" t="s">
        <v>632</v>
      </c>
      <c r="D130" s="20" t="s">
        <v>561</v>
      </c>
      <c r="E130" t="s">
        <v>563</v>
      </c>
      <c r="F130" t="s">
        <v>578</v>
      </c>
    </row>
    <row r="131" spans="1:6" x14ac:dyDescent="0.45">
      <c r="C131" t="s">
        <v>599</v>
      </c>
      <c r="D131" s="20">
        <v>4</v>
      </c>
      <c r="E131" t="s">
        <v>568</v>
      </c>
      <c r="F131" t="s">
        <v>565</v>
      </c>
    </row>
    <row r="132" spans="1:6" x14ac:dyDescent="0.45">
      <c r="C132" t="s">
        <v>601</v>
      </c>
      <c r="D132" s="20">
        <v>1</v>
      </c>
      <c r="E132" t="s">
        <v>562</v>
      </c>
      <c r="F132" t="s">
        <v>565</v>
      </c>
    </row>
    <row r="133" spans="1:6" x14ac:dyDescent="0.45">
      <c r="C133" t="s">
        <v>603</v>
      </c>
      <c r="D133" s="20" t="s">
        <v>231</v>
      </c>
      <c r="E133" t="s">
        <v>588</v>
      </c>
      <c r="F133" t="s">
        <v>572</v>
      </c>
    </row>
    <row r="134" spans="1:6" x14ac:dyDescent="0.45">
      <c r="C134" t="s">
        <v>605</v>
      </c>
      <c r="D134" s="20">
        <v>21</v>
      </c>
      <c r="E134" t="s">
        <v>633</v>
      </c>
      <c r="F134" t="s">
        <v>565</v>
      </c>
    </row>
    <row r="135" spans="1:6" x14ac:dyDescent="0.45">
      <c r="C135" t="s">
        <v>606</v>
      </c>
      <c r="D135" s="20"/>
    </row>
    <row r="136" spans="1:6" x14ac:dyDescent="0.45">
      <c r="C136" t="s">
        <v>607</v>
      </c>
      <c r="D136" s="20"/>
    </row>
    <row r="137" spans="1:6" x14ac:dyDescent="0.45">
      <c r="C137" t="s">
        <v>608</v>
      </c>
      <c r="D137" s="20">
        <v>19</v>
      </c>
      <c r="E137" t="s">
        <v>592</v>
      </c>
      <c r="F137" t="s">
        <v>565</v>
      </c>
    </row>
    <row r="138" spans="1:6" x14ac:dyDescent="0.45">
      <c r="C138" t="s">
        <v>609</v>
      </c>
      <c r="D138" s="20" t="s">
        <v>231</v>
      </c>
      <c r="E138" t="s">
        <v>588</v>
      </c>
      <c r="F138" t="s">
        <v>572</v>
      </c>
    </row>
    <row r="139" spans="1:6" x14ac:dyDescent="0.45">
      <c r="D139" s="20"/>
    </row>
    <row r="140" spans="1:6" x14ac:dyDescent="0.45">
      <c r="A140" t="s">
        <v>631</v>
      </c>
      <c r="D140" s="20"/>
    </row>
    <row r="141" spans="1:6" x14ac:dyDescent="0.45">
      <c r="C141" t="s">
        <v>615</v>
      </c>
      <c r="D141" s="20">
        <v>9</v>
      </c>
      <c r="E141" t="s">
        <v>580</v>
      </c>
      <c r="F141" t="s">
        <v>574</v>
      </c>
    </row>
    <row r="142" spans="1:6" x14ac:dyDescent="0.45">
      <c r="C142" t="s">
        <v>617</v>
      </c>
      <c r="D142" s="20">
        <v>22</v>
      </c>
      <c r="E142" t="s">
        <v>634</v>
      </c>
      <c r="F142" t="s">
        <v>574</v>
      </c>
    </row>
    <row r="143" spans="1:6" x14ac:dyDescent="0.45">
      <c r="C143" t="s">
        <v>619</v>
      </c>
      <c r="D143" s="20" t="s">
        <v>501</v>
      </c>
      <c r="E143" t="s">
        <v>597</v>
      </c>
      <c r="F143" t="s">
        <v>574</v>
      </c>
    </row>
    <row r="144" spans="1:6" x14ac:dyDescent="0.45">
      <c r="C144" t="s">
        <v>621</v>
      </c>
      <c r="D144" s="20">
        <v>2</v>
      </c>
      <c r="E144" t="s">
        <v>564</v>
      </c>
      <c r="F144" t="s">
        <v>574</v>
      </c>
    </row>
    <row r="145" spans="3:6" x14ac:dyDescent="0.45">
      <c r="C145" t="s">
        <v>623</v>
      </c>
      <c r="D145" s="20">
        <v>23</v>
      </c>
      <c r="E145" t="s">
        <v>575</v>
      </c>
      <c r="F145" t="s">
        <v>574</v>
      </c>
    </row>
    <row r="146" spans="3:6" x14ac:dyDescent="0.45">
      <c r="C146" t="s">
        <v>625</v>
      </c>
      <c r="D146" s="20" t="s">
        <v>501</v>
      </c>
      <c r="E146" t="s">
        <v>597</v>
      </c>
      <c r="F146" t="s">
        <v>574</v>
      </c>
    </row>
    <row r="147" spans="3:6" x14ac:dyDescent="0.45">
      <c r="C147" t="s">
        <v>627</v>
      </c>
      <c r="D147" s="20">
        <v>2</v>
      </c>
      <c r="E147" t="s">
        <v>564</v>
      </c>
      <c r="F147" t="s">
        <v>574</v>
      </c>
    </row>
    <row r="148" spans="3:6" x14ac:dyDescent="0.45">
      <c r="C148" t="s">
        <v>629</v>
      </c>
      <c r="D148" s="20">
        <v>6</v>
      </c>
      <c r="E148" t="s">
        <v>575</v>
      </c>
      <c r="F148" t="s">
        <v>574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23C3-BFB5-4D1F-A1A8-907AD9A0F554}">
  <sheetPr codeName="Sheet2"/>
  <dimension ref="A1:H261"/>
  <sheetViews>
    <sheetView topLeftCell="A208" workbookViewId="0">
      <selection activeCell="A230" sqref="A230"/>
    </sheetView>
  </sheetViews>
  <sheetFormatPr defaultRowHeight="17" x14ac:dyDescent="0.45"/>
  <cols>
    <col min="2" max="4" width="10.33203125" customWidth="1"/>
    <col min="5" max="6" width="7.1640625" customWidth="1"/>
  </cols>
  <sheetData>
    <row r="1" spans="1:8" x14ac:dyDescent="0.45">
      <c r="A1" t="s">
        <v>315</v>
      </c>
      <c r="B1" t="s">
        <v>316</v>
      </c>
      <c r="C1" t="s">
        <v>317</v>
      </c>
      <c r="D1" t="s">
        <v>318</v>
      </c>
      <c r="E1" t="s">
        <v>500</v>
      </c>
      <c r="F1" t="s">
        <v>503</v>
      </c>
      <c r="G1" t="s">
        <v>319</v>
      </c>
      <c r="H1" t="s">
        <v>496</v>
      </c>
    </row>
    <row r="2" spans="1:8" x14ac:dyDescent="0.45">
      <c r="A2" t="s">
        <v>389</v>
      </c>
      <c r="B2">
        <v>40</v>
      </c>
      <c r="C2">
        <v>96</v>
      </c>
      <c r="D2">
        <v>81</v>
      </c>
      <c r="E2">
        <f t="shared" ref="E2:E65" si="0">SUM(B2:D2)</f>
        <v>217</v>
      </c>
      <c r="F2">
        <f t="shared" ref="F2:F65" si="1">MAX(B2:D2)</f>
        <v>96</v>
      </c>
      <c r="G2" t="s">
        <v>326</v>
      </c>
      <c r="H2" t="s">
        <v>497</v>
      </c>
    </row>
    <row r="3" spans="1:8" x14ac:dyDescent="0.45">
      <c r="A3" t="s">
        <v>166</v>
      </c>
      <c r="B3">
        <v>42</v>
      </c>
      <c r="C3">
        <v>74</v>
      </c>
      <c r="D3">
        <v>36</v>
      </c>
      <c r="E3">
        <f t="shared" si="0"/>
        <v>152</v>
      </c>
      <c r="F3">
        <f t="shared" si="1"/>
        <v>74</v>
      </c>
      <c r="G3" t="s">
        <v>320</v>
      </c>
      <c r="H3" t="s">
        <v>498</v>
      </c>
    </row>
    <row r="4" spans="1:8" x14ac:dyDescent="0.45">
      <c r="A4" t="s">
        <v>425</v>
      </c>
      <c r="B4">
        <v>91</v>
      </c>
      <c r="C4">
        <v>54</v>
      </c>
      <c r="D4">
        <v>84</v>
      </c>
      <c r="E4">
        <f t="shared" si="0"/>
        <v>229</v>
      </c>
      <c r="F4">
        <f t="shared" si="1"/>
        <v>91</v>
      </c>
      <c r="G4" t="s">
        <v>330</v>
      </c>
      <c r="H4" t="s">
        <v>497</v>
      </c>
    </row>
    <row r="5" spans="1:8" x14ac:dyDescent="0.45">
      <c r="A5" t="s">
        <v>189</v>
      </c>
      <c r="B5">
        <v>45</v>
      </c>
      <c r="C5">
        <v>78</v>
      </c>
      <c r="D5">
        <v>52</v>
      </c>
      <c r="E5">
        <f t="shared" si="0"/>
        <v>175</v>
      </c>
      <c r="F5">
        <f t="shared" si="1"/>
        <v>78</v>
      </c>
      <c r="G5" t="s">
        <v>326</v>
      </c>
      <c r="H5" t="s">
        <v>498</v>
      </c>
    </row>
    <row r="6" spans="1:8" x14ac:dyDescent="0.45">
      <c r="A6" t="s">
        <v>485</v>
      </c>
      <c r="B6">
        <v>90</v>
      </c>
      <c r="C6">
        <v>94</v>
      </c>
      <c r="D6">
        <v>80</v>
      </c>
      <c r="E6">
        <f t="shared" si="0"/>
        <v>264</v>
      </c>
      <c r="F6">
        <f t="shared" si="1"/>
        <v>94</v>
      </c>
      <c r="G6" t="s">
        <v>320</v>
      </c>
      <c r="H6" t="s">
        <v>497</v>
      </c>
    </row>
    <row r="7" spans="1:8" x14ac:dyDescent="0.45">
      <c r="A7" t="s">
        <v>362</v>
      </c>
      <c r="B7">
        <v>44</v>
      </c>
      <c r="C7">
        <v>53</v>
      </c>
      <c r="D7">
        <v>32</v>
      </c>
      <c r="E7">
        <f t="shared" si="0"/>
        <v>129</v>
      </c>
      <c r="F7">
        <f t="shared" si="1"/>
        <v>53</v>
      </c>
      <c r="G7" t="s">
        <v>328</v>
      </c>
      <c r="H7" t="s">
        <v>501</v>
      </c>
    </row>
    <row r="8" spans="1:8" x14ac:dyDescent="0.45">
      <c r="A8" t="s">
        <v>177</v>
      </c>
      <c r="B8">
        <v>75</v>
      </c>
      <c r="C8">
        <v>50</v>
      </c>
      <c r="D8">
        <v>72</v>
      </c>
      <c r="E8">
        <f t="shared" si="0"/>
        <v>197</v>
      </c>
      <c r="F8">
        <f t="shared" si="1"/>
        <v>75</v>
      </c>
      <c r="G8" t="s">
        <v>328</v>
      </c>
      <c r="H8" t="s">
        <v>498</v>
      </c>
    </row>
    <row r="9" spans="1:8" x14ac:dyDescent="0.45">
      <c r="A9" t="s">
        <v>375</v>
      </c>
      <c r="B9">
        <v>56</v>
      </c>
      <c r="C9">
        <v>60</v>
      </c>
      <c r="D9">
        <v>63</v>
      </c>
      <c r="E9">
        <f t="shared" si="0"/>
        <v>179</v>
      </c>
      <c r="F9">
        <f t="shared" si="1"/>
        <v>63</v>
      </c>
      <c r="G9" t="s">
        <v>323</v>
      </c>
      <c r="H9" t="s">
        <v>502</v>
      </c>
    </row>
    <row r="10" spans="1:8" x14ac:dyDescent="0.45">
      <c r="A10" t="s">
        <v>432</v>
      </c>
      <c r="B10">
        <v>18</v>
      </c>
      <c r="C10">
        <v>72</v>
      </c>
      <c r="D10">
        <v>17</v>
      </c>
      <c r="E10">
        <f t="shared" si="0"/>
        <v>107</v>
      </c>
      <c r="F10">
        <f t="shared" si="1"/>
        <v>72</v>
      </c>
      <c r="G10" t="s">
        <v>330</v>
      </c>
      <c r="H10" t="s">
        <v>502</v>
      </c>
    </row>
    <row r="11" spans="1:8" x14ac:dyDescent="0.45">
      <c r="A11" t="s">
        <v>483</v>
      </c>
      <c r="B11">
        <v>72</v>
      </c>
      <c r="C11">
        <v>56</v>
      </c>
      <c r="D11">
        <v>48</v>
      </c>
      <c r="E11">
        <f t="shared" si="0"/>
        <v>176</v>
      </c>
      <c r="F11">
        <f t="shared" si="1"/>
        <v>72</v>
      </c>
      <c r="G11" t="s">
        <v>326</v>
      </c>
      <c r="H11" t="s">
        <v>502</v>
      </c>
    </row>
    <row r="12" spans="1:8" x14ac:dyDescent="0.45">
      <c r="A12" t="s">
        <v>457</v>
      </c>
      <c r="B12">
        <v>59</v>
      </c>
      <c r="C12">
        <v>43</v>
      </c>
      <c r="D12">
        <v>56</v>
      </c>
      <c r="E12">
        <f t="shared" si="0"/>
        <v>158</v>
      </c>
      <c r="F12">
        <f t="shared" si="1"/>
        <v>59</v>
      </c>
      <c r="G12" t="s">
        <v>334</v>
      </c>
      <c r="H12" t="s">
        <v>502</v>
      </c>
    </row>
    <row r="13" spans="1:8" x14ac:dyDescent="0.45">
      <c r="A13" t="s">
        <v>343</v>
      </c>
      <c r="B13">
        <v>60</v>
      </c>
      <c r="C13">
        <v>47</v>
      </c>
      <c r="D13">
        <v>58</v>
      </c>
      <c r="E13">
        <f t="shared" si="0"/>
        <v>165</v>
      </c>
      <c r="F13">
        <f t="shared" si="1"/>
        <v>60</v>
      </c>
      <c r="G13" t="s">
        <v>333</v>
      </c>
      <c r="H13" t="s">
        <v>502</v>
      </c>
    </row>
    <row r="14" spans="1:8" x14ac:dyDescent="0.45">
      <c r="A14" t="s">
        <v>332</v>
      </c>
      <c r="B14">
        <v>71</v>
      </c>
      <c r="C14">
        <v>55</v>
      </c>
      <c r="D14">
        <v>67</v>
      </c>
      <c r="E14">
        <f t="shared" si="0"/>
        <v>193</v>
      </c>
      <c r="F14">
        <f t="shared" si="1"/>
        <v>71</v>
      </c>
      <c r="G14" t="s">
        <v>333</v>
      </c>
      <c r="H14" t="s">
        <v>502</v>
      </c>
    </row>
    <row r="15" spans="1:8" x14ac:dyDescent="0.45">
      <c r="A15" t="s">
        <v>140</v>
      </c>
      <c r="B15">
        <v>58</v>
      </c>
      <c r="C15">
        <v>83</v>
      </c>
      <c r="D15">
        <v>67</v>
      </c>
      <c r="E15">
        <f t="shared" si="0"/>
        <v>208</v>
      </c>
      <c r="F15">
        <f t="shared" si="1"/>
        <v>83</v>
      </c>
      <c r="G15" t="s">
        <v>324</v>
      </c>
      <c r="H15" t="s">
        <v>498</v>
      </c>
    </row>
    <row r="16" spans="1:8" x14ac:dyDescent="0.45">
      <c r="A16" t="s">
        <v>448</v>
      </c>
      <c r="B16">
        <v>44</v>
      </c>
      <c r="C16">
        <v>63</v>
      </c>
      <c r="D16">
        <v>40</v>
      </c>
      <c r="E16">
        <f t="shared" si="0"/>
        <v>147</v>
      </c>
      <c r="F16">
        <f t="shared" si="1"/>
        <v>63</v>
      </c>
      <c r="G16" t="s">
        <v>342</v>
      </c>
      <c r="H16" t="s">
        <v>501</v>
      </c>
    </row>
    <row r="17" spans="1:8" x14ac:dyDescent="0.45">
      <c r="A17" t="s">
        <v>366</v>
      </c>
      <c r="B17">
        <v>36</v>
      </c>
      <c r="C17">
        <v>97</v>
      </c>
      <c r="D17">
        <v>32</v>
      </c>
      <c r="E17">
        <f t="shared" si="0"/>
        <v>165</v>
      </c>
      <c r="F17">
        <f t="shared" si="1"/>
        <v>97</v>
      </c>
      <c r="G17" t="s">
        <v>326</v>
      </c>
      <c r="H17" t="s">
        <v>497</v>
      </c>
    </row>
    <row r="18" spans="1:8" x14ac:dyDescent="0.45">
      <c r="A18" t="s">
        <v>170</v>
      </c>
      <c r="B18">
        <v>34</v>
      </c>
      <c r="C18">
        <v>76</v>
      </c>
      <c r="D18">
        <v>31</v>
      </c>
      <c r="E18">
        <f t="shared" si="0"/>
        <v>141</v>
      </c>
      <c r="F18">
        <f t="shared" si="1"/>
        <v>76</v>
      </c>
      <c r="G18" t="s">
        <v>328</v>
      </c>
      <c r="H18" t="s">
        <v>498</v>
      </c>
    </row>
    <row r="19" spans="1:8" x14ac:dyDescent="0.45">
      <c r="A19" t="s">
        <v>357</v>
      </c>
      <c r="B19">
        <v>61</v>
      </c>
      <c r="C19">
        <v>33</v>
      </c>
      <c r="D19">
        <v>59</v>
      </c>
      <c r="E19">
        <f t="shared" si="0"/>
        <v>153</v>
      </c>
      <c r="F19">
        <f t="shared" si="1"/>
        <v>61</v>
      </c>
      <c r="G19" t="s">
        <v>321</v>
      </c>
      <c r="H19" t="s">
        <v>502</v>
      </c>
    </row>
    <row r="20" spans="1:8" x14ac:dyDescent="0.45">
      <c r="A20" t="s">
        <v>487</v>
      </c>
      <c r="B20">
        <v>35</v>
      </c>
      <c r="C20">
        <v>63</v>
      </c>
      <c r="D20">
        <v>50</v>
      </c>
      <c r="E20">
        <f t="shared" si="0"/>
        <v>148</v>
      </c>
      <c r="F20">
        <f t="shared" si="1"/>
        <v>63</v>
      </c>
      <c r="G20" t="s">
        <v>321</v>
      </c>
      <c r="H20" t="s">
        <v>501</v>
      </c>
    </row>
    <row r="21" spans="1:8" x14ac:dyDescent="0.45">
      <c r="A21" t="s">
        <v>460</v>
      </c>
      <c r="B21">
        <v>67</v>
      </c>
      <c r="C21">
        <v>65</v>
      </c>
      <c r="D21">
        <v>62</v>
      </c>
      <c r="E21">
        <f t="shared" si="0"/>
        <v>194</v>
      </c>
      <c r="F21">
        <f t="shared" si="1"/>
        <v>67</v>
      </c>
      <c r="G21" t="s">
        <v>320</v>
      </c>
      <c r="H21" t="s">
        <v>502</v>
      </c>
    </row>
    <row r="22" spans="1:8" x14ac:dyDescent="0.45">
      <c r="A22" t="s">
        <v>363</v>
      </c>
      <c r="B22">
        <v>42</v>
      </c>
      <c r="C22">
        <v>61</v>
      </c>
      <c r="D22">
        <v>32</v>
      </c>
      <c r="E22">
        <f t="shared" si="0"/>
        <v>135</v>
      </c>
      <c r="F22">
        <f t="shared" si="1"/>
        <v>61</v>
      </c>
      <c r="G22" t="s">
        <v>326</v>
      </c>
      <c r="H22" t="s">
        <v>501</v>
      </c>
    </row>
    <row r="23" spans="1:8" x14ac:dyDescent="0.45">
      <c r="A23" t="s">
        <v>0</v>
      </c>
      <c r="B23">
        <v>98</v>
      </c>
      <c r="C23">
        <v>80</v>
      </c>
      <c r="D23">
        <v>100</v>
      </c>
      <c r="E23">
        <f t="shared" si="0"/>
        <v>278</v>
      </c>
      <c r="F23">
        <f t="shared" si="1"/>
        <v>100</v>
      </c>
      <c r="G23" t="s">
        <v>320</v>
      </c>
      <c r="H23" t="s">
        <v>497</v>
      </c>
    </row>
    <row r="24" spans="1:8" x14ac:dyDescent="0.45">
      <c r="A24" t="s">
        <v>186</v>
      </c>
      <c r="B24">
        <v>80</v>
      </c>
      <c r="C24">
        <v>74</v>
      </c>
      <c r="D24">
        <v>78</v>
      </c>
      <c r="E24">
        <f t="shared" si="0"/>
        <v>232</v>
      </c>
      <c r="F24">
        <f t="shared" si="1"/>
        <v>80</v>
      </c>
      <c r="G24" t="s">
        <v>320</v>
      </c>
      <c r="H24" t="s">
        <v>499</v>
      </c>
    </row>
    <row r="25" spans="1:8" x14ac:dyDescent="0.45">
      <c r="A25" t="s">
        <v>467</v>
      </c>
      <c r="B25">
        <v>68</v>
      </c>
      <c r="C25">
        <v>14</v>
      </c>
      <c r="D25">
        <v>52</v>
      </c>
      <c r="E25">
        <f t="shared" si="0"/>
        <v>134</v>
      </c>
      <c r="F25">
        <f t="shared" si="1"/>
        <v>68</v>
      </c>
      <c r="G25" t="s">
        <v>342</v>
      </c>
      <c r="H25" t="s">
        <v>501</v>
      </c>
    </row>
    <row r="26" spans="1:8" x14ac:dyDescent="0.45">
      <c r="A26" t="s">
        <v>149</v>
      </c>
      <c r="B26">
        <v>88</v>
      </c>
      <c r="C26">
        <v>70</v>
      </c>
      <c r="D26">
        <v>85</v>
      </c>
      <c r="E26">
        <f t="shared" si="0"/>
        <v>243</v>
      </c>
      <c r="F26">
        <f t="shared" si="1"/>
        <v>88</v>
      </c>
      <c r="G26" t="s">
        <v>326</v>
      </c>
      <c r="H26" t="s">
        <v>499</v>
      </c>
    </row>
    <row r="27" spans="1:8" x14ac:dyDescent="0.45">
      <c r="A27" t="s">
        <v>183</v>
      </c>
      <c r="B27">
        <v>29</v>
      </c>
      <c r="C27">
        <v>74</v>
      </c>
      <c r="D27">
        <v>26</v>
      </c>
      <c r="E27">
        <f t="shared" si="0"/>
        <v>129</v>
      </c>
      <c r="F27">
        <f t="shared" si="1"/>
        <v>74</v>
      </c>
      <c r="G27" t="s">
        <v>347</v>
      </c>
      <c r="H27" t="s">
        <v>498</v>
      </c>
    </row>
    <row r="28" spans="1:8" x14ac:dyDescent="0.45">
      <c r="A28" t="s">
        <v>365</v>
      </c>
      <c r="B28">
        <v>73</v>
      </c>
      <c r="C28">
        <v>39</v>
      </c>
      <c r="D28">
        <v>65</v>
      </c>
      <c r="E28">
        <f t="shared" si="0"/>
        <v>177</v>
      </c>
      <c r="F28">
        <f t="shared" si="1"/>
        <v>73</v>
      </c>
      <c r="G28" t="s">
        <v>328</v>
      </c>
      <c r="H28" t="s">
        <v>502</v>
      </c>
    </row>
    <row r="29" spans="1:8" x14ac:dyDescent="0.45">
      <c r="A29" t="s">
        <v>447</v>
      </c>
      <c r="B29">
        <v>52</v>
      </c>
      <c r="C29">
        <v>27</v>
      </c>
      <c r="D29">
        <v>40</v>
      </c>
      <c r="E29">
        <f t="shared" si="0"/>
        <v>119</v>
      </c>
      <c r="F29">
        <f t="shared" si="1"/>
        <v>52</v>
      </c>
      <c r="G29" t="s">
        <v>342</v>
      </c>
      <c r="H29" t="s">
        <v>501</v>
      </c>
    </row>
    <row r="30" spans="1:8" x14ac:dyDescent="0.45">
      <c r="A30" t="s">
        <v>542</v>
      </c>
      <c r="B30">
        <v>70</v>
      </c>
      <c r="C30">
        <v>35</v>
      </c>
      <c r="D30">
        <v>70</v>
      </c>
      <c r="E30">
        <f t="shared" si="0"/>
        <v>175</v>
      </c>
      <c r="F30">
        <f t="shared" si="1"/>
        <v>70</v>
      </c>
      <c r="G30" t="s">
        <v>331</v>
      </c>
      <c r="H30" t="s">
        <v>502</v>
      </c>
    </row>
    <row r="31" spans="1:8" x14ac:dyDescent="0.45">
      <c r="A31" t="s">
        <v>456</v>
      </c>
      <c r="B31">
        <v>66</v>
      </c>
      <c r="C31">
        <v>23</v>
      </c>
      <c r="D31">
        <v>64</v>
      </c>
      <c r="E31">
        <f t="shared" si="0"/>
        <v>153</v>
      </c>
      <c r="F31">
        <f t="shared" si="1"/>
        <v>66</v>
      </c>
      <c r="G31" t="s">
        <v>334</v>
      </c>
      <c r="H31" t="s">
        <v>502</v>
      </c>
    </row>
    <row r="32" spans="1:8" x14ac:dyDescent="0.45">
      <c r="A32" t="s">
        <v>390</v>
      </c>
      <c r="B32">
        <v>65</v>
      </c>
      <c r="C32">
        <v>42</v>
      </c>
      <c r="D32">
        <v>61</v>
      </c>
      <c r="E32">
        <f t="shared" si="0"/>
        <v>168</v>
      </c>
      <c r="F32">
        <f t="shared" si="1"/>
        <v>65</v>
      </c>
      <c r="G32" t="s">
        <v>326</v>
      </c>
      <c r="H32" t="s">
        <v>502</v>
      </c>
    </row>
    <row r="33" spans="1:8" x14ac:dyDescent="0.45">
      <c r="A33" t="s">
        <v>424</v>
      </c>
      <c r="B33">
        <v>61</v>
      </c>
      <c r="C33">
        <v>95</v>
      </c>
      <c r="D33">
        <v>78</v>
      </c>
      <c r="E33">
        <f t="shared" si="0"/>
        <v>234</v>
      </c>
      <c r="F33">
        <f t="shared" si="1"/>
        <v>95</v>
      </c>
      <c r="G33" t="s">
        <v>330</v>
      </c>
      <c r="H33" t="s">
        <v>497</v>
      </c>
    </row>
    <row r="34" spans="1:8" x14ac:dyDescent="0.45">
      <c r="A34" t="s">
        <v>210</v>
      </c>
      <c r="B34">
        <v>86</v>
      </c>
      <c r="C34">
        <v>43</v>
      </c>
      <c r="D34">
        <v>81</v>
      </c>
      <c r="E34">
        <f t="shared" si="0"/>
        <v>210</v>
      </c>
      <c r="F34">
        <f t="shared" si="1"/>
        <v>86</v>
      </c>
      <c r="G34" t="s">
        <v>334</v>
      </c>
      <c r="H34" t="s">
        <v>499</v>
      </c>
    </row>
    <row r="35" spans="1:8" x14ac:dyDescent="0.45">
      <c r="A35" t="s">
        <v>195</v>
      </c>
      <c r="B35">
        <v>81</v>
      </c>
      <c r="C35">
        <v>65</v>
      </c>
      <c r="D35">
        <v>71</v>
      </c>
      <c r="E35">
        <f t="shared" si="0"/>
        <v>217</v>
      </c>
      <c r="F35">
        <f t="shared" si="1"/>
        <v>81</v>
      </c>
      <c r="G35" t="s">
        <v>330</v>
      </c>
      <c r="H35" t="s">
        <v>499</v>
      </c>
    </row>
    <row r="36" spans="1:8" x14ac:dyDescent="0.45">
      <c r="A36" t="s">
        <v>335</v>
      </c>
      <c r="B36">
        <v>53</v>
      </c>
      <c r="C36">
        <v>61</v>
      </c>
      <c r="D36">
        <v>42</v>
      </c>
      <c r="E36">
        <f t="shared" si="0"/>
        <v>156</v>
      </c>
      <c r="F36">
        <f t="shared" si="1"/>
        <v>61</v>
      </c>
      <c r="G36" t="s">
        <v>336</v>
      </c>
      <c r="H36" t="s">
        <v>502</v>
      </c>
    </row>
    <row r="37" spans="1:8" x14ac:dyDescent="0.45">
      <c r="A37" t="s">
        <v>476</v>
      </c>
      <c r="B37">
        <v>69</v>
      </c>
      <c r="C37">
        <v>32</v>
      </c>
      <c r="D37">
        <v>60</v>
      </c>
      <c r="E37">
        <f t="shared" si="0"/>
        <v>161</v>
      </c>
      <c r="F37">
        <f t="shared" si="1"/>
        <v>69</v>
      </c>
      <c r="G37" t="s">
        <v>328</v>
      </c>
      <c r="H37" t="s">
        <v>502</v>
      </c>
    </row>
    <row r="38" spans="1:8" x14ac:dyDescent="0.45">
      <c r="A38" t="s">
        <v>373</v>
      </c>
      <c r="B38">
        <v>52</v>
      </c>
      <c r="C38">
        <v>62</v>
      </c>
      <c r="D38">
        <v>48</v>
      </c>
      <c r="E38">
        <f t="shared" si="0"/>
        <v>162</v>
      </c>
      <c r="F38">
        <f t="shared" si="1"/>
        <v>62</v>
      </c>
      <c r="G38" t="s">
        <v>323</v>
      </c>
      <c r="H38" t="s">
        <v>502</v>
      </c>
    </row>
    <row r="39" spans="1:8" x14ac:dyDescent="0.45">
      <c r="A39" t="s">
        <v>137</v>
      </c>
      <c r="B39">
        <v>89</v>
      </c>
      <c r="C39">
        <v>54</v>
      </c>
      <c r="D39">
        <v>78</v>
      </c>
      <c r="E39">
        <f t="shared" si="0"/>
        <v>221</v>
      </c>
      <c r="F39">
        <f t="shared" si="1"/>
        <v>89</v>
      </c>
      <c r="G39" t="s">
        <v>321</v>
      </c>
      <c r="H39" t="s">
        <v>499</v>
      </c>
    </row>
    <row r="40" spans="1:8" x14ac:dyDescent="0.45">
      <c r="A40" t="s">
        <v>350</v>
      </c>
      <c r="B40">
        <v>57</v>
      </c>
      <c r="C40">
        <v>52</v>
      </c>
      <c r="D40">
        <v>50</v>
      </c>
      <c r="E40">
        <f t="shared" si="0"/>
        <v>159</v>
      </c>
      <c r="F40">
        <f t="shared" si="1"/>
        <v>57</v>
      </c>
      <c r="G40" t="s">
        <v>347</v>
      </c>
      <c r="H40" t="s">
        <v>502</v>
      </c>
    </row>
    <row r="41" spans="1:8" x14ac:dyDescent="0.45">
      <c r="A41" t="s">
        <v>206</v>
      </c>
      <c r="B41">
        <v>69</v>
      </c>
      <c r="C41">
        <v>65</v>
      </c>
      <c r="D41">
        <v>66</v>
      </c>
      <c r="E41">
        <f t="shared" si="0"/>
        <v>200</v>
      </c>
      <c r="F41">
        <f t="shared" si="1"/>
        <v>69</v>
      </c>
      <c r="G41" t="s">
        <v>334</v>
      </c>
      <c r="H41" t="s">
        <v>498</v>
      </c>
    </row>
    <row r="42" spans="1:8" x14ac:dyDescent="0.45">
      <c r="A42" t="s">
        <v>212</v>
      </c>
      <c r="B42">
        <v>84</v>
      </c>
      <c r="C42">
        <v>47</v>
      </c>
      <c r="D42">
        <v>74</v>
      </c>
      <c r="E42">
        <f t="shared" si="0"/>
        <v>205</v>
      </c>
      <c r="F42">
        <f t="shared" si="1"/>
        <v>84</v>
      </c>
      <c r="G42" t="s">
        <v>391</v>
      </c>
      <c r="H42" t="s">
        <v>498</v>
      </c>
    </row>
    <row r="43" spans="1:8" x14ac:dyDescent="0.45">
      <c r="A43" t="s">
        <v>173</v>
      </c>
      <c r="B43">
        <v>94</v>
      </c>
      <c r="C43">
        <v>53</v>
      </c>
      <c r="D43">
        <v>89</v>
      </c>
      <c r="E43">
        <f t="shared" si="0"/>
        <v>236</v>
      </c>
      <c r="F43">
        <f t="shared" si="1"/>
        <v>94</v>
      </c>
      <c r="G43" t="s">
        <v>391</v>
      </c>
      <c r="H43" t="s">
        <v>499</v>
      </c>
    </row>
    <row r="44" spans="1:8" x14ac:dyDescent="0.45">
      <c r="A44" t="s">
        <v>198</v>
      </c>
      <c r="B44">
        <v>45</v>
      </c>
      <c r="C44">
        <v>90</v>
      </c>
      <c r="D44">
        <v>73</v>
      </c>
      <c r="E44">
        <f t="shared" si="0"/>
        <v>208</v>
      </c>
      <c r="F44">
        <f t="shared" si="1"/>
        <v>90</v>
      </c>
      <c r="G44" t="s">
        <v>320</v>
      </c>
      <c r="H44" t="s">
        <v>231</v>
      </c>
    </row>
    <row r="45" spans="1:8" x14ac:dyDescent="0.45">
      <c r="A45" t="s">
        <v>150</v>
      </c>
      <c r="B45">
        <v>65</v>
      </c>
      <c r="C45">
        <v>84</v>
      </c>
      <c r="D45">
        <v>54</v>
      </c>
      <c r="E45">
        <f t="shared" si="0"/>
        <v>203</v>
      </c>
      <c r="F45">
        <f t="shared" si="1"/>
        <v>84</v>
      </c>
      <c r="G45" t="s">
        <v>320</v>
      </c>
      <c r="H45" t="s">
        <v>498</v>
      </c>
    </row>
    <row r="46" spans="1:8" x14ac:dyDescent="0.45">
      <c r="A46" t="s">
        <v>418</v>
      </c>
      <c r="B46">
        <v>65</v>
      </c>
      <c r="C46">
        <v>43</v>
      </c>
      <c r="D46">
        <v>61</v>
      </c>
      <c r="E46">
        <f t="shared" si="0"/>
        <v>169</v>
      </c>
      <c r="F46">
        <f t="shared" si="1"/>
        <v>65</v>
      </c>
      <c r="G46" t="s">
        <v>328</v>
      </c>
      <c r="H46" t="s">
        <v>502</v>
      </c>
    </row>
    <row r="47" spans="1:8" x14ac:dyDescent="0.45">
      <c r="A47" t="s">
        <v>454</v>
      </c>
      <c r="B47">
        <v>97</v>
      </c>
      <c r="C47">
        <v>44</v>
      </c>
      <c r="D47">
        <v>88</v>
      </c>
      <c r="E47">
        <f t="shared" si="0"/>
        <v>229</v>
      </c>
      <c r="F47">
        <f t="shared" si="1"/>
        <v>97</v>
      </c>
      <c r="G47" t="s">
        <v>391</v>
      </c>
      <c r="H47" t="s">
        <v>497</v>
      </c>
    </row>
    <row r="48" spans="1:8" x14ac:dyDescent="0.45">
      <c r="A48" t="s">
        <v>396</v>
      </c>
      <c r="B48">
        <v>58</v>
      </c>
      <c r="C48">
        <v>54</v>
      </c>
      <c r="D48">
        <v>56</v>
      </c>
      <c r="E48">
        <f t="shared" si="0"/>
        <v>168</v>
      </c>
      <c r="F48">
        <f t="shared" si="1"/>
        <v>58</v>
      </c>
      <c r="G48" t="s">
        <v>323</v>
      </c>
      <c r="H48" t="s">
        <v>502</v>
      </c>
    </row>
    <row r="49" spans="1:8" x14ac:dyDescent="0.45">
      <c r="A49" t="s">
        <v>383</v>
      </c>
      <c r="B49">
        <v>27</v>
      </c>
      <c r="C49">
        <v>68</v>
      </c>
      <c r="D49">
        <v>30</v>
      </c>
      <c r="E49">
        <f t="shared" si="0"/>
        <v>125</v>
      </c>
      <c r="F49">
        <f t="shared" si="1"/>
        <v>68</v>
      </c>
      <c r="G49" t="s">
        <v>326</v>
      </c>
      <c r="H49" t="s">
        <v>501</v>
      </c>
    </row>
    <row r="50" spans="1:8" x14ac:dyDescent="0.45">
      <c r="A50" t="s">
        <v>202</v>
      </c>
      <c r="B50">
        <v>73</v>
      </c>
      <c r="C50">
        <v>70</v>
      </c>
      <c r="D50">
        <v>71</v>
      </c>
      <c r="E50">
        <f t="shared" si="0"/>
        <v>214</v>
      </c>
      <c r="F50">
        <f t="shared" si="1"/>
        <v>73</v>
      </c>
      <c r="G50" t="s">
        <v>326</v>
      </c>
      <c r="H50" t="s">
        <v>499</v>
      </c>
    </row>
    <row r="51" spans="1:8" x14ac:dyDescent="0.45">
      <c r="A51" t="s">
        <v>481</v>
      </c>
      <c r="B51">
        <v>69</v>
      </c>
      <c r="C51">
        <v>31</v>
      </c>
      <c r="D51">
        <v>52</v>
      </c>
      <c r="E51">
        <f t="shared" si="0"/>
        <v>152</v>
      </c>
      <c r="F51">
        <f t="shared" si="1"/>
        <v>69</v>
      </c>
      <c r="G51" t="s">
        <v>342</v>
      </c>
      <c r="H51" t="s">
        <v>502</v>
      </c>
    </row>
    <row r="52" spans="1:8" x14ac:dyDescent="0.45">
      <c r="A52" t="s">
        <v>440</v>
      </c>
      <c r="B52">
        <v>57</v>
      </c>
      <c r="C52">
        <v>49</v>
      </c>
      <c r="D52">
        <v>48</v>
      </c>
      <c r="E52">
        <f t="shared" si="0"/>
        <v>154</v>
      </c>
      <c r="F52">
        <f t="shared" si="1"/>
        <v>57</v>
      </c>
      <c r="G52" t="s">
        <v>326</v>
      </c>
      <c r="H52" t="s">
        <v>502</v>
      </c>
    </row>
    <row r="53" spans="1:8" x14ac:dyDescent="0.45">
      <c r="A53" t="s">
        <v>184</v>
      </c>
      <c r="B53">
        <v>84</v>
      </c>
      <c r="C53">
        <v>24</v>
      </c>
      <c r="D53">
        <v>78</v>
      </c>
      <c r="E53">
        <f t="shared" si="0"/>
        <v>186</v>
      </c>
      <c r="F53">
        <f t="shared" si="1"/>
        <v>84</v>
      </c>
      <c r="G53" t="s">
        <v>347</v>
      </c>
      <c r="H53" t="s">
        <v>498</v>
      </c>
    </row>
    <row r="54" spans="1:8" x14ac:dyDescent="0.45">
      <c r="A54" t="s">
        <v>161</v>
      </c>
      <c r="B54">
        <v>91</v>
      </c>
      <c r="C54">
        <v>19</v>
      </c>
      <c r="D54">
        <v>86</v>
      </c>
      <c r="E54">
        <f t="shared" si="0"/>
        <v>196</v>
      </c>
      <c r="F54">
        <f t="shared" si="1"/>
        <v>91</v>
      </c>
      <c r="G54" t="s">
        <v>328</v>
      </c>
      <c r="H54" t="s">
        <v>499</v>
      </c>
    </row>
    <row r="55" spans="1:8" x14ac:dyDescent="0.45">
      <c r="A55" t="s">
        <v>382</v>
      </c>
      <c r="B55">
        <v>63</v>
      </c>
      <c r="C55">
        <v>25</v>
      </c>
      <c r="D55">
        <v>59</v>
      </c>
      <c r="E55">
        <f t="shared" si="0"/>
        <v>147</v>
      </c>
      <c r="F55">
        <f t="shared" si="1"/>
        <v>63</v>
      </c>
      <c r="G55" t="s">
        <v>320</v>
      </c>
      <c r="H55" t="s">
        <v>501</v>
      </c>
    </row>
    <row r="56" spans="1:8" x14ac:dyDescent="0.45">
      <c r="A56" t="s">
        <v>368</v>
      </c>
      <c r="B56">
        <v>40</v>
      </c>
      <c r="C56">
        <v>64</v>
      </c>
      <c r="D56">
        <v>36</v>
      </c>
      <c r="E56">
        <f t="shared" si="0"/>
        <v>140</v>
      </c>
      <c r="F56">
        <f t="shared" si="1"/>
        <v>64</v>
      </c>
      <c r="G56" t="s">
        <v>320</v>
      </c>
      <c r="H56" t="s">
        <v>501</v>
      </c>
    </row>
    <row r="57" spans="1:8" x14ac:dyDescent="0.45">
      <c r="A57" t="s">
        <v>197</v>
      </c>
      <c r="B57">
        <v>75</v>
      </c>
      <c r="C57">
        <v>39</v>
      </c>
      <c r="D57">
        <v>72</v>
      </c>
      <c r="E57">
        <f t="shared" si="0"/>
        <v>186</v>
      </c>
      <c r="F57">
        <f t="shared" si="1"/>
        <v>75</v>
      </c>
      <c r="G57" t="s">
        <v>330</v>
      </c>
      <c r="H57" t="s">
        <v>498</v>
      </c>
    </row>
    <row r="58" spans="1:8" x14ac:dyDescent="0.45">
      <c r="A58" t="s">
        <v>466</v>
      </c>
      <c r="B58">
        <v>94</v>
      </c>
      <c r="C58">
        <v>65</v>
      </c>
      <c r="D58">
        <v>81</v>
      </c>
      <c r="E58">
        <f t="shared" si="0"/>
        <v>240</v>
      </c>
      <c r="F58">
        <f t="shared" si="1"/>
        <v>94</v>
      </c>
      <c r="G58" t="s">
        <v>391</v>
      </c>
      <c r="H58" t="s">
        <v>497</v>
      </c>
    </row>
    <row r="59" spans="1:8" x14ac:dyDescent="0.45">
      <c r="A59" t="s">
        <v>413</v>
      </c>
      <c r="B59">
        <v>51</v>
      </c>
      <c r="C59">
        <v>98</v>
      </c>
      <c r="D59">
        <v>88</v>
      </c>
      <c r="E59">
        <f t="shared" si="0"/>
        <v>237</v>
      </c>
      <c r="F59">
        <f t="shared" si="1"/>
        <v>98</v>
      </c>
      <c r="G59" t="s">
        <v>320</v>
      </c>
      <c r="H59" t="s">
        <v>497</v>
      </c>
    </row>
    <row r="60" spans="1:8" x14ac:dyDescent="0.45">
      <c r="A60" t="s">
        <v>470</v>
      </c>
      <c r="B60">
        <v>62</v>
      </c>
      <c r="C60">
        <v>52</v>
      </c>
      <c r="D60">
        <v>71</v>
      </c>
      <c r="E60">
        <f t="shared" si="0"/>
        <v>185</v>
      </c>
      <c r="F60">
        <f t="shared" si="1"/>
        <v>71</v>
      </c>
      <c r="G60" t="s">
        <v>326</v>
      </c>
      <c r="H60" t="s">
        <v>502</v>
      </c>
    </row>
    <row r="61" spans="1:8" x14ac:dyDescent="0.45">
      <c r="A61" t="s">
        <v>201</v>
      </c>
      <c r="B61">
        <v>52</v>
      </c>
      <c r="C61">
        <v>87</v>
      </c>
      <c r="D61">
        <v>66</v>
      </c>
      <c r="E61">
        <f t="shared" si="0"/>
        <v>205</v>
      </c>
      <c r="F61">
        <f t="shared" si="1"/>
        <v>87</v>
      </c>
      <c r="G61" t="s">
        <v>320</v>
      </c>
      <c r="H61" t="s">
        <v>499</v>
      </c>
    </row>
    <row r="62" spans="1:8" x14ac:dyDescent="0.45">
      <c r="A62" t="s">
        <v>433</v>
      </c>
      <c r="B62">
        <v>25</v>
      </c>
      <c r="C62">
        <v>65</v>
      </c>
      <c r="D62">
        <v>20</v>
      </c>
      <c r="E62">
        <f t="shared" si="0"/>
        <v>110</v>
      </c>
      <c r="F62">
        <f t="shared" si="1"/>
        <v>65</v>
      </c>
      <c r="G62" t="s">
        <v>330</v>
      </c>
      <c r="H62" t="s">
        <v>501</v>
      </c>
    </row>
    <row r="63" spans="1:8" x14ac:dyDescent="0.45">
      <c r="A63" t="s">
        <v>162</v>
      </c>
      <c r="B63">
        <v>54</v>
      </c>
      <c r="C63">
        <v>82</v>
      </c>
      <c r="D63">
        <v>66</v>
      </c>
      <c r="E63">
        <f t="shared" si="0"/>
        <v>202</v>
      </c>
      <c r="F63">
        <f t="shared" si="1"/>
        <v>82</v>
      </c>
      <c r="G63" t="s">
        <v>328</v>
      </c>
      <c r="H63" t="s">
        <v>498</v>
      </c>
    </row>
    <row r="64" spans="1:8" x14ac:dyDescent="0.45">
      <c r="A64" t="s">
        <v>493</v>
      </c>
      <c r="B64">
        <v>49</v>
      </c>
      <c r="C64">
        <v>45</v>
      </c>
      <c r="D64">
        <v>58</v>
      </c>
      <c r="E64">
        <f t="shared" si="0"/>
        <v>152</v>
      </c>
      <c r="F64">
        <f t="shared" si="1"/>
        <v>58</v>
      </c>
      <c r="G64" t="s">
        <v>330</v>
      </c>
      <c r="H64" t="s">
        <v>502</v>
      </c>
    </row>
    <row r="65" spans="1:8" x14ac:dyDescent="0.45">
      <c r="A65" t="s">
        <v>230</v>
      </c>
      <c r="B65">
        <v>23</v>
      </c>
      <c r="C65">
        <v>80</v>
      </c>
      <c r="D65">
        <v>25</v>
      </c>
      <c r="E65">
        <f t="shared" si="0"/>
        <v>128</v>
      </c>
      <c r="F65">
        <f t="shared" si="1"/>
        <v>80</v>
      </c>
      <c r="G65" t="s">
        <v>320</v>
      </c>
      <c r="H65" t="s">
        <v>498</v>
      </c>
    </row>
    <row r="66" spans="1:8" x14ac:dyDescent="0.45">
      <c r="A66" t="s">
        <v>153</v>
      </c>
      <c r="B66">
        <v>91</v>
      </c>
      <c r="C66">
        <v>18</v>
      </c>
      <c r="D66">
        <v>74</v>
      </c>
      <c r="E66">
        <f t="shared" ref="E66:E129" si="2">SUM(B66:D66)</f>
        <v>183</v>
      </c>
      <c r="F66">
        <f t="shared" ref="F66:F129" si="3">MAX(B66:D66)</f>
        <v>91</v>
      </c>
      <c r="G66" t="s">
        <v>342</v>
      </c>
      <c r="H66" t="s">
        <v>499</v>
      </c>
    </row>
    <row r="67" spans="1:8" x14ac:dyDescent="0.45">
      <c r="A67" t="s">
        <v>221</v>
      </c>
      <c r="B67">
        <v>65</v>
      </c>
      <c r="C67">
        <v>87</v>
      </c>
      <c r="D67">
        <v>79</v>
      </c>
      <c r="E67">
        <f t="shared" si="2"/>
        <v>231</v>
      </c>
      <c r="F67">
        <f t="shared" si="3"/>
        <v>87</v>
      </c>
      <c r="G67" t="s">
        <v>342</v>
      </c>
      <c r="H67" t="s">
        <v>499</v>
      </c>
    </row>
    <row r="68" spans="1:8" x14ac:dyDescent="0.45">
      <c r="A68" t="s">
        <v>222</v>
      </c>
      <c r="B68">
        <v>66</v>
      </c>
      <c r="C68">
        <v>85</v>
      </c>
      <c r="D68">
        <v>75</v>
      </c>
      <c r="E68">
        <f t="shared" si="2"/>
        <v>226</v>
      </c>
      <c r="F68">
        <f t="shared" si="3"/>
        <v>85</v>
      </c>
      <c r="G68" t="s">
        <v>334</v>
      </c>
      <c r="H68" t="s">
        <v>499</v>
      </c>
    </row>
    <row r="69" spans="1:8" x14ac:dyDescent="0.45">
      <c r="A69" t="s">
        <v>465</v>
      </c>
      <c r="B69">
        <v>48</v>
      </c>
      <c r="C69">
        <v>99</v>
      </c>
      <c r="D69">
        <v>95</v>
      </c>
      <c r="E69">
        <f t="shared" si="2"/>
        <v>242</v>
      </c>
      <c r="F69">
        <f t="shared" si="3"/>
        <v>99</v>
      </c>
      <c r="G69" t="s">
        <v>326</v>
      </c>
      <c r="H69" t="s">
        <v>497</v>
      </c>
    </row>
    <row r="70" spans="1:8" x14ac:dyDescent="0.45">
      <c r="A70" t="s">
        <v>180</v>
      </c>
      <c r="B70">
        <v>69</v>
      </c>
      <c r="C70">
        <v>63</v>
      </c>
      <c r="D70">
        <v>74</v>
      </c>
      <c r="E70">
        <f t="shared" si="2"/>
        <v>206</v>
      </c>
      <c r="F70">
        <f t="shared" si="3"/>
        <v>74</v>
      </c>
      <c r="G70" t="s">
        <v>321</v>
      </c>
      <c r="H70" t="s">
        <v>498</v>
      </c>
    </row>
    <row r="71" spans="1:8" x14ac:dyDescent="0.45">
      <c r="A71" t="s">
        <v>151</v>
      </c>
      <c r="B71">
        <v>82</v>
      </c>
      <c r="C71">
        <v>30</v>
      </c>
      <c r="D71">
        <v>75</v>
      </c>
      <c r="E71">
        <f t="shared" si="2"/>
        <v>187</v>
      </c>
      <c r="F71">
        <f t="shared" si="3"/>
        <v>82</v>
      </c>
      <c r="G71" t="s">
        <v>347</v>
      </c>
      <c r="H71" t="s">
        <v>498</v>
      </c>
    </row>
    <row r="72" spans="1:8" x14ac:dyDescent="0.45">
      <c r="A72" t="s">
        <v>398</v>
      </c>
      <c r="B72">
        <v>44</v>
      </c>
      <c r="C72">
        <v>97</v>
      </c>
      <c r="D72">
        <v>85</v>
      </c>
      <c r="E72">
        <f t="shared" si="2"/>
        <v>226</v>
      </c>
      <c r="F72">
        <f t="shared" si="3"/>
        <v>97</v>
      </c>
      <c r="G72" t="s">
        <v>320</v>
      </c>
      <c r="H72" t="s">
        <v>497</v>
      </c>
    </row>
    <row r="73" spans="1:8" x14ac:dyDescent="0.45">
      <c r="A73" t="s">
        <v>194</v>
      </c>
      <c r="B73">
        <v>72</v>
      </c>
      <c r="C73">
        <v>70</v>
      </c>
      <c r="D73">
        <v>59</v>
      </c>
      <c r="E73">
        <f t="shared" si="2"/>
        <v>201</v>
      </c>
      <c r="F73">
        <f t="shared" si="3"/>
        <v>72</v>
      </c>
      <c r="G73" t="s">
        <v>330</v>
      </c>
      <c r="H73" t="s">
        <v>498</v>
      </c>
    </row>
    <row r="74" spans="1:8" x14ac:dyDescent="0.45">
      <c r="A74" t="s">
        <v>358</v>
      </c>
      <c r="B74">
        <v>54</v>
      </c>
      <c r="C74">
        <v>38</v>
      </c>
      <c r="D74">
        <v>38</v>
      </c>
      <c r="E74">
        <f t="shared" si="2"/>
        <v>130</v>
      </c>
      <c r="F74">
        <f t="shared" si="3"/>
        <v>54</v>
      </c>
      <c r="G74" t="s">
        <v>321</v>
      </c>
      <c r="H74" t="s">
        <v>501</v>
      </c>
    </row>
    <row r="75" spans="1:8" x14ac:dyDescent="0.45">
      <c r="A75" t="s">
        <v>379</v>
      </c>
      <c r="B75">
        <v>91</v>
      </c>
      <c r="C75">
        <v>49</v>
      </c>
      <c r="D75">
        <v>83</v>
      </c>
      <c r="E75">
        <f t="shared" si="2"/>
        <v>223</v>
      </c>
      <c r="F75">
        <f t="shared" si="3"/>
        <v>91</v>
      </c>
      <c r="G75" t="s">
        <v>326</v>
      </c>
      <c r="H75" t="s">
        <v>497</v>
      </c>
    </row>
    <row r="76" spans="1:8" x14ac:dyDescent="0.45">
      <c r="A76" t="s">
        <v>434</v>
      </c>
      <c r="B76">
        <v>35</v>
      </c>
      <c r="C76">
        <v>62</v>
      </c>
      <c r="D76">
        <v>31</v>
      </c>
      <c r="E76">
        <f t="shared" si="2"/>
        <v>128</v>
      </c>
      <c r="F76">
        <f t="shared" si="3"/>
        <v>62</v>
      </c>
      <c r="G76" t="s">
        <v>330</v>
      </c>
      <c r="H76" t="s">
        <v>501</v>
      </c>
    </row>
    <row r="77" spans="1:8" x14ac:dyDescent="0.45">
      <c r="A77" t="s">
        <v>163</v>
      </c>
      <c r="B77">
        <v>38</v>
      </c>
      <c r="C77">
        <v>74</v>
      </c>
      <c r="D77">
        <v>34</v>
      </c>
      <c r="E77">
        <f t="shared" si="2"/>
        <v>146</v>
      </c>
      <c r="F77">
        <f t="shared" si="3"/>
        <v>74</v>
      </c>
      <c r="G77" t="s">
        <v>320</v>
      </c>
      <c r="H77" t="s">
        <v>498</v>
      </c>
    </row>
    <row r="78" spans="1:8" x14ac:dyDescent="0.45">
      <c r="A78" t="s">
        <v>329</v>
      </c>
      <c r="B78">
        <v>90</v>
      </c>
      <c r="C78">
        <v>62</v>
      </c>
      <c r="D78">
        <v>81</v>
      </c>
      <c r="E78">
        <f t="shared" si="2"/>
        <v>233</v>
      </c>
      <c r="F78">
        <f t="shared" si="3"/>
        <v>90</v>
      </c>
      <c r="G78" t="s">
        <v>330</v>
      </c>
      <c r="H78" t="s">
        <v>497</v>
      </c>
    </row>
    <row r="79" spans="1:8" x14ac:dyDescent="0.45">
      <c r="A79" t="s">
        <v>387</v>
      </c>
      <c r="B79">
        <v>67</v>
      </c>
      <c r="C79">
        <v>49</v>
      </c>
      <c r="D79">
        <v>62</v>
      </c>
      <c r="E79">
        <f t="shared" si="2"/>
        <v>178</v>
      </c>
      <c r="F79">
        <f t="shared" si="3"/>
        <v>67</v>
      </c>
      <c r="G79" t="s">
        <v>323</v>
      </c>
      <c r="H79" t="s">
        <v>502</v>
      </c>
    </row>
    <row r="80" spans="1:8" x14ac:dyDescent="0.45">
      <c r="A80" t="s">
        <v>422</v>
      </c>
      <c r="B80">
        <v>86</v>
      </c>
      <c r="C80">
        <v>87</v>
      </c>
      <c r="D80">
        <v>80</v>
      </c>
      <c r="E80">
        <f t="shared" si="2"/>
        <v>253</v>
      </c>
      <c r="F80">
        <f t="shared" si="3"/>
        <v>87</v>
      </c>
      <c r="G80" t="s">
        <v>330</v>
      </c>
      <c r="H80" t="s">
        <v>497</v>
      </c>
    </row>
    <row r="81" spans="1:8" x14ac:dyDescent="0.45">
      <c r="A81" t="s">
        <v>451</v>
      </c>
      <c r="B81">
        <v>64</v>
      </c>
      <c r="C81">
        <v>52</v>
      </c>
      <c r="D81">
        <v>60</v>
      </c>
      <c r="E81">
        <f t="shared" si="2"/>
        <v>176</v>
      </c>
      <c r="F81">
        <f t="shared" si="3"/>
        <v>64</v>
      </c>
      <c r="G81" t="s">
        <v>330</v>
      </c>
      <c r="H81" t="s">
        <v>502</v>
      </c>
    </row>
    <row r="82" spans="1:8" x14ac:dyDescent="0.45">
      <c r="A82" t="s">
        <v>155</v>
      </c>
      <c r="B82">
        <v>65</v>
      </c>
      <c r="C82">
        <v>72</v>
      </c>
      <c r="D82">
        <v>70</v>
      </c>
      <c r="E82">
        <f t="shared" si="2"/>
        <v>207</v>
      </c>
      <c r="F82">
        <f t="shared" si="3"/>
        <v>72</v>
      </c>
      <c r="G82" t="s">
        <v>328</v>
      </c>
      <c r="H82" t="s">
        <v>498</v>
      </c>
    </row>
    <row r="83" spans="1:8" x14ac:dyDescent="0.45">
      <c r="A83" t="s">
        <v>377</v>
      </c>
      <c r="B83">
        <v>59</v>
      </c>
      <c r="C83">
        <v>45</v>
      </c>
      <c r="D83">
        <v>50</v>
      </c>
      <c r="E83">
        <f t="shared" si="2"/>
        <v>154</v>
      </c>
      <c r="F83">
        <f t="shared" si="3"/>
        <v>59</v>
      </c>
      <c r="G83" t="s">
        <v>323</v>
      </c>
      <c r="H83" t="s">
        <v>502</v>
      </c>
    </row>
    <row r="84" spans="1:8" x14ac:dyDescent="0.45">
      <c r="A84" t="s">
        <v>484</v>
      </c>
      <c r="B84">
        <v>64</v>
      </c>
      <c r="C84">
        <v>30</v>
      </c>
      <c r="D84">
        <v>58</v>
      </c>
      <c r="E84">
        <f t="shared" si="2"/>
        <v>152</v>
      </c>
      <c r="F84">
        <f t="shared" si="3"/>
        <v>64</v>
      </c>
      <c r="G84" t="s">
        <v>342</v>
      </c>
      <c r="H84" t="s">
        <v>502</v>
      </c>
    </row>
    <row r="85" spans="1:8" x14ac:dyDescent="0.45">
      <c r="A85" t="s">
        <v>415</v>
      </c>
      <c r="B85">
        <v>33</v>
      </c>
      <c r="C85">
        <v>41</v>
      </c>
      <c r="D85">
        <v>29</v>
      </c>
      <c r="E85">
        <f t="shared" si="2"/>
        <v>103</v>
      </c>
      <c r="F85">
        <f t="shared" si="3"/>
        <v>41</v>
      </c>
      <c r="G85" t="s">
        <v>347</v>
      </c>
      <c r="H85" t="s">
        <v>501</v>
      </c>
    </row>
    <row r="86" spans="1:8" x14ac:dyDescent="0.45">
      <c r="A86" t="s">
        <v>349</v>
      </c>
      <c r="B86">
        <v>45</v>
      </c>
      <c r="C86">
        <v>70</v>
      </c>
      <c r="D86">
        <v>39</v>
      </c>
      <c r="E86">
        <f t="shared" si="2"/>
        <v>154</v>
      </c>
      <c r="F86">
        <f t="shared" si="3"/>
        <v>70</v>
      </c>
      <c r="G86" t="s">
        <v>347</v>
      </c>
      <c r="H86" t="s">
        <v>502</v>
      </c>
    </row>
    <row r="87" spans="1:8" x14ac:dyDescent="0.45">
      <c r="A87" t="s">
        <v>178</v>
      </c>
      <c r="B87">
        <v>73</v>
      </c>
      <c r="C87">
        <v>62</v>
      </c>
      <c r="D87">
        <v>68</v>
      </c>
      <c r="E87">
        <f t="shared" si="2"/>
        <v>203</v>
      </c>
      <c r="F87">
        <f t="shared" si="3"/>
        <v>73</v>
      </c>
      <c r="G87" t="s">
        <v>328</v>
      </c>
      <c r="H87" t="s">
        <v>498</v>
      </c>
    </row>
    <row r="88" spans="1:8" x14ac:dyDescent="0.45">
      <c r="A88" t="s">
        <v>372</v>
      </c>
      <c r="B88">
        <v>37</v>
      </c>
      <c r="C88">
        <v>96</v>
      </c>
      <c r="D88">
        <v>62</v>
      </c>
      <c r="E88">
        <f t="shared" si="2"/>
        <v>195</v>
      </c>
      <c r="F88">
        <f t="shared" si="3"/>
        <v>96</v>
      </c>
      <c r="G88" t="s">
        <v>326</v>
      </c>
      <c r="H88" t="s">
        <v>497</v>
      </c>
    </row>
    <row r="89" spans="1:8" x14ac:dyDescent="0.45">
      <c r="A89" t="s">
        <v>164</v>
      </c>
      <c r="B89">
        <v>40</v>
      </c>
      <c r="C89">
        <v>94</v>
      </c>
      <c r="D89">
        <v>60</v>
      </c>
      <c r="E89">
        <f t="shared" si="2"/>
        <v>194</v>
      </c>
      <c r="F89">
        <f t="shared" si="3"/>
        <v>94</v>
      </c>
      <c r="G89" t="s">
        <v>326</v>
      </c>
      <c r="H89" t="s">
        <v>499</v>
      </c>
    </row>
    <row r="90" spans="1:8" x14ac:dyDescent="0.45">
      <c r="A90" t="s">
        <v>397</v>
      </c>
      <c r="B90">
        <v>59</v>
      </c>
      <c r="C90">
        <v>48</v>
      </c>
      <c r="D90">
        <v>54</v>
      </c>
      <c r="E90">
        <f t="shared" si="2"/>
        <v>161</v>
      </c>
      <c r="F90">
        <f t="shared" si="3"/>
        <v>59</v>
      </c>
      <c r="G90" t="s">
        <v>328</v>
      </c>
      <c r="H90" t="s">
        <v>502</v>
      </c>
    </row>
    <row r="91" spans="1:8" x14ac:dyDescent="0.45">
      <c r="A91" t="s">
        <v>169</v>
      </c>
      <c r="B91">
        <v>71</v>
      </c>
      <c r="C91">
        <v>67</v>
      </c>
      <c r="D91">
        <v>73</v>
      </c>
      <c r="E91">
        <f t="shared" si="2"/>
        <v>211</v>
      </c>
      <c r="F91">
        <f t="shared" si="3"/>
        <v>73</v>
      </c>
      <c r="G91" t="s">
        <v>328</v>
      </c>
      <c r="H91" t="s">
        <v>498</v>
      </c>
    </row>
    <row r="92" spans="1:8" x14ac:dyDescent="0.45">
      <c r="A92" t="s">
        <v>216</v>
      </c>
      <c r="B92">
        <v>74</v>
      </c>
      <c r="C92">
        <v>39</v>
      </c>
      <c r="D92">
        <v>74</v>
      </c>
      <c r="E92">
        <f t="shared" si="2"/>
        <v>187</v>
      </c>
      <c r="F92">
        <f t="shared" si="3"/>
        <v>74</v>
      </c>
      <c r="G92" t="s">
        <v>326</v>
      </c>
      <c r="H92" t="s">
        <v>498</v>
      </c>
    </row>
    <row r="93" spans="1:8" x14ac:dyDescent="0.45">
      <c r="A93" t="s">
        <v>370</v>
      </c>
      <c r="B93">
        <v>70</v>
      </c>
      <c r="C93">
        <v>51</v>
      </c>
      <c r="D93">
        <v>67</v>
      </c>
      <c r="E93">
        <f t="shared" si="2"/>
        <v>188</v>
      </c>
      <c r="F93">
        <f t="shared" si="3"/>
        <v>70</v>
      </c>
      <c r="G93" t="s">
        <v>334</v>
      </c>
      <c r="H93" t="s">
        <v>502</v>
      </c>
    </row>
    <row r="94" spans="1:8" x14ac:dyDescent="0.45">
      <c r="A94" t="s">
        <v>160</v>
      </c>
      <c r="B94">
        <v>87</v>
      </c>
      <c r="C94">
        <v>32</v>
      </c>
      <c r="D94">
        <v>84</v>
      </c>
      <c r="E94">
        <f t="shared" si="2"/>
        <v>203</v>
      </c>
      <c r="F94">
        <f t="shared" si="3"/>
        <v>87</v>
      </c>
      <c r="G94" t="s">
        <v>328</v>
      </c>
      <c r="H94" t="s">
        <v>499</v>
      </c>
    </row>
    <row r="95" spans="1:8" x14ac:dyDescent="0.45">
      <c r="A95" t="s">
        <v>417</v>
      </c>
      <c r="B95">
        <v>62</v>
      </c>
      <c r="C95">
        <v>34</v>
      </c>
      <c r="D95">
        <v>59</v>
      </c>
      <c r="E95">
        <f t="shared" si="2"/>
        <v>155</v>
      </c>
      <c r="F95">
        <f t="shared" si="3"/>
        <v>62</v>
      </c>
      <c r="G95" t="s">
        <v>326</v>
      </c>
      <c r="H95" t="s">
        <v>502</v>
      </c>
    </row>
    <row r="96" spans="1:8" x14ac:dyDescent="0.45">
      <c r="A96" t="s">
        <v>450</v>
      </c>
      <c r="B96">
        <v>48</v>
      </c>
      <c r="C96">
        <v>51</v>
      </c>
      <c r="D96">
        <v>47</v>
      </c>
      <c r="E96">
        <f t="shared" si="2"/>
        <v>146</v>
      </c>
      <c r="F96">
        <f t="shared" si="3"/>
        <v>51</v>
      </c>
      <c r="G96" t="s">
        <v>342</v>
      </c>
      <c r="H96" t="s">
        <v>501</v>
      </c>
    </row>
    <row r="97" spans="1:8" x14ac:dyDescent="0.45">
      <c r="A97" t="s">
        <v>218</v>
      </c>
      <c r="B97">
        <v>28</v>
      </c>
      <c r="C97">
        <v>67</v>
      </c>
      <c r="D97">
        <v>76</v>
      </c>
      <c r="E97">
        <f t="shared" si="2"/>
        <v>171</v>
      </c>
      <c r="F97">
        <f t="shared" si="3"/>
        <v>76</v>
      </c>
      <c r="G97" t="s">
        <v>323</v>
      </c>
      <c r="H97" t="s">
        <v>498</v>
      </c>
    </row>
    <row r="98" spans="1:8" x14ac:dyDescent="0.45">
      <c r="A98" t="s">
        <v>491</v>
      </c>
      <c r="B98">
        <v>45</v>
      </c>
      <c r="C98">
        <v>57</v>
      </c>
      <c r="D98">
        <v>26</v>
      </c>
      <c r="E98">
        <f t="shared" si="2"/>
        <v>128</v>
      </c>
      <c r="F98">
        <f t="shared" si="3"/>
        <v>57</v>
      </c>
      <c r="G98" t="s">
        <v>341</v>
      </c>
      <c r="H98" t="s">
        <v>501</v>
      </c>
    </row>
    <row r="99" spans="1:8" x14ac:dyDescent="0.45">
      <c r="A99" t="s">
        <v>225</v>
      </c>
      <c r="B99">
        <v>29</v>
      </c>
      <c r="C99">
        <v>85</v>
      </c>
      <c r="D99">
        <v>28</v>
      </c>
      <c r="E99">
        <f t="shared" si="2"/>
        <v>142</v>
      </c>
      <c r="F99">
        <f t="shared" si="3"/>
        <v>85</v>
      </c>
      <c r="G99" t="s">
        <v>326</v>
      </c>
      <c r="H99" t="s">
        <v>498</v>
      </c>
    </row>
    <row r="100" spans="1:8" x14ac:dyDescent="0.45">
      <c r="A100" t="s">
        <v>217</v>
      </c>
      <c r="B100">
        <v>67</v>
      </c>
      <c r="C100">
        <v>28</v>
      </c>
      <c r="D100">
        <v>76</v>
      </c>
      <c r="E100">
        <f t="shared" si="2"/>
        <v>171</v>
      </c>
      <c r="F100">
        <f t="shared" si="3"/>
        <v>76</v>
      </c>
      <c r="G100" t="s">
        <v>323</v>
      </c>
      <c r="H100" t="s">
        <v>498</v>
      </c>
    </row>
    <row r="101" spans="1:8" x14ac:dyDescent="0.45">
      <c r="A101" t="s">
        <v>340</v>
      </c>
      <c r="B101">
        <v>72</v>
      </c>
      <c r="C101">
        <v>46</v>
      </c>
      <c r="D101">
        <v>60</v>
      </c>
      <c r="E101">
        <f t="shared" si="2"/>
        <v>178</v>
      </c>
      <c r="F101">
        <f t="shared" si="3"/>
        <v>72</v>
      </c>
      <c r="G101" t="s">
        <v>341</v>
      </c>
      <c r="H101" t="s">
        <v>502</v>
      </c>
    </row>
    <row r="102" spans="1:8" x14ac:dyDescent="0.45">
      <c r="A102" t="s">
        <v>459</v>
      </c>
      <c r="B102">
        <v>45</v>
      </c>
      <c r="C102">
        <v>57</v>
      </c>
      <c r="D102">
        <v>24</v>
      </c>
      <c r="E102">
        <f t="shared" si="2"/>
        <v>126</v>
      </c>
      <c r="F102">
        <f t="shared" si="3"/>
        <v>57</v>
      </c>
      <c r="G102" t="s">
        <v>341</v>
      </c>
      <c r="H102" t="s">
        <v>501</v>
      </c>
    </row>
    <row r="103" spans="1:8" x14ac:dyDescent="0.45">
      <c r="A103" t="s">
        <v>488</v>
      </c>
      <c r="B103">
        <v>58</v>
      </c>
      <c r="C103">
        <v>66</v>
      </c>
      <c r="D103">
        <v>55</v>
      </c>
      <c r="E103">
        <f t="shared" si="2"/>
        <v>179</v>
      </c>
      <c r="F103">
        <f t="shared" si="3"/>
        <v>66</v>
      </c>
      <c r="G103" t="s">
        <v>328</v>
      </c>
      <c r="H103" t="s">
        <v>502</v>
      </c>
    </row>
    <row r="104" spans="1:8" x14ac:dyDescent="0.45">
      <c r="A104" t="s">
        <v>207</v>
      </c>
      <c r="B104">
        <v>75</v>
      </c>
      <c r="C104">
        <v>44</v>
      </c>
      <c r="D104">
        <v>71</v>
      </c>
      <c r="E104">
        <f t="shared" si="2"/>
        <v>190</v>
      </c>
      <c r="F104">
        <f t="shared" si="3"/>
        <v>75</v>
      </c>
      <c r="G104" t="s">
        <v>334</v>
      </c>
      <c r="H104" t="s">
        <v>498</v>
      </c>
    </row>
    <row r="105" spans="1:8" x14ac:dyDescent="0.45">
      <c r="A105" t="s">
        <v>364</v>
      </c>
      <c r="B105">
        <v>66</v>
      </c>
      <c r="C105">
        <v>45</v>
      </c>
      <c r="D105">
        <v>60</v>
      </c>
      <c r="E105">
        <f t="shared" si="2"/>
        <v>171</v>
      </c>
      <c r="F105">
        <f t="shared" si="3"/>
        <v>66</v>
      </c>
      <c r="G105" t="s">
        <v>333</v>
      </c>
      <c r="H105" t="s">
        <v>502</v>
      </c>
    </row>
    <row r="106" spans="1:8" x14ac:dyDescent="0.45">
      <c r="A106" t="s">
        <v>478</v>
      </c>
      <c r="B106">
        <v>70</v>
      </c>
      <c r="C106">
        <v>48</v>
      </c>
      <c r="D106">
        <v>50</v>
      </c>
      <c r="E106">
        <f t="shared" si="2"/>
        <v>168</v>
      </c>
      <c r="F106">
        <f t="shared" si="3"/>
        <v>70</v>
      </c>
      <c r="G106" t="s">
        <v>342</v>
      </c>
      <c r="H106" t="s">
        <v>502</v>
      </c>
    </row>
    <row r="107" spans="1:8" x14ac:dyDescent="0.45">
      <c r="A107" t="s">
        <v>211</v>
      </c>
      <c r="B107">
        <v>86</v>
      </c>
      <c r="C107">
        <v>71</v>
      </c>
      <c r="D107">
        <v>87</v>
      </c>
      <c r="E107">
        <f t="shared" si="2"/>
        <v>244</v>
      </c>
      <c r="F107">
        <f t="shared" si="3"/>
        <v>87</v>
      </c>
      <c r="G107" t="s">
        <v>320</v>
      </c>
      <c r="H107" t="s">
        <v>499</v>
      </c>
    </row>
    <row r="108" spans="1:8" x14ac:dyDescent="0.45">
      <c r="A108" t="s">
        <v>436</v>
      </c>
      <c r="B108">
        <v>25</v>
      </c>
      <c r="C108">
        <v>71</v>
      </c>
      <c r="D108">
        <v>24</v>
      </c>
      <c r="E108">
        <f t="shared" si="2"/>
        <v>120</v>
      </c>
      <c r="F108">
        <f t="shared" si="3"/>
        <v>71</v>
      </c>
      <c r="G108" t="s">
        <v>330</v>
      </c>
      <c r="H108" t="s">
        <v>502</v>
      </c>
    </row>
    <row r="109" spans="1:8" x14ac:dyDescent="0.45">
      <c r="A109" t="s">
        <v>346</v>
      </c>
      <c r="B109">
        <v>51</v>
      </c>
      <c r="C109">
        <v>40</v>
      </c>
      <c r="D109">
        <v>47</v>
      </c>
      <c r="E109">
        <f t="shared" si="2"/>
        <v>138</v>
      </c>
      <c r="F109">
        <f t="shared" si="3"/>
        <v>51</v>
      </c>
      <c r="G109" t="s">
        <v>347</v>
      </c>
      <c r="H109" t="s">
        <v>501</v>
      </c>
    </row>
    <row r="110" spans="1:8" x14ac:dyDescent="0.45">
      <c r="A110" t="s">
        <v>406</v>
      </c>
      <c r="B110">
        <v>73</v>
      </c>
      <c r="C110">
        <v>25</v>
      </c>
      <c r="D110">
        <v>68</v>
      </c>
      <c r="E110">
        <f t="shared" si="2"/>
        <v>166</v>
      </c>
      <c r="F110">
        <f t="shared" si="3"/>
        <v>73</v>
      </c>
      <c r="G110" t="s">
        <v>328</v>
      </c>
      <c r="H110" t="s">
        <v>502</v>
      </c>
    </row>
    <row r="111" spans="1:8" x14ac:dyDescent="0.45">
      <c r="A111" t="s">
        <v>426</v>
      </c>
      <c r="B111">
        <v>84</v>
      </c>
      <c r="C111">
        <v>91</v>
      </c>
      <c r="D111">
        <v>80</v>
      </c>
      <c r="E111">
        <f t="shared" si="2"/>
        <v>255</v>
      </c>
      <c r="F111">
        <f t="shared" si="3"/>
        <v>91</v>
      </c>
      <c r="G111" t="s">
        <v>330</v>
      </c>
      <c r="H111" t="s">
        <v>497</v>
      </c>
    </row>
    <row r="112" spans="1:8" x14ac:dyDescent="0.45">
      <c r="A112" t="s">
        <v>452</v>
      </c>
      <c r="B112">
        <v>30</v>
      </c>
      <c r="C112">
        <v>72</v>
      </c>
      <c r="D112">
        <v>25</v>
      </c>
      <c r="E112">
        <f t="shared" si="2"/>
        <v>127</v>
      </c>
      <c r="F112">
        <f t="shared" si="3"/>
        <v>72</v>
      </c>
      <c r="G112" t="s">
        <v>330</v>
      </c>
      <c r="H112" t="s">
        <v>502</v>
      </c>
    </row>
    <row r="113" spans="1:8" x14ac:dyDescent="0.45">
      <c r="A113" t="s">
        <v>407</v>
      </c>
      <c r="B113">
        <v>57</v>
      </c>
      <c r="C113">
        <v>23</v>
      </c>
      <c r="D113">
        <v>70</v>
      </c>
      <c r="E113">
        <f t="shared" si="2"/>
        <v>150</v>
      </c>
      <c r="F113">
        <f t="shared" si="3"/>
        <v>70</v>
      </c>
      <c r="G113" t="s">
        <v>328</v>
      </c>
      <c r="H113" t="s">
        <v>502</v>
      </c>
    </row>
    <row r="114" spans="1:8" x14ac:dyDescent="0.45">
      <c r="A114" t="s">
        <v>322</v>
      </c>
      <c r="B114">
        <v>100</v>
      </c>
      <c r="C114">
        <v>21</v>
      </c>
      <c r="D114">
        <v>80</v>
      </c>
      <c r="E114">
        <f t="shared" si="2"/>
        <v>201</v>
      </c>
      <c r="F114">
        <f t="shared" si="3"/>
        <v>100</v>
      </c>
      <c r="G114" t="s">
        <v>323</v>
      </c>
      <c r="H114" t="s">
        <v>497</v>
      </c>
    </row>
    <row r="115" spans="1:8" x14ac:dyDescent="0.45">
      <c r="A115" t="s">
        <v>148</v>
      </c>
      <c r="B115">
        <v>36</v>
      </c>
      <c r="C115">
        <v>80</v>
      </c>
      <c r="D115">
        <v>27</v>
      </c>
      <c r="E115">
        <f t="shared" si="2"/>
        <v>143</v>
      </c>
      <c r="F115">
        <f t="shared" si="3"/>
        <v>80</v>
      </c>
      <c r="G115" t="s">
        <v>342</v>
      </c>
      <c r="H115" t="s">
        <v>498</v>
      </c>
    </row>
    <row r="116" spans="1:8" x14ac:dyDescent="0.45">
      <c r="A116" t="s">
        <v>209</v>
      </c>
      <c r="B116">
        <v>88</v>
      </c>
      <c r="C116">
        <v>43</v>
      </c>
      <c r="D116">
        <v>85</v>
      </c>
      <c r="E116">
        <f t="shared" si="2"/>
        <v>216</v>
      </c>
      <c r="F116">
        <f t="shared" si="3"/>
        <v>88</v>
      </c>
      <c r="G116" t="s">
        <v>334</v>
      </c>
      <c r="H116" t="s">
        <v>499</v>
      </c>
    </row>
    <row r="117" spans="1:8" x14ac:dyDescent="0.45">
      <c r="A117" t="s">
        <v>388</v>
      </c>
      <c r="B117">
        <v>65</v>
      </c>
      <c r="C117">
        <v>47</v>
      </c>
      <c r="D117">
        <v>64</v>
      </c>
      <c r="E117">
        <f t="shared" si="2"/>
        <v>176</v>
      </c>
      <c r="F117">
        <f t="shared" si="3"/>
        <v>65</v>
      </c>
      <c r="G117" t="s">
        <v>330</v>
      </c>
      <c r="H117" t="s">
        <v>502</v>
      </c>
    </row>
    <row r="118" spans="1:8" x14ac:dyDescent="0.45">
      <c r="A118" t="s">
        <v>208</v>
      </c>
      <c r="B118">
        <v>71</v>
      </c>
      <c r="C118">
        <v>69</v>
      </c>
      <c r="D118">
        <v>70</v>
      </c>
      <c r="E118">
        <f t="shared" si="2"/>
        <v>210</v>
      </c>
      <c r="F118">
        <f t="shared" si="3"/>
        <v>71</v>
      </c>
      <c r="G118" t="s">
        <v>334</v>
      </c>
      <c r="H118" t="s">
        <v>498</v>
      </c>
    </row>
    <row r="119" spans="1:8" x14ac:dyDescent="0.45">
      <c r="A119" t="s">
        <v>480</v>
      </c>
      <c r="B119">
        <v>42</v>
      </c>
      <c r="C119">
        <v>60</v>
      </c>
      <c r="D119">
        <v>45</v>
      </c>
      <c r="E119">
        <f t="shared" si="2"/>
        <v>147</v>
      </c>
      <c r="F119">
        <f t="shared" si="3"/>
        <v>60</v>
      </c>
      <c r="G119" t="s">
        <v>323</v>
      </c>
      <c r="H119" t="s">
        <v>501</v>
      </c>
    </row>
    <row r="120" spans="1:8" x14ac:dyDescent="0.45">
      <c r="A120" t="s">
        <v>384</v>
      </c>
      <c r="B120">
        <v>32</v>
      </c>
      <c r="C120">
        <v>54</v>
      </c>
      <c r="D120">
        <v>29</v>
      </c>
      <c r="E120">
        <f t="shared" si="2"/>
        <v>115</v>
      </c>
      <c r="F120">
        <f t="shared" si="3"/>
        <v>54</v>
      </c>
      <c r="G120" t="s">
        <v>323</v>
      </c>
      <c r="H120" t="s">
        <v>501</v>
      </c>
    </row>
    <row r="121" spans="1:8" x14ac:dyDescent="0.45">
      <c r="A121" t="s">
        <v>203</v>
      </c>
      <c r="B121">
        <v>23</v>
      </c>
      <c r="C121">
        <v>80</v>
      </c>
      <c r="D121">
        <v>21</v>
      </c>
      <c r="E121">
        <f t="shared" si="2"/>
        <v>124</v>
      </c>
      <c r="F121">
        <f t="shared" si="3"/>
        <v>80</v>
      </c>
      <c r="G121" t="s">
        <v>334</v>
      </c>
      <c r="H121" t="s">
        <v>498</v>
      </c>
    </row>
    <row r="122" spans="1:8" x14ac:dyDescent="0.45">
      <c r="A122" t="s">
        <v>154</v>
      </c>
      <c r="B122">
        <v>52</v>
      </c>
      <c r="C122">
        <v>73</v>
      </c>
      <c r="D122">
        <v>74</v>
      </c>
      <c r="E122">
        <f t="shared" si="2"/>
        <v>199</v>
      </c>
      <c r="F122">
        <f t="shared" si="3"/>
        <v>74</v>
      </c>
      <c r="G122" t="s">
        <v>326</v>
      </c>
      <c r="H122" t="s">
        <v>498</v>
      </c>
    </row>
    <row r="123" spans="1:8" x14ac:dyDescent="0.45">
      <c r="A123" t="s">
        <v>405</v>
      </c>
      <c r="B123">
        <v>40</v>
      </c>
      <c r="C123">
        <v>58</v>
      </c>
      <c r="D123">
        <v>36</v>
      </c>
      <c r="E123">
        <f t="shared" si="2"/>
        <v>134</v>
      </c>
      <c r="F123">
        <f t="shared" si="3"/>
        <v>58</v>
      </c>
      <c r="G123" t="s">
        <v>347</v>
      </c>
      <c r="H123" t="s">
        <v>501</v>
      </c>
    </row>
    <row r="124" spans="1:8" x14ac:dyDescent="0.45">
      <c r="A124" t="s">
        <v>414</v>
      </c>
      <c r="B124">
        <v>30</v>
      </c>
      <c r="C124">
        <v>70</v>
      </c>
      <c r="D124">
        <v>28</v>
      </c>
      <c r="E124">
        <f t="shared" si="2"/>
        <v>128</v>
      </c>
      <c r="F124">
        <f t="shared" si="3"/>
        <v>70</v>
      </c>
      <c r="G124" t="s">
        <v>347</v>
      </c>
      <c r="H124" t="s">
        <v>502</v>
      </c>
    </row>
    <row r="125" spans="1:8" x14ac:dyDescent="0.45">
      <c r="A125" t="s">
        <v>468</v>
      </c>
      <c r="B125">
        <v>60</v>
      </c>
      <c r="C125">
        <v>22</v>
      </c>
      <c r="D125">
        <v>45</v>
      </c>
      <c r="E125">
        <f t="shared" si="2"/>
        <v>127</v>
      </c>
      <c r="F125">
        <f t="shared" si="3"/>
        <v>60</v>
      </c>
      <c r="G125" t="s">
        <v>342</v>
      </c>
      <c r="H125" t="s">
        <v>501</v>
      </c>
    </row>
    <row r="126" spans="1:8" x14ac:dyDescent="0.45">
      <c r="A126" t="s">
        <v>392</v>
      </c>
      <c r="B126">
        <v>55</v>
      </c>
      <c r="C126">
        <v>37</v>
      </c>
      <c r="D126">
        <v>53</v>
      </c>
      <c r="E126">
        <f t="shared" si="2"/>
        <v>145</v>
      </c>
      <c r="F126">
        <f t="shared" si="3"/>
        <v>55</v>
      </c>
      <c r="G126" t="s">
        <v>326</v>
      </c>
      <c r="H126" t="s">
        <v>501</v>
      </c>
    </row>
    <row r="127" spans="1:8" x14ac:dyDescent="0.45">
      <c r="A127" t="s">
        <v>226</v>
      </c>
      <c r="B127">
        <v>72</v>
      </c>
      <c r="C127">
        <v>67</v>
      </c>
      <c r="D127">
        <v>72</v>
      </c>
      <c r="E127">
        <f t="shared" si="2"/>
        <v>211</v>
      </c>
      <c r="F127">
        <f t="shared" si="3"/>
        <v>72</v>
      </c>
      <c r="G127" t="s">
        <v>328</v>
      </c>
      <c r="H127" t="s">
        <v>498</v>
      </c>
    </row>
    <row r="128" spans="1:8" x14ac:dyDescent="0.45">
      <c r="A128" t="s">
        <v>152</v>
      </c>
      <c r="B128">
        <v>78</v>
      </c>
      <c r="C128">
        <v>60</v>
      </c>
      <c r="D128">
        <v>41</v>
      </c>
      <c r="E128">
        <f t="shared" si="2"/>
        <v>179</v>
      </c>
      <c r="F128">
        <f t="shared" si="3"/>
        <v>78</v>
      </c>
      <c r="G128" t="s">
        <v>320</v>
      </c>
      <c r="H128" t="s">
        <v>498</v>
      </c>
    </row>
    <row r="129" spans="1:8" x14ac:dyDescent="0.45">
      <c r="A129" t="s">
        <v>367</v>
      </c>
      <c r="B129">
        <v>60</v>
      </c>
      <c r="C129">
        <v>52</v>
      </c>
      <c r="D129">
        <v>62</v>
      </c>
      <c r="E129">
        <f t="shared" si="2"/>
        <v>174</v>
      </c>
      <c r="F129">
        <f t="shared" si="3"/>
        <v>62</v>
      </c>
      <c r="G129" t="s">
        <v>326</v>
      </c>
      <c r="H129" t="s">
        <v>502</v>
      </c>
    </row>
    <row r="130" spans="1:8" x14ac:dyDescent="0.45">
      <c r="A130" t="s">
        <v>191</v>
      </c>
      <c r="B130">
        <v>40</v>
      </c>
      <c r="C130">
        <v>78</v>
      </c>
      <c r="D130">
        <v>32</v>
      </c>
      <c r="E130">
        <f t="shared" ref="E130:E193" si="4">SUM(B130:D130)</f>
        <v>150</v>
      </c>
      <c r="F130">
        <f t="shared" ref="F130:F193" si="5">MAX(B130:D130)</f>
        <v>78</v>
      </c>
      <c r="G130" t="s">
        <v>330</v>
      </c>
      <c r="H130" t="s">
        <v>498</v>
      </c>
    </row>
    <row r="131" spans="1:8" x14ac:dyDescent="0.45">
      <c r="A131" t="s">
        <v>471</v>
      </c>
      <c r="B131">
        <v>23</v>
      </c>
      <c r="C131">
        <v>46</v>
      </c>
      <c r="D131">
        <v>30</v>
      </c>
      <c r="E131">
        <f t="shared" si="4"/>
        <v>99</v>
      </c>
      <c r="F131">
        <f t="shared" si="5"/>
        <v>46</v>
      </c>
      <c r="G131" t="s">
        <v>330</v>
      </c>
      <c r="H131" t="s">
        <v>501</v>
      </c>
    </row>
    <row r="132" spans="1:8" x14ac:dyDescent="0.45">
      <c r="A132" t="s">
        <v>327</v>
      </c>
      <c r="B132">
        <v>58</v>
      </c>
      <c r="C132">
        <v>47</v>
      </c>
      <c r="D132">
        <v>71</v>
      </c>
      <c r="E132">
        <f t="shared" si="4"/>
        <v>176</v>
      </c>
      <c r="F132">
        <f t="shared" si="5"/>
        <v>71</v>
      </c>
      <c r="G132" t="s">
        <v>328</v>
      </c>
      <c r="H132" t="s">
        <v>502</v>
      </c>
    </row>
    <row r="133" spans="1:8" x14ac:dyDescent="0.45">
      <c r="A133" t="s">
        <v>141</v>
      </c>
      <c r="B133">
        <v>79</v>
      </c>
      <c r="C133">
        <v>43</v>
      </c>
      <c r="D133">
        <v>71</v>
      </c>
      <c r="E133">
        <f t="shared" si="4"/>
        <v>193</v>
      </c>
      <c r="F133">
        <f t="shared" si="5"/>
        <v>79</v>
      </c>
      <c r="G133" t="s">
        <v>331</v>
      </c>
      <c r="H133" t="s">
        <v>498</v>
      </c>
    </row>
    <row r="134" spans="1:8" x14ac:dyDescent="0.45">
      <c r="A134" t="s">
        <v>354</v>
      </c>
      <c r="B134">
        <v>25</v>
      </c>
      <c r="C134">
        <v>59</v>
      </c>
      <c r="D134">
        <v>23</v>
      </c>
      <c r="E134">
        <f t="shared" si="4"/>
        <v>107</v>
      </c>
      <c r="F134">
        <f t="shared" si="5"/>
        <v>59</v>
      </c>
      <c r="G134" t="s">
        <v>331</v>
      </c>
      <c r="H134" t="s">
        <v>501</v>
      </c>
    </row>
    <row r="135" spans="1:8" x14ac:dyDescent="0.45">
      <c r="A135" t="s">
        <v>376</v>
      </c>
      <c r="B135">
        <v>72</v>
      </c>
      <c r="C135">
        <v>46</v>
      </c>
      <c r="D135">
        <v>68</v>
      </c>
      <c r="E135">
        <f t="shared" si="4"/>
        <v>186</v>
      </c>
      <c r="F135">
        <f t="shared" si="5"/>
        <v>72</v>
      </c>
      <c r="G135" t="s">
        <v>323</v>
      </c>
      <c r="H135" t="s">
        <v>502</v>
      </c>
    </row>
    <row r="136" spans="1:8" x14ac:dyDescent="0.45">
      <c r="A136" t="s">
        <v>185</v>
      </c>
      <c r="B136">
        <v>92</v>
      </c>
      <c r="C136">
        <v>51</v>
      </c>
      <c r="D136">
        <v>80</v>
      </c>
      <c r="E136">
        <f t="shared" si="4"/>
        <v>223</v>
      </c>
      <c r="F136">
        <f t="shared" si="5"/>
        <v>92</v>
      </c>
      <c r="G136" t="s">
        <v>320</v>
      </c>
      <c r="H136" t="s">
        <v>499</v>
      </c>
    </row>
    <row r="137" spans="1:8" x14ac:dyDescent="0.45">
      <c r="A137" t="s">
        <v>455</v>
      </c>
      <c r="B137">
        <v>51</v>
      </c>
      <c r="C137">
        <v>60</v>
      </c>
      <c r="D137">
        <v>47</v>
      </c>
      <c r="E137">
        <f t="shared" si="4"/>
        <v>158</v>
      </c>
      <c r="F137">
        <f t="shared" si="5"/>
        <v>60</v>
      </c>
      <c r="G137" t="s">
        <v>334</v>
      </c>
      <c r="H137" t="s">
        <v>502</v>
      </c>
    </row>
    <row r="138" spans="1:8" x14ac:dyDescent="0.45">
      <c r="A138" t="s">
        <v>399</v>
      </c>
      <c r="B138">
        <v>30</v>
      </c>
      <c r="C138">
        <v>63</v>
      </c>
      <c r="D138">
        <v>50</v>
      </c>
      <c r="E138">
        <f t="shared" si="4"/>
        <v>143</v>
      </c>
      <c r="F138">
        <f t="shared" si="5"/>
        <v>63</v>
      </c>
      <c r="G138" t="s">
        <v>347</v>
      </c>
      <c r="H138" t="s">
        <v>501</v>
      </c>
    </row>
    <row r="139" spans="1:8" x14ac:dyDescent="0.45">
      <c r="A139" t="s">
        <v>352</v>
      </c>
      <c r="B139">
        <v>64</v>
      </c>
      <c r="C139">
        <v>43</v>
      </c>
      <c r="D139">
        <v>59</v>
      </c>
      <c r="E139">
        <f t="shared" si="4"/>
        <v>166</v>
      </c>
      <c r="F139">
        <f t="shared" si="5"/>
        <v>64</v>
      </c>
      <c r="G139" t="s">
        <v>326</v>
      </c>
      <c r="H139" t="s">
        <v>502</v>
      </c>
    </row>
    <row r="140" spans="1:8" x14ac:dyDescent="0.45">
      <c r="A140" t="s">
        <v>443</v>
      </c>
      <c r="B140">
        <v>53</v>
      </c>
      <c r="C140">
        <v>55</v>
      </c>
      <c r="D140">
        <v>48</v>
      </c>
      <c r="E140">
        <f t="shared" si="4"/>
        <v>156</v>
      </c>
      <c r="F140">
        <f t="shared" si="5"/>
        <v>55</v>
      </c>
      <c r="G140" t="s">
        <v>342</v>
      </c>
      <c r="H140" t="s">
        <v>502</v>
      </c>
    </row>
    <row r="141" spans="1:8" x14ac:dyDescent="0.45">
      <c r="A141" t="s">
        <v>489</v>
      </c>
      <c r="B141">
        <v>67</v>
      </c>
      <c r="C141">
        <v>59</v>
      </c>
      <c r="D141">
        <v>65</v>
      </c>
      <c r="E141">
        <f t="shared" si="4"/>
        <v>191</v>
      </c>
      <c r="F141">
        <f t="shared" si="5"/>
        <v>67</v>
      </c>
      <c r="G141" t="s">
        <v>328</v>
      </c>
      <c r="H141" t="s">
        <v>502</v>
      </c>
    </row>
    <row r="142" spans="1:8" x14ac:dyDescent="0.45">
      <c r="A142" t="s">
        <v>401</v>
      </c>
      <c r="B142">
        <v>63</v>
      </c>
      <c r="C142">
        <v>57</v>
      </c>
      <c r="D142">
        <v>59</v>
      </c>
      <c r="E142">
        <f t="shared" si="4"/>
        <v>179</v>
      </c>
      <c r="F142">
        <f t="shared" si="5"/>
        <v>63</v>
      </c>
      <c r="G142" t="s">
        <v>320</v>
      </c>
      <c r="H142" t="s">
        <v>502</v>
      </c>
    </row>
    <row r="143" spans="1:8" x14ac:dyDescent="0.45">
      <c r="A143" t="s">
        <v>93</v>
      </c>
      <c r="B143">
        <v>75</v>
      </c>
      <c r="C143">
        <v>64</v>
      </c>
      <c r="D143">
        <v>91</v>
      </c>
      <c r="E143">
        <f t="shared" si="4"/>
        <v>230</v>
      </c>
      <c r="F143">
        <f t="shared" si="5"/>
        <v>91</v>
      </c>
      <c r="G143" t="s">
        <v>320</v>
      </c>
      <c r="H143" t="s">
        <v>497</v>
      </c>
    </row>
    <row r="144" spans="1:8" x14ac:dyDescent="0.45">
      <c r="A144" t="s">
        <v>492</v>
      </c>
      <c r="B144">
        <v>22</v>
      </c>
      <c r="C144">
        <v>20</v>
      </c>
      <c r="D144">
        <v>18</v>
      </c>
      <c r="E144">
        <f t="shared" si="4"/>
        <v>60</v>
      </c>
      <c r="F144">
        <f t="shared" si="5"/>
        <v>22</v>
      </c>
      <c r="G144" t="s">
        <v>320</v>
      </c>
      <c r="H144" t="s">
        <v>501</v>
      </c>
    </row>
    <row r="145" spans="1:8" x14ac:dyDescent="0.45">
      <c r="A145" t="s">
        <v>490</v>
      </c>
      <c r="B145">
        <v>58</v>
      </c>
      <c r="C145">
        <v>44</v>
      </c>
      <c r="D145">
        <v>52</v>
      </c>
      <c r="E145">
        <f t="shared" si="4"/>
        <v>154</v>
      </c>
      <c r="F145">
        <f t="shared" si="5"/>
        <v>58</v>
      </c>
      <c r="G145" t="s">
        <v>334</v>
      </c>
      <c r="H145" t="s">
        <v>502</v>
      </c>
    </row>
    <row r="146" spans="1:8" x14ac:dyDescent="0.45">
      <c r="A146" t="s">
        <v>175</v>
      </c>
      <c r="B146">
        <v>35</v>
      </c>
      <c r="C146">
        <v>85</v>
      </c>
      <c r="D146">
        <v>73</v>
      </c>
      <c r="E146">
        <f t="shared" si="4"/>
        <v>193</v>
      </c>
      <c r="F146">
        <f t="shared" si="5"/>
        <v>85</v>
      </c>
      <c r="G146" t="s">
        <v>326</v>
      </c>
      <c r="H146" t="s">
        <v>498</v>
      </c>
    </row>
    <row r="147" spans="1:8" x14ac:dyDescent="0.45">
      <c r="A147" t="s">
        <v>453</v>
      </c>
      <c r="B147">
        <v>52</v>
      </c>
      <c r="C147">
        <v>51</v>
      </c>
      <c r="D147">
        <v>47</v>
      </c>
      <c r="E147">
        <f t="shared" si="4"/>
        <v>150</v>
      </c>
      <c r="F147">
        <f t="shared" si="5"/>
        <v>52</v>
      </c>
      <c r="G147" t="s">
        <v>334</v>
      </c>
      <c r="H147" t="s">
        <v>502</v>
      </c>
    </row>
    <row r="148" spans="1:8" x14ac:dyDescent="0.45">
      <c r="A148" t="s">
        <v>404</v>
      </c>
      <c r="B148">
        <v>59</v>
      </c>
      <c r="C148">
        <v>52</v>
      </c>
      <c r="D148">
        <v>52</v>
      </c>
      <c r="E148">
        <f t="shared" si="4"/>
        <v>163</v>
      </c>
      <c r="F148">
        <f t="shared" si="5"/>
        <v>59</v>
      </c>
      <c r="G148" t="s">
        <v>347</v>
      </c>
      <c r="H148" t="s">
        <v>502</v>
      </c>
    </row>
    <row r="149" spans="1:8" x14ac:dyDescent="0.45">
      <c r="A149" t="s">
        <v>171</v>
      </c>
      <c r="B149">
        <v>70</v>
      </c>
      <c r="C149">
        <v>65</v>
      </c>
      <c r="D149">
        <v>70</v>
      </c>
      <c r="E149">
        <f t="shared" si="4"/>
        <v>205</v>
      </c>
      <c r="F149">
        <f t="shared" si="5"/>
        <v>70</v>
      </c>
      <c r="G149" t="s">
        <v>347</v>
      </c>
      <c r="H149" t="s">
        <v>498</v>
      </c>
    </row>
    <row r="150" spans="1:8" x14ac:dyDescent="0.45">
      <c r="A150" t="s">
        <v>444</v>
      </c>
      <c r="B150">
        <v>58</v>
      </c>
      <c r="C150">
        <v>58</v>
      </c>
      <c r="D150">
        <v>49</v>
      </c>
      <c r="E150">
        <f t="shared" si="4"/>
        <v>165</v>
      </c>
      <c r="F150">
        <f t="shared" si="5"/>
        <v>58</v>
      </c>
      <c r="G150" t="s">
        <v>342</v>
      </c>
      <c r="H150" t="s">
        <v>502</v>
      </c>
    </row>
    <row r="151" spans="1:8" x14ac:dyDescent="0.45">
      <c r="A151" t="s">
        <v>428</v>
      </c>
      <c r="B151">
        <v>80</v>
      </c>
      <c r="C151">
        <v>95</v>
      </c>
      <c r="D151">
        <v>85</v>
      </c>
      <c r="E151">
        <f t="shared" si="4"/>
        <v>260</v>
      </c>
      <c r="F151">
        <f t="shared" si="5"/>
        <v>95</v>
      </c>
      <c r="G151" t="s">
        <v>330</v>
      </c>
      <c r="H151" t="s">
        <v>497</v>
      </c>
    </row>
    <row r="152" spans="1:8" x14ac:dyDescent="0.45">
      <c r="A152" t="s">
        <v>435</v>
      </c>
      <c r="B152">
        <v>32</v>
      </c>
      <c r="C152">
        <v>68</v>
      </c>
      <c r="D152">
        <v>27</v>
      </c>
      <c r="E152">
        <f t="shared" si="4"/>
        <v>127</v>
      </c>
      <c r="F152">
        <f t="shared" si="5"/>
        <v>68</v>
      </c>
      <c r="G152" t="s">
        <v>330</v>
      </c>
      <c r="H152" t="s">
        <v>501</v>
      </c>
    </row>
    <row r="153" spans="1:8" x14ac:dyDescent="0.45">
      <c r="A153" t="s">
        <v>356</v>
      </c>
      <c r="B153">
        <v>63</v>
      </c>
      <c r="C153">
        <v>42</v>
      </c>
      <c r="D153">
        <v>49</v>
      </c>
      <c r="E153">
        <f t="shared" si="4"/>
        <v>154</v>
      </c>
      <c r="F153">
        <f t="shared" si="5"/>
        <v>63</v>
      </c>
      <c r="G153" t="s">
        <v>321</v>
      </c>
      <c r="H153" t="s">
        <v>502</v>
      </c>
    </row>
    <row r="154" spans="1:8" x14ac:dyDescent="0.45">
      <c r="A154" t="s">
        <v>412</v>
      </c>
      <c r="B154">
        <v>28</v>
      </c>
      <c r="C154">
        <v>58</v>
      </c>
      <c r="D154">
        <v>24</v>
      </c>
      <c r="E154">
        <f t="shared" si="4"/>
        <v>110</v>
      </c>
      <c r="F154">
        <f t="shared" si="5"/>
        <v>58</v>
      </c>
      <c r="G154" t="s">
        <v>347</v>
      </c>
      <c r="H154" t="s">
        <v>501</v>
      </c>
    </row>
    <row r="155" spans="1:8" x14ac:dyDescent="0.45">
      <c r="A155" t="s">
        <v>495</v>
      </c>
      <c r="B155">
        <v>70</v>
      </c>
      <c r="C155">
        <v>48</v>
      </c>
      <c r="D155">
        <v>72</v>
      </c>
      <c r="E155">
        <f t="shared" si="4"/>
        <v>190</v>
      </c>
      <c r="F155">
        <f t="shared" si="5"/>
        <v>72</v>
      </c>
      <c r="G155" t="s">
        <v>342</v>
      </c>
      <c r="H155" t="s">
        <v>502</v>
      </c>
    </row>
    <row r="156" spans="1:8" x14ac:dyDescent="0.45">
      <c r="A156" t="s">
        <v>338</v>
      </c>
      <c r="B156">
        <v>54</v>
      </c>
      <c r="C156">
        <v>68</v>
      </c>
      <c r="D156">
        <v>50</v>
      </c>
      <c r="E156">
        <f t="shared" si="4"/>
        <v>172</v>
      </c>
      <c r="F156">
        <f t="shared" si="5"/>
        <v>68</v>
      </c>
      <c r="G156" t="s">
        <v>321</v>
      </c>
      <c r="H156" t="s">
        <v>502</v>
      </c>
    </row>
    <row r="157" spans="1:8" x14ac:dyDescent="0.45">
      <c r="A157" t="s">
        <v>227</v>
      </c>
      <c r="B157">
        <v>75</v>
      </c>
      <c r="C157">
        <v>74</v>
      </c>
      <c r="D157">
        <v>72</v>
      </c>
      <c r="E157">
        <f t="shared" si="4"/>
        <v>221</v>
      </c>
      <c r="F157">
        <f t="shared" si="5"/>
        <v>75</v>
      </c>
      <c r="G157" t="s">
        <v>330</v>
      </c>
      <c r="H157" t="s">
        <v>499</v>
      </c>
    </row>
    <row r="158" spans="1:8" x14ac:dyDescent="0.45">
      <c r="A158" t="s">
        <v>477</v>
      </c>
      <c r="B158">
        <v>73</v>
      </c>
      <c r="C158">
        <v>11</v>
      </c>
      <c r="D158">
        <v>38</v>
      </c>
      <c r="E158">
        <f t="shared" si="4"/>
        <v>122</v>
      </c>
      <c r="F158">
        <f t="shared" si="5"/>
        <v>73</v>
      </c>
      <c r="G158" t="s">
        <v>342</v>
      </c>
      <c r="H158" t="s">
        <v>502</v>
      </c>
    </row>
    <row r="159" spans="1:8" x14ac:dyDescent="0.45">
      <c r="A159" t="s">
        <v>139</v>
      </c>
      <c r="B159">
        <v>25</v>
      </c>
      <c r="C159">
        <v>90</v>
      </c>
      <c r="D159">
        <v>77</v>
      </c>
      <c r="E159">
        <f t="shared" si="4"/>
        <v>192</v>
      </c>
      <c r="F159">
        <f t="shared" si="5"/>
        <v>90</v>
      </c>
      <c r="G159" t="s">
        <v>321</v>
      </c>
      <c r="H159" t="s">
        <v>499</v>
      </c>
    </row>
    <row r="160" spans="1:8" x14ac:dyDescent="0.45">
      <c r="A160" t="s">
        <v>179</v>
      </c>
      <c r="B160">
        <v>79</v>
      </c>
      <c r="C160">
        <v>63</v>
      </c>
      <c r="D160">
        <v>57</v>
      </c>
      <c r="E160">
        <f t="shared" si="4"/>
        <v>199</v>
      </c>
      <c r="F160">
        <f t="shared" si="5"/>
        <v>79</v>
      </c>
      <c r="G160" t="s">
        <v>321</v>
      </c>
      <c r="H160" t="s">
        <v>498</v>
      </c>
    </row>
    <row r="161" spans="1:8" x14ac:dyDescent="0.45">
      <c r="A161" t="s">
        <v>182</v>
      </c>
      <c r="B161">
        <v>21</v>
      </c>
      <c r="C161">
        <v>84</v>
      </c>
      <c r="D161">
        <v>72</v>
      </c>
      <c r="E161">
        <f t="shared" si="4"/>
        <v>177</v>
      </c>
      <c r="F161">
        <f t="shared" si="5"/>
        <v>84</v>
      </c>
      <c r="G161" t="s">
        <v>320</v>
      </c>
      <c r="H161" t="s">
        <v>498</v>
      </c>
    </row>
    <row r="162" spans="1:8" x14ac:dyDescent="0.45">
      <c r="A162" t="s">
        <v>400</v>
      </c>
      <c r="B162">
        <v>72</v>
      </c>
      <c r="C162">
        <v>47</v>
      </c>
      <c r="D162">
        <v>73</v>
      </c>
      <c r="E162">
        <f t="shared" si="4"/>
        <v>192</v>
      </c>
      <c r="F162">
        <f t="shared" si="5"/>
        <v>73</v>
      </c>
      <c r="G162" t="s">
        <v>326</v>
      </c>
      <c r="H162" t="s">
        <v>502</v>
      </c>
    </row>
    <row r="163" spans="1:8" x14ac:dyDescent="0.45">
      <c r="A163" t="s">
        <v>348</v>
      </c>
      <c r="B163">
        <v>68</v>
      </c>
      <c r="C163">
        <v>35</v>
      </c>
      <c r="D163">
        <v>62</v>
      </c>
      <c r="E163">
        <f t="shared" si="4"/>
        <v>165</v>
      </c>
      <c r="F163">
        <f t="shared" si="5"/>
        <v>68</v>
      </c>
      <c r="G163" t="s">
        <v>347</v>
      </c>
      <c r="H163" t="s">
        <v>502</v>
      </c>
    </row>
    <row r="164" spans="1:8" x14ac:dyDescent="0.45">
      <c r="A164" t="s">
        <v>204</v>
      </c>
      <c r="B164">
        <v>70</v>
      </c>
      <c r="C164">
        <v>88</v>
      </c>
      <c r="D164">
        <v>72</v>
      </c>
      <c r="E164">
        <f t="shared" si="4"/>
        <v>230</v>
      </c>
      <c r="F164">
        <f t="shared" si="5"/>
        <v>88</v>
      </c>
      <c r="G164" t="s">
        <v>334</v>
      </c>
      <c r="H164" t="s">
        <v>499</v>
      </c>
    </row>
    <row r="165" spans="1:8" x14ac:dyDescent="0.45">
      <c r="A165" t="s">
        <v>395</v>
      </c>
      <c r="B165">
        <v>72</v>
      </c>
      <c r="C165">
        <v>41</v>
      </c>
      <c r="D165">
        <v>60</v>
      </c>
      <c r="E165">
        <f t="shared" si="4"/>
        <v>173</v>
      </c>
      <c r="F165">
        <f t="shared" si="5"/>
        <v>72</v>
      </c>
      <c r="G165" t="s">
        <v>328</v>
      </c>
      <c r="H165" t="s">
        <v>502</v>
      </c>
    </row>
    <row r="166" spans="1:8" x14ac:dyDescent="0.45">
      <c r="A166" t="s">
        <v>420</v>
      </c>
      <c r="B166">
        <v>56</v>
      </c>
      <c r="C166">
        <v>46</v>
      </c>
      <c r="D166">
        <v>47</v>
      </c>
      <c r="E166">
        <f t="shared" si="4"/>
        <v>149</v>
      </c>
      <c r="F166">
        <f t="shared" si="5"/>
        <v>56</v>
      </c>
      <c r="G166" t="s">
        <v>328</v>
      </c>
      <c r="H166" t="s">
        <v>501</v>
      </c>
    </row>
    <row r="167" spans="1:8" x14ac:dyDescent="0.45">
      <c r="A167" t="s">
        <v>213</v>
      </c>
      <c r="B167">
        <v>72</v>
      </c>
      <c r="C167">
        <v>80</v>
      </c>
      <c r="D167">
        <v>73</v>
      </c>
      <c r="E167">
        <f t="shared" si="4"/>
        <v>225</v>
      </c>
      <c r="F167">
        <f t="shared" si="5"/>
        <v>80</v>
      </c>
      <c r="G167" t="s">
        <v>341</v>
      </c>
      <c r="H167" t="s">
        <v>231</v>
      </c>
    </row>
    <row r="168" spans="1:8" x14ac:dyDescent="0.45">
      <c r="A168" t="s">
        <v>353</v>
      </c>
      <c r="B168">
        <v>57</v>
      </c>
      <c r="C168">
        <v>26</v>
      </c>
      <c r="D168">
        <v>48</v>
      </c>
      <c r="E168">
        <f t="shared" si="4"/>
        <v>131</v>
      </c>
      <c r="F168">
        <f t="shared" si="5"/>
        <v>57</v>
      </c>
      <c r="G168" t="s">
        <v>342</v>
      </c>
      <c r="H168" t="s">
        <v>501</v>
      </c>
    </row>
    <row r="169" spans="1:8" x14ac:dyDescent="0.45">
      <c r="A169" t="s">
        <v>402</v>
      </c>
      <c r="B169">
        <v>64</v>
      </c>
      <c r="C169">
        <v>18</v>
      </c>
      <c r="D169">
        <v>52</v>
      </c>
      <c r="E169">
        <f t="shared" si="4"/>
        <v>134</v>
      </c>
      <c r="F169">
        <f t="shared" si="5"/>
        <v>64</v>
      </c>
      <c r="G169" t="s">
        <v>342</v>
      </c>
      <c r="H169" t="s">
        <v>501</v>
      </c>
    </row>
    <row r="170" spans="1:8" x14ac:dyDescent="0.45">
      <c r="A170" t="s">
        <v>6</v>
      </c>
      <c r="B170">
        <v>99</v>
      </c>
      <c r="C170">
        <v>42</v>
      </c>
      <c r="D170">
        <v>83</v>
      </c>
      <c r="E170">
        <f t="shared" si="4"/>
        <v>224</v>
      </c>
      <c r="F170">
        <f t="shared" si="5"/>
        <v>99</v>
      </c>
      <c r="G170" t="s">
        <v>320</v>
      </c>
      <c r="H170" t="s">
        <v>497</v>
      </c>
    </row>
    <row r="171" spans="1:8" x14ac:dyDescent="0.45">
      <c r="A171" t="s">
        <v>187</v>
      </c>
      <c r="B171">
        <v>32</v>
      </c>
      <c r="C171">
        <v>92</v>
      </c>
      <c r="D171">
        <v>29</v>
      </c>
      <c r="E171">
        <f t="shared" si="4"/>
        <v>153</v>
      </c>
      <c r="F171">
        <f t="shared" si="5"/>
        <v>92</v>
      </c>
      <c r="G171" t="s">
        <v>330</v>
      </c>
      <c r="H171" t="s">
        <v>499</v>
      </c>
    </row>
    <row r="172" spans="1:8" x14ac:dyDescent="0.45">
      <c r="A172" t="s">
        <v>200</v>
      </c>
      <c r="B172">
        <v>34</v>
      </c>
      <c r="C172">
        <v>86</v>
      </c>
      <c r="D172">
        <v>30</v>
      </c>
      <c r="E172">
        <f t="shared" si="4"/>
        <v>150</v>
      </c>
      <c r="F172">
        <f t="shared" si="5"/>
        <v>86</v>
      </c>
      <c r="G172" t="s">
        <v>320</v>
      </c>
      <c r="H172" t="s">
        <v>498</v>
      </c>
    </row>
    <row r="173" spans="1:8" x14ac:dyDescent="0.45">
      <c r="A173" t="s">
        <v>176</v>
      </c>
      <c r="B173">
        <v>74</v>
      </c>
      <c r="C173">
        <v>53</v>
      </c>
      <c r="D173">
        <v>68</v>
      </c>
      <c r="E173">
        <f t="shared" si="4"/>
        <v>195</v>
      </c>
      <c r="F173">
        <f t="shared" si="5"/>
        <v>74</v>
      </c>
      <c r="G173" t="s">
        <v>323</v>
      </c>
      <c r="H173" t="s">
        <v>498</v>
      </c>
    </row>
    <row r="174" spans="1:8" x14ac:dyDescent="0.45">
      <c r="A174" t="s">
        <v>469</v>
      </c>
      <c r="B174">
        <v>64</v>
      </c>
      <c r="C174">
        <v>40</v>
      </c>
      <c r="D174">
        <v>60</v>
      </c>
      <c r="E174">
        <f t="shared" si="4"/>
        <v>164</v>
      </c>
      <c r="F174">
        <f t="shared" si="5"/>
        <v>64</v>
      </c>
      <c r="G174" t="s">
        <v>342</v>
      </c>
      <c r="H174" t="s">
        <v>502</v>
      </c>
    </row>
    <row r="175" spans="1:8" x14ac:dyDescent="0.45">
      <c r="A175" t="s">
        <v>229</v>
      </c>
      <c r="B175">
        <v>60</v>
      </c>
      <c r="C175">
        <v>85</v>
      </c>
      <c r="D175">
        <v>73</v>
      </c>
      <c r="E175">
        <f t="shared" si="4"/>
        <v>218</v>
      </c>
      <c r="F175">
        <f t="shared" si="5"/>
        <v>85</v>
      </c>
      <c r="G175" t="s">
        <v>320</v>
      </c>
      <c r="H175" t="s">
        <v>499</v>
      </c>
    </row>
    <row r="176" spans="1:8" x14ac:dyDescent="0.45">
      <c r="A176" t="s">
        <v>380</v>
      </c>
      <c r="B176">
        <v>90</v>
      </c>
      <c r="C176">
        <v>80</v>
      </c>
      <c r="D176">
        <v>87</v>
      </c>
      <c r="E176">
        <f t="shared" si="4"/>
        <v>257</v>
      </c>
      <c r="F176">
        <f t="shared" si="5"/>
        <v>90</v>
      </c>
      <c r="G176" t="s">
        <v>326</v>
      </c>
      <c r="H176" t="s">
        <v>45</v>
      </c>
    </row>
    <row r="177" spans="1:8" x14ac:dyDescent="0.45">
      <c r="A177" t="s">
        <v>458</v>
      </c>
      <c r="B177">
        <v>72</v>
      </c>
      <c r="C177">
        <v>35</v>
      </c>
      <c r="D177">
        <v>62</v>
      </c>
      <c r="E177">
        <f t="shared" si="4"/>
        <v>169</v>
      </c>
      <c r="F177">
        <f t="shared" si="5"/>
        <v>72</v>
      </c>
      <c r="G177" t="s">
        <v>341</v>
      </c>
      <c r="H177" t="s">
        <v>502</v>
      </c>
    </row>
    <row r="178" spans="1:8" x14ac:dyDescent="0.45">
      <c r="A178" t="s">
        <v>411</v>
      </c>
      <c r="B178">
        <v>59</v>
      </c>
      <c r="C178">
        <v>60</v>
      </c>
      <c r="D178">
        <v>50</v>
      </c>
      <c r="E178">
        <f t="shared" si="4"/>
        <v>169</v>
      </c>
      <c r="F178">
        <f t="shared" si="5"/>
        <v>60</v>
      </c>
      <c r="G178" t="s">
        <v>347</v>
      </c>
      <c r="H178" t="s">
        <v>502</v>
      </c>
    </row>
    <row r="179" spans="1:8" x14ac:dyDescent="0.45">
      <c r="A179" t="s">
        <v>205</v>
      </c>
      <c r="B179">
        <v>87</v>
      </c>
      <c r="C179">
        <v>69</v>
      </c>
      <c r="D179">
        <v>84</v>
      </c>
      <c r="E179">
        <f t="shared" si="4"/>
        <v>240</v>
      </c>
      <c r="F179">
        <f t="shared" si="5"/>
        <v>87</v>
      </c>
      <c r="G179" t="s">
        <v>334</v>
      </c>
      <c r="H179" t="s">
        <v>499</v>
      </c>
    </row>
    <row r="180" spans="1:8" x14ac:dyDescent="0.45">
      <c r="A180" t="s">
        <v>156</v>
      </c>
      <c r="B180">
        <v>92</v>
      </c>
      <c r="C180">
        <v>37</v>
      </c>
      <c r="D180">
        <v>83</v>
      </c>
      <c r="E180">
        <f t="shared" si="4"/>
        <v>212</v>
      </c>
      <c r="F180">
        <f t="shared" si="5"/>
        <v>92</v>
      </c>
      <c r="G180" t="s">
        <v>342</v>
      </c>
      <c r="H180" t="s">
        <v>499</v>
      </c>
    </row>
    <row r="181" spans="1:8" x14ac:dyDescent="0.45">
      <c r="A181" t="s">
        <v>393</v>
      </c>
      <c r="B181">
        <v>90</v>
      </c>
      <c r="C181">
        <v>62</v>
      </c>
      <c r="D181">
        <v>88</v>
      </c>
      <c r="E181">
        <f t="shared" si="4"/>
        <v>240</v>
      </c>
      <c r="F181">
        <f t="shared" si="5"/>
        <v>90</v>
      </c>
      <c r="G181" t="s">
        <v>328</v>
      </c>
      <c r="H181" t="s">
        <v>497</v>
      </c>
    </row>
    <row r="182" spans="1:8" x14ac:dyDescent="0.45">
      <c r="A182" t="s">
        <v>219</v>
      </c>
      <c r="B182">
        <v>78</v>
      </c>
      <c r="C182">
        <v>61</v>
      </c>
      <c r="D182">
        <v>63</v>
      </c>
      <c r="E182">
        <f t="shared" si="4"/>
        <v>202</v>
      </c>
      <c r="F182">
        <f t="shared" si="5"/>
        <v>78</v>
      </c>
      <c r="G182" t="s">
        <v>342</v>
      </c>
      <c r="H182" t="s">
        <v>498</v>
      </c>
    </row>
    <row r="183" spans="1:8" x14ac:dyDescent="0.45">
      <c r="A183" t="s">
        <v>437</v>
      </c>
      <c r="B183">
        <v>67</v>
      </c>
      <c r="C183">
        <v>64</v>
      </c>
      <c r="D183">
        <v>62</v>
      </c>
      <c r="E183">
        <f t="shared" si="4"/>
        <v>193</v>
      </c>
      <c r="F183">
        <f t="shared" si="5"/>
        <v>67</v>
      </c>
      <c r="G183" t="s">
        <v>330</v>
      </c>
      <c r="H183" t="s">
        <v>502</v>
      </c>
    </row>
    <row r="184" spans="1:8" x14ac:dyDescent="0.45">
      <c r="A184" t="s">
        <v>159</v>
      </c>
      <c r="B184">
        <v>60</v>
      </c>
      <c r="C184">
        <v>85</v>
      </c>
      <c r="D184">
        <v>71</v>
      </c>
      <c r="E184">
        <f t="shared" si="4"/>
        <v>216</v>
      </c>
      <c r="F184">
        <f t="shared" si="5"/>
        <v>85</v>
      </c>
      <c r="G184" t="s">
        <v>328</v>
      </c>
      <c r="H184" t="s">
        <v>499</v>
      </c>
    </row>
    <row r="185" spans="1:8" x14ac:dyDescent="0.45">
      <c r="A185" t="s">
        <v>158</v>
      </c>
      <c r="B185">
        <v>45</v>
      </c>
      <c r="C185">
        <v>90</v>
      </c>
      <c r="D185">
        <v>88</v>
      </c>
      <c r="E185">
        <f t="shared" si="4"/>
        <v>223</v>
      </c>
      <c r="F185">
        <f t="shared" si="5"/>
        <v>90</v>
      </c>
      <c r="G185" t="s">
        <v>328</v>
      </c>
      <c r="H185" t="s">
        <v>499</v>
      </c>
    </row>
    <row r="186" spans="1:8" x14ac:dyDescent="0.45">
      <c r="A186" t="s">
        <v>482</v>
      </c>
      <c r="B186">
        <v>70</v>
      </c>
      <c r="C186">
        <v>56</v>
      </c>
      <c r="D186">
        <v>51</v>
      </c>
      <c r="E186">
        <f t="shared" si="4"/>
        <v>177</v>
      </c>
      <c r="F186">
        <f t="shared" si="5"/>
        <v>70</v>
      </c>
      <c r="G186" t="s">
        <v>334</v>
      </c>
      <c r="H186" t="s">
        <v>502</v>
      </c>
    </row>
    <row r="187" spans="1:8" x14ac:dyDescent="0.45">
      <c r="A187" t="s">
        <v>142</v>
      </c>
      <c r="B187">
        <v>69</v>
      </c>
      <c r="C187">
        <v>81</v>
      </c>
      <c r="D187">
        <v>73</v>
      </c>
      <c r="E187">
        <f t="shared" si="4"/>
        <v>223</v>
      </c>
      <c r="F187">
        <f t="shared" si="5"/>
        <v>81</v>
      </c>
      <c r="G187" t="s">
        <v>330</v>
      </c>
      <c r="H187" t="s">
        <v>499</v>
      </c>
    </row>
    <row r="188" spans="1:8" x14ac:dyDescent="0.45">
      <c r="A188" t="s">
        <v>193</v>
      </c>
      <c r="B188">
        <v>75</v>
      </c>
      <c r="C188">
        <v>65</v>
      </c>
      <c r="D188">
        <v>70</v>
      </c>
      <c r="E188">
        <f t="shared" si="4"/>
        <v>210</v>
      </c>
      <c r="F188">
        <f t="shared" si="5"/>
        <v>75</v>
      </c>
      <c r="G188" t="s">
        <v>330</v>
      </c>
      <c r="H188" t="s">
        <v>498</v>
      </c>
    </row>
    <row r="189" spans="1:8" x14ac:dyDescent="0.45">
      <c r="A189" t="s">
        <v>165</v>
      </c>
      <c r="B189">
        <v>25</v>
      </c>
      <c r="C189">
        <v>90</v>
      </c>
      <c r="D189">
        <v>85</v>
      </c>
      <c r="E189">
        <f t="shared" si="4"/>
        <v>200</v>
      </c>
      <c r="F189">
        <f t="shared" si="5"/>
        <v>90</v>
      </c>
      <c r="G189" t="s">
        <v>326</v>
      </c>
      <c r="H189" t="s">
        <v>499</v>
      </c>
    </row>
    <row r="190" spans="1:8" x14ac:dyDescent="0.45">
      <c r="A190" t="s">
        <v>188</v>
      </c>
      <c r="B190">
        <v>55</v>
      </c>
      <c r="C190">
        <v>91</v>
      </c>
      <c r="D190">
        <v>46</v>
      </c>
      <c r="E190">
        <f t="shared" si="4"/>
        <v>192</v>
      </c>
      <c r="F190">
        <f t="shared" si="5"/>
        <v>91</v>
      </c>
      <c r="G190" t="s">
        <v>330</v>
      </c>
      <c r="H190" t="s">
        <v>499</v>
      </c>
    </row>
    <row r="191" spans="1:8" x14ac:dyDescent="0.45">
      <c r="A191" t="s">
        <v>408</v>
      </c>
      <c r="B191">
        <v>44</v>
      </c>
      <c r="C191">
        <v>100</v>
      </c>
      <c r="D191">
        <v>94</v>
      </c>
      <c r="E191">
        <f t="shared" si="4"/>
        <v>238</v>
      </c>
      <c r="F191">
        <f t="shared" si="5"/>
        <v>100</v>
      </c>
      <c r="G191" t="s">
        <v>320</v>
      </c>
      <c r="H191" t="s">
        <v>497</v>
      </c>
    </row>
    <row r="192" spans="1:8" x14ac:dyDescent="0.45">
      <c r="A192" t="s">
        <v>351</v>
      </c>
      <c r="B192">
        <v>60</v>
      </c>
      <c r="C192">
        <v>70</v>
      </c>
      <c r="D192">
        <v>51</v>
      </c>
      <c r="E192">
        <f t="shared" si="4"/>
        <v>181</v>
      </c>
      <c r="F192">
        <f t="shared" si="5"/>
        <v>70</v>
      </c>
      <c r="G192" t="s">
        <v>331</v>
      </c>
      <c r="H192" t="s">
        <v>502</v>
      </c>
    </row>
    <row r="193" spans="1:8" x14ac:dyDescent="0.45">
      <c r="A193" t="s">
        <v>445</v>
      </c>
      <c r="B193">
        <v>52</v>
      </c>
      <c r="C193">
        <v>54</v>
      </c>
      <c r="D193">
        <v>49</v>
      </c>
      <c r="E193">
        <f t="shared" si="4"/>
        <v>155</v>
      </c>
      <c r="F193">
        <f t="shared" si="5"/>
        <v>54</v>
      </c>
      <c r="G193" t="s">
        <v>342</v>
      </c>
      <c r="H193" t="s">
        <v>502</v>
      </c>
    </row>
    <row r="194" spans="1:8" x14ac:dyDescent="0.45">
      <c r="A194" t="s">
        <v>464</v>
      </c>
      <c r="B194">
        <v>68</v>
      </c>
      <c r="C194">
        <v>65</v>
      </c>
      <c r="D194">
        <v>65</v>
      </c>
      <c r="E194">
        <f t="shared" ref="E194:E257" si="6">SUM(B194:D194)</f>
        <v>198</v>
      </c>
      <c r="F194">
        <f t="shared" ref="F194:F261" si="7">MAX(B194:D194)</f>
        <v>68</v>
      </c>
      <c r="G194" t="s">
        <v>326</v>
      </c>
      <c r="H194" t="s">
        <v>502</v>
      </c>
    </row>
    <row r="195" spans="1:8" x14ac:dyDescent="0.45">
      <c r="A195" t="s">
        <v>386</v>
      </c>
      <c r="B195">
        <v>70</v>
      </c>
      <c r="C195">
        <v>57</v>
      </c>
      <c r="D195">
        <v>66</v>
      </c>
      <c r="E195">
        <f t="shared" si="6"/>
        <v>193</v>
      </c>
      <c r="F195">
        <f t="shared" si="7"/>
        <v>70</v>
      </c>
      <c r="G195" t="s">
        <v>323</v>
      </c>
      <c r="H195" t="s">
        <v>502</v>
      </c>
    </row>
    <row r="196" spans="1:8" x14ac:dyDescent="0.45">
      <c r="A196" t="s">
        <v>442</v>
      </c>
      <c r="B196">
        <v>60</v>
      </c>
      <c r="C196">
        <v>51</v>
      </c>
      <c r="D196">
        <v>54</v>
      </c>
      <c r="E196">
        <f t="shared" si="6"/>
        <v>165</v>
      </c>
      <c r="F196">
        <f t="shared" si="7"/>
        <v>60</v>
      </c>
      <c r="G196" t="s">
        <v>326</v>
      </c>
      <c r="H196" t="s">
        <v>502</v>
      </c>
    </row>
    <row r="197" spans="1:8" x14ac:dyDescent="0.45">
      <c r="A197" t="s">
        <v>220</v>
      </c>
      <c r="B197">
        <v>15</v>
      </c>
      <c r="C197">
        <v>78</v>
      </c>
      <c r="D197">
        <v>13</v>
      </c>
      <c r="E197">
        <f t="shared" si="6"/>
        <v>106</v>
      </c>
      <c r="F197">
        <f t="shared" si="7"/>
        <v>78</v>
      </c>
      <c r="G197" t="s">
        <v>326</v>
      </c>
      <c r="H197" t="s">
        <v>498</v>
      </c>
    </row>
    <row r="198" spans="1:8" x14ac:dyDescent="0.45">
      <c r="A198" t="s">
        <v>359</v>
      </c>
      <c r="B198">
        <v>98</v>
      </c>
      <c r="C198">
        <v>84</v>
      </c>
      <c r="D198">
        <v>87</v>
      </c>
      <c r="E198">
        <f t="shared" si="6"/>
        <v>269</v>
      </c>
      <c r="F198">
        <f t="shared" si="7"/>
        <v>98</v>
      </c>
      <c r="G198" t="s">
        <v>320</v>
      </c>
      <c r="H198" t="s">
        <v>497</v>
      </c>
    </row>
    <row r="199" spans="1:8" x14ac:dyDescent="0.45">
      <c r="A199" t="s">
        <v>145</v>
      </c>
      <c r="B199">
        <v>80</v>
      </c>
      <c r="C199">
        <v>62</v>
      </c>
      <c r="D199">
        <v>79</v>
      </c>
      <c r="E199">
        <f t="shared" si="6"/>
        <v>221</v>
      </c>
      <c r="F199">
        <f t="shared" si="7"/>
        <v>80</v>
      </c>
      <c r="G199" t="s">
        <v>326</v>
      </c>
      <c r="H199" t="s">
        <v>499</v>
      </c>
    </row>
    <row r="200" spans="1:8" x14ac:dyDescent="0.45">
      <c r="A200" t="s">
        <v>345</v>
      </c>
      <c r="B200">
        <v>63</v>
      </c>
      <c r="C200">
        <v>25</v>
      </c>
      <c r="D200">
        <v>57</v>
      </c>
      <c r="E200">
        <f t="shared" si="6"/>
        <v>145</v>
      </c>
      <c r="F200">
        <f t="shared" si="7"/>
        <v>63</v>
      </c>
      <c r="G200" t="s">
        <v>342</v>
      </c>
      <c r="H200" t="s">
        <v>501</v>
      </c>
    </row>
    <row r="201" spans="1:8" x14ac:dyDescent="0.45">
      <c r="A201" t="s">
        <v>325</v>
      </c>
      <c r="B201">
        <v>75</v>
      </c>
      <c r="C201">
        <v>94</v>
      </c>
      <c r="D201">
        <v>98</v>
      </c>
      <c r="E201">
        <f t="shared" si="6"/>
        <v>267</v>
      </c>
      <c r="F201">
        <f t="shared" si="7"/>
        <v>98</v>
      </c>
      <c r="G201" t="s">
        <v>326</v>
      </c>
      <c r="H201" t="s">
        <v>497</v>
      </c>
    </row>
    <row r="202" spans="1:8" x14ac:dyDescent="0.45">
      <c r="A202" t="s">
        <v>223</v>
      </c>
      <c r="B202">
        <v>74</v>
      </c>
      <c r="C202">
        <v>66</v>
      </c>
      <c r="D202">
        <v>88</v>
      </c>
      <c r="E202">
        <f t="shared" si="6"/>
        <v>228</v>
      </c>
      <c r="F202">
        <f t="shared" si="7"/>
        <v>88</v>
      </c>
      <c r="G202" t="s">
        <v>326</v>
      </c>
      <c r="H202" t="s">
        <v>499</v>
      </c>
    </row>
    <row r="203" spans="1:8" x14ac:dyDescent="0.45">
      <c r="A203" t="s">
        <v>214</v>
      </c>
      <c r="B203">
        <v>81</v>
      </c>
      <c r="C203">
        <v>42</v>
      </c>
      <c r="D203">
        <v>93</v>
      </c>
      <c r="E203">
        <f t="shared" si="6"/>
        <v>216</v>
      </c>
      <c r="F203">
        <f t="shared" si="7"/>
        <v>93</v>
      </c>
      <c r="G203" t="s">
        <v>326</v>
      </c>
      <c r="H203" t="s">
        <v>499</v>
      </c>
    </row>
    <row r="204" spans="1:8" x14ac:dyDescent="0.45">
      <c r="A204" t="s">
        <v>344</v>
      </c>
      <c r="B204">
        <v>52</v>
      </c>
      <c r="C204">
        <v>24</v>
      </c>
      <c r="D204">
        <v>52</v>
      </c>
      <c r="E204">
        <f t="shared" si="6"/>
        <v>128</v>
      </c>
      <c r="F204">
        <f t="shared" si="7"/>
        <v>52</v>
      </c>
      <c r="G204" t="s">
        <v>336</v>
      </c>
      <c r="H204" t="s">
        <v>501</v>
      </c>
    </row>
    <row r="205" spans="1:8" x14ac:dyDescent="0.45">
      <c r="A205" t="s">
        <v>473</v>
      </c>
      <c r="B205">
        <v>55</v>
      </c>
      <c r="C205">
        <v>47</v>
      </c>
      <c r="D205">
        <v>41</v>
      </c>
      <c r="E205">
        <f t="shared" si="6"/>
        <v>143</v>
      </c>
      <c r="F205">
        <f t="shared" si="7"/>
        <v>55</v>
      </c>
      <c r="G205" t="s">
        <v>334</v>
      </c>
      <c r="H205" t="s">
        <v>501</v>
      </c>
    </row>
    <row r="206" spans="1:8" x14ac:dyDescent="0.45">
      <c r="A206" t="s">
        <v>146</v>
      </c>
      <c r="B206">
        <v>74</v>
      </c>
      <c r="C206">
        <v>47</v>
      </c>
      <c r="D206">
        <v>74</v>
      </c>
      <c r="E206">
        <f t="shared" si="6"/>
        <v>195</v>
      </c>
      <c r="F206">
        <f t="shared" si="7"/>
        <v>74</v>
      </c>
      <c r="G206" t="s">
        <v>326</v>
      </c>
      <c r="H206" t="s">
        <v>498</v>
      </c>
    </row>
    <row r="207" spans="1:8" x14ac:dyDescent="0.45">
      <c r="A207" t="s">
        <v>215</v>
      </c>
      <c r="B207">
        <v>72</v>
      </c>
      <c r="C207">
        <v>65</v>
      </c>
      <c r="D207">
        <v>72</v>
      </c>
      <c r="E207">
        <f t="shared" si="6"/>
        <v>209</v>
      </c>
      <c r="F207">
        <f t="shared" si="7"/>
        <v>72</v>
      </c>
      <c r="G207" t="s">
        <v>326</v>
      </c>
      <c r="H207" t="s">
        <v>498</v>
      </c>
    </row>
    <row r="208" spans="1:8" x14ac:dyDescent="0.45">
      <c r="A208" t="s">
        <v>479</v>
      </c>
      <c r="B208">
        <v>51</v>
      </c>
      <c r="C208">
        <v>68</v>
      </c>
      <c r="D208">
        <v>32</v>
      </c>
      <c r="E208">
        <f t="shared" si="6"/>
        <v>151</v>
      </c>
      <c r="F208">
        <f t="shared" si="7"/>
        <v>68</v>
      </c>
      <c r="G208" t="s">
        <v>342</v>
      </c>
      <c r="H208" t="s">
        <v>502</v>
      </c>
    </row>
    <row r="209" spans="1:8" x14ac:dyDescent="0.45">
      <c r="A209" t="s">
        <v>472</v>
      </c>
      <c r="B209">
        <v>66</v>
      </c>
      <c r="C209">
        <v>53</v>
      </c>
      <c r="D209">
        <v>61</v>
      </c>
      <c r="E209">
        <f t="shared" si="6"/>
        <v>180</v>
      </c>
      <c r="F209">
        <f t="shared" si="7"/>
        <v>66</v>
      </c>
      <c r="G209" t="s">
        <v>323</v>
      </c>
      <c r="H209" t="s">
        <v>502</v>
      </c>
    </row>
    <row r="210" spans="1:8" x14ac:dyDescent="0.45">
      <c r="A210" t="s">
        <v>157</v>
      </c>
      <c r="B210">
        <v>70</v>
      </c>
      <c r="C210">
        <v>62</v>
      </c>
      <c r="D210">
        <v>70</v>
      </c>
      <c r="E210">
        <f t="shared" si="6"/>
        <v>202</v>
      </c>
      <c r="F210">
        <f t="shared" si="7"/>
        <v>70</v>
      </c>
      <c r="G210" t="s">
        <v>347</v>
      </c>
      <c r="H210" t="s">
        <v>498</v>
      </c>
    </row>
    <row r="211" spans="1:8" x14ac:dyDescent="0.45">
      <c r="A211" t="s">
        <v>172</v>
      </c>
      <c r="B211">
        <v>74</v>
      </c>
      <c r="C211">
        <v>35</v>
      </c>
      <c r="D211">
        <v>69</v>
      </c>
      <c r="E211">
        <f t="shared" si="6"/>
        <v>178</v>
      </c>
      <c r="F211">
        <f t="shared" si="7"/>
        <v>74</v>
      </c>
      <c r="G211" t="s">
        <v>326</v>
      </c>
      <c r="H211" t="s">
        <v>498</v>
      </c>
    </row>
    <row r="212" spans="1:8" x14ac:dyDescent="0.45">
      <c r="A212" t="s">
        <v>423</v>
      </c>
      <c r="B212">
        <v>75</v>
      </c>
      <c r="C212">
        <v>95</v>
      </c>
      <c r="D212">
        <v>88</v>
      </c>
      <c r="E212">
        <f t="shared" si="6"/>
        <v>258</v>
      </c>
      <c r="F212">
        <f t="shared" si="7"/>
        <v>95</v>
      </c>
      <c r="G212" t="s">
        <v>330</v>
      </c>
      <c r="H212" t="s">
        <v>497</v>
      </c>
    </row>
    <row r="213" spans="1:8" x14ac:dyDescent="0.45">
      <c r="A213" t="s">
        <v>190</v>
      </c>
      <c r="B213">
        <v>85</v>
      </c>
      <c r="C213">
        <v>40</v>
      </c>
      <c r="D213">
        <v>82</v>
      </c>
      <c r="E213">
        <f t="shared" si="6"/>
        <v>207</v>
      </c>
      <c r="F213">
        <f t="shared" si="7"/>
        <v>85</v>
      </c>
      <c r="G213" t="s">
        <v>320</v>
      </c>
      <c r="H213" t="s">
        <v>499</v>
      </c>
    </row>
    <row r="214" spans="1:8" x14ac:dyDescent="0.45">
      <c r="A214" t="s">
        <v>192</v>
      </c>
      <c r="B214">
        <v>87</v>
      </c>
      <c r="C214">
        <v>53</v>
      </c>
      <c r="D214">
        <v>78</v>
      </c>
      <c r="E214">
        <f t="shared" si="6"/>
        <v>218</v>
      </c>
      <c r="F214">
        <f t="shared" si="7"/>
        <v>87</v>
      </c>
      <c r="G214" t="s">
        <v>330</v>
      </c>
      <c r="H214" t="s">
        <v>499</v>
      </c>
    </row>
    <row r="215" spans="1:8" x14ac:dyDescent="0.45">
      <c r="A215" t="s">
        <v>196</v>
      </c>
      <c r="B215">
        <v>20</v>
      </c>
      <c r="C215">
        <v>74</v>
      </c>
      <c r="D215">
        <v>18</v>
      </c>
      <c r="E215">
        <f t="shared" si="6"/>
        <v>112</v>
      </c>
      <c r="F215">
        <f t="shared" si="7"/>
        <v>74</v>
      </c>
      <c r="G215" t="s">
        <v>326</v>
      </c>
      <c r="H215" t="s">
        <v>498</v>
      </c>
    </row>
    <row r="216" spans="1:8" x14ac:dyDescent="0.45">
      <c r="A216" t="s">
        <v>378</v>
      </c>
      <c r="B216">
        <v>54</v>
      </c>
      <c r="C216">
        <v>80</v>
      </c>
      <c r="D216">
        <v>85</v>
      </c>
      <c r="E216">
        <f t="shared" si="6"/>
        <v>219</v>
      </c>
      <c r="F216">
        <f t="shared" si="7"/>
        <v>85</v>
      </c>
      <c r="G216" t="s">
        <v>323</v>
      </c>
      <c r="H216" t="s">
        <v>232</v>
      </c>
    </row>
    <row r="217" spans="1:8" x14ac:dyDescent="0.45">
      <c r="A217" t="s">
        <v>374</v>
      </c>
      <c r="B217">
        <v>68</v>
      </c>
      <c r="C217">
        <v>42</v>
      </c>
      <c r="D217">
        <v>62</v>
      </c>
      <c r="E217">
        <f t="shared" si="6"/>
        <v>172</v>
      </c>
      <c r="F217">
        <f t="shared" si="7"/>
        <v>68</v>
      </c>
      <c r="G217" t="s">
        <v>323</v>
      </c>
      <c r="H217" t="s">
        <v>502</v>
      </c>
    </row>
    <row r="218" spans="1:8" x14ac:dyDescent="0.45">
      <c r="A218" t="s">
        <v>369</v>
      </c>
      <c r="B218">
        <v>36</v>
      </c>
      <c r="C218">
        <v>70</v>
      </c>
      <c r="D218">
        <v>25</v>
      </c>
      <c r="E218">
        <f t="shared" si="6"/>
        <v>131</v>
      </c>
      <c r="F218">
        <f t="shared" si="7"/>
        <v>70</v>
      </c>
      <c r="G218" t="s">
        <v>320</v>
      </c>
      <c r="H218" t="s">
        <v>502</v>
      </c>
    </row>
    <row r="219" spans="1:8" x14ac:dyDescent="0.45">
      <c r="A219" t="s">
        <v>174</v>
      </c>
      <c r="B219">
        <v>23</v>
      </c>
      <c r="C219">
        <v>80</v>
      </c>
      <c r="D219">
        <v>55</v>
      </c>
      <c r="E219">
        <f t="shared" si="6"/>
        <v>158</v>
      </c>
      <c r="F219">
        <f t="shared" si="7"/>
        <v>80</v>
      </c>
      <c r="G219" t="s">
        <v>328</v>
      </c>
      <c r="H219" t="s">
        <v>498</v>
      </c>
    </row>
    <row r="220" spans="1:8" x14ac:dyDescent="0.45">
      <c r="A220" t="s">
        <v>439</v>
      </c>
      <c r="B220">
        <v>69</v>
      </c>
      <c r="C220">
        <v>55</v>
      </c>
      <c r="D220">
        <v>58</v>
      </c>
      <c r="E220">
        <f t="shared" si="6"/>
        <v>182</v>
      </c>
      <c r="F220">
        <f t="shared" si="7"/>
        <v>69</v>
      </c>
      <c r="G220" t="s">
        <v>330</v>
      </c>
      <c r="H220" t="s">
        <v>502</v>
      </c>
    </row>
    <row r="221" spans="1:8" x14ac:dyDescent="0.45">
      <c r="A221" t="s">
        <v>403</v>
      </c>
      <c r="B221">
        <v>65</v>
      </c>
      <c r="C221">
        <v>14</v>
      </c>
      <c r="D221">
        <v>51</v>
      </c>
      <c r="E221">
        <f t="shared" si="6"/>
        <v>130</v>
      </c>
      <c r="F221">
        <f t="shared" si="7"/>
        <v>65</v>
      </c>
      <c r="G221" t="s">
        <v>342</v>
      </c>
      <c r="H221" t="s">
        <v>501</v>
      </c>
    </row>
    <row r="222" spans="1:8" x14ac:dyDescent="0.45">
      <c r="A222" t="s">
        <v>461</v>
      </c>
      <c r="B222">
        <v>67</v>
      </c>
      <c r="C222">
        <v>28</v>
      </c>
      <c r="D222">
        <v>60</v>
      </c>
      <c r="E222">
        <f t="shared" si="6"/>
        <v>155</v>
      </c>
      <c r="F222">
        <f t="shared" si="7"/>
        <v>67</v>
      </c>
      <c r="G222" t="s">
        <v>320</v>
      </c>
      <c r="H222" t="s">
        <v>502</v>
      </c>
    </row>
    <row r="223" spans="1:8" x14ac:dyDescent="0.45">
      <c r="A223" t="s">
        <v>446</v>
      </c>
      <c r="B223">
        <v>63</v>
      </c>
      <c r="C223">
        <v>20</v>
      </c>
      <c r="D223">
        <v>53</v>
      </c>
      <c r="E223">
        <f t="shared" si="6"/>
        <v>136</v>
      </c>
      <c r="F223">
        <f t="shared" si="7"/>
        <v>63</v>
      </c>
      <c r="G223" t="s">
        <v>342</v>
      </c>
      <c r="H223" t="s">
        <v>501</v>
      </c>
    </row>
    <row r="224" spans="1:8" x14ac:dyDescent="0.45">
      <c r="A224" t="s">
        <v>475</v>
      </c>
      <c r="B224">
        <v>58</v>
      </c>
      <c r="C224">
        <v>54</v>
      </c>
      <c r="D224">
        <v>53</v>
      </c>
      <c r="E224">
        <f t="shared" si="6"/>
        <v>165</v>
      </c>
      <c r="F224">
        <f t="shared" si="7"/>
        <v>58</v>
      </c>
      <c r="G224" t="s">
        <v>321</v>
      </c>
      <c r="H224" t="s">
        <v>502</v>
      </c>
    </row>
    <row r="225" spans="1:8" x14ac:dyDescent="0.45">
      <c r="A225" t="s">
        <v>361</v>
      </c>
      <c r="B225">
        <v>35</v>
      </c>
      <c r="C225">
        <v>65</v>
      </c>
      <c r="D225">
        <v>32</v>
      </c>
      <c r="E225">
        <f t="shared" si="6"/>
        <v>132</v>
      </c>
      <c r="F225">
        <f t="shared" si="7"/>
        <v>65</v>
      </c>
      <c r="G225" t="s">
        <v>328</v>
      </c>
      <c r="H225" t="s">
        <v>501</v>
      </c>
    </row>
    <row r="226" spans="1:8" x14ac:dyDescent="0.45">
      <c r="A226" t="s">
        <v>168</v>
      </c>
      <c r="B226">
        <v>72</v>
      </c>
      <c r="C226">
        <v>60</v>
      </c>
      <c r="D226">
        <v>70</v>
      </c>
      <c r="E226">
        <f t="shared" si="6"/>
        <v>202</v>
      </c>
      <c r="F226">
        <f t="shared" si="7"/>
        <v>72</v>
      </c>
      <c r="G226" t="s">
        <v>326</v>
      </c>
      <c r="H226" t="s">
        <v>498</v>
      </c>
    </row>
    <row r="227" spans="1:8" x14ac:dyDescent="0.45">
      <c r="A227" t="s">
        <v>181</v>
      </c>
      <c r="B227">
        <v>70</v>
      </c>
      <c r="C227">
        <v>68</v>
      </c>
      <c r="D227">
        <v>67</v>
      </c>
      <c r="E227">
        <f t="shared" si="6"/>
        <v>205</v>
      </c>
      <c r="F227">
        <f t="shared" si="7"/>
        <v>70</v>
      </c>
      <c r="G227" t="s">
        <v>347</v>
      </c>
      <c r="H227" t="s">
        <v>498</v>
      </c>
    </row>
    <row r="228" spans="1:8" x14ac:dyDescent="0.45">
      <c r="A228" t="s">
        <v>430</v>
      </c>
      <c r="B228">
        <v>53</v>
      </c>
      <c r="C228">
        <v>39</v>
      </c>
      <c r="D228">
        <v>40</v>
      </c>
      <c r="E228">
        <f t="shared" si="6"/>
        <v>132</v>
      </c>
      <c r="F228">
        <f t="shared" si="7"/>
        <v>53</v>
      </c>
      <c r="G228" t="s">
        <v>326</v>
      </c>
      <c r="H228" t="s">
        <v>501</v>
      </c>
    </row>
    <row r="229" spans="1:8" x14ac:dyDescent="0.45">
      <c r="A229" t="s">
        <v>431</v>
      </c>
      <c r="B229">
        <v>51</v>
      </c>
      <c r="C229">
        <v>36</v>
      </c>
      <c r="D229">
        <v>30</v>
      </c>
      <c r="E229">
        <f t="shared" si="6"/>
        <v>117</v>
      </c>
      <c r="F229">
        <f t="shared" si="7"/>
        <v>51</v>
      </c>
      <c r="G229" t="s">
        <v>326</v>
      </c>
      <c r="H229" t="s">
        <v>501</v>
      </c>
    </row>
    <row r="230" spans="1:8" x14ac:dyDescent="0.45">
      <c r="A230" t="s">
        <v>438</v>
      </c>
      <c r="B230">
        <v>65</v>
      </c>
      <c r="C230">
        <v>56</v>
      </c>
      <c r="D230">
        <v>63</v>
      </c>
      <c r="E230">
        <f t="shared" si="6"/>
        <v>184</v>
      </c>
      <c r="F230">
        <f t="shared" si="7"/>
        <v>65</v>
      </c>
      <c r="G230" t="s">
        <v>342</v>
      </c>
      <c r="H230" t="s">
        <v>502</v>
      </c>
    </row>
    <row r="231" spans="1:8" x14ac:dyDescent="0.45">
      <c r="A231" t="s">
        <v>419</v>
      </c>
      <c r="B231">
        <v>65</v>
      </c>
      <c r="C231">
        <v>34</v>
      </c>
      <c r="D231">
        <v>61</v>
      </c>
      <c r="E231">
        <f t="shared" si="6"/>
        <v>160</v>
      </c>
      <c r="F231">
        <f t="shared" si="7"/>
        <v>65</v>
      </c>
      <c r="G231" t="s">
        <v>328</v>
      </c>
      <c r="H231" t="s">
        <v>502</v>
      </c>
    </row>
    <row r="232" spans="1:8" x14ac:dyDescent="0.45">
      <c r="A232" t="s">
        <v>228</v>
      </c>
      <c r="B232">
        <v>82</v>
      </c>
      <c r="C232">
        <v>32</v>
      </c>
      <c r="D232">
        <v>66</v>
      </c>
      <c r="E232">
        <f t="shared" si="6"/>
        <v>180</v>
      </c>
      <c r="F232">
        <f t="shared" si="7"/>
        <v>82</v>
      </c>
      <c r="G232" t="s">
        <v>342</v>
      </c>
      <c r="H232" t="s">
        <v>498</v>
      </c>
    </row>
    <row r="233" spans="1:8" x14ac:dyDescent="0.45">
      <c r="A233" t="s">
        <v>427</v>
      </c>
      <c r="B233">
        <v>94</v>
      </c>
      <c r="C233">
        <v>67</v>
      </c>
      <c r="D233">
        <v>81</v>
      </c>
      <c r="E233">
        <f t="shared" si="6"/>
        <v>242</v>
      </c>
      <c r="F233">
        <f t="shared" si="7"/>
        <v>94</v>
      </c>
      <c r="G233" t="s">
        <v>330</v>
      </c>
      <c r="H233" t="s">
        <v>497</v>
      </c>
    </row>
    <row r="234" spans="1:8" x14ac:dyDescent="0.45">
      <c r="A234" t="s">
        <v>429</v>
      </c>
      <c r="B234">
        <v>34</v>
      </c>
      <c r="C234">
        <v>62</v>
      </c>
      <c r="D234">
        <v>30</v>
      </c>
      <c r="E234">
        <f t="shared" si="6"/>
        <v>126</v>
      </c>
      <c r="F234">
        <f t="shared" si="7"/>
        <v>62</v>
      </c>
      <c r="G234" t="s">
        <v>326</v>
      </c>
      <c r="H234" t="s">
        <v>501</v>
      </c>
    </row>
    <row r="235" spans="1:8" x14ac:dyDescent="0.45">
      <c r="A235" t="s">
        <v>421</v>
      </c>
      <c r="B235">
        <v>72</v>
      </c>
      <c r="C235">
        <v>31</v>
      </c>
      <c r="D235">
        <v>55</v>
      </c>
      <c r="E235">
        <f t="shared" si="6"/>
        <v>158</v>
      </c>
      <c r="F235">
        <f t="shared" si="7"/>
        <v>72</v>
      </c>
      <c r="G235" t="s">
        <v>326</v>
      </c>
      <c r="H235" t="s">
        <v>502</v>
      </c>
    </row>
    <row r="236" spans="1:8" x14ac:dyDescent="0.45">
      <c r="A236" t="s">
        <v>463</v>
      </c>
      <c r="B236">
        <v>69</v>
      </c>
      <c r="C236">
        <v>59</v>
      </c>
      <c r="D236">
        <v>67</v>
      </c>
      <c r="E236">
        <f t="shared" si="6"/>
        <v>195</v>
      </c>
      <c r="F236">
        <f t="shared" si="7"/>
        <v>69</v>
      </c>
      <c r="G236" t="s">
        <v>326</v>
      </c>
      <c r="H236" t="s">
        <v>502</v>
      </c>
    </row>
    <row r="237" spans="1:8" x14ac:dyDescent="0.45">
      <c r="A237" t="s">
        <v>337</v>
      </c>
      <c r="B237">
        <v>95</v>
      </c>
      <c r="C237">
        <v>60</v>
      </c>
      <c r="D237">
        <v>87</v>
      </c>
      <c r="E237">
        <f t="shared" si="6"/>
        <v>242</v>
      </c>
      <c r="F237">
        <f t="shared" si="7"/>
        <v>95</v>
      </c>
      <c r="G237" t="s">
        <v>326</v>
      </c>
      <c r="H237" t="s">
        <v>497</v>
      </c>
    </row>
    <row r="238" spans="1:8" x14ac:dyDescent="0.45">
      <c r="A238" t="s">
        <v>409</v>
      </c>
      <c r="B238">
        <v>72</v>
      </c>
      <c r="C238">
        <v>53</v>
      </c>
      <c r="D238">
        <v>70</v>
      </c>
      <c r="E238">
        <f t="shared" si="6"/>
        <v>195</v>
      </c>
      <c r="F238">
        <f t="shared" si="7"/>
        <v>72</v>
      </c>
      <c r="G238" t="s">
        <v>326</v>
      </c>
      <c r="H238" t="s">
        <v>502</v>
      </c>
    </row>
    <row r="239" spans="1:8" x14ac:dyDescent="0.45">
      <c r="A239" t="s">
        <v>462</v>
      </c>
      <c r="B239">
        <v>70</v>
      </c>
      <c r="C239">
        <v>60</v>
      </c>
      <c r="D239">
        <v>68</v>
      </c>
      <c r="E239">
        <f t="shared" si="6"/>
        <v>198</v>
      </c>
      <c r="F239">
        <f t="shared" si="7"/>
        <v>70</v>
      </c>
      <c r="G239" t="s">
        <v>326</v>
      </c>
      <c r="H239" t="s">
        <v>502</v>
      </c>
    </row>
    <row r="240" spans="1:8" x14ac:dyDescent="0.45">
      <c r="A240" t="s">
        <v>144</v>
      </c>
      <c r="B240">
        <v>90</v>
      </c>
      <c r="C240">
        <v>52</v>
      </c>
      <c r="D240">
        <v>86</v>
      </c>
      <c r="E240">
        <f t="shared" si="6"/>
        <v>228</v>
      </c>
      <c r="F240">
        <f t="shared" si="7"/>
        <v>90</v>
      </c>
      <c r="G240" t="s">
        <v>326</v>
      </c>
      <c r="H240" t="s">
        <v>499</v>
      </c>
    </row>
    <row r="241" spans="1:8" x14ac:dyDescent="0.45">
      <c r="A241" t="s">
        <v>416</v>
      </c>
      <c r="B241">
        <v>60</v>
      </c>
      <c r="C241">
        <v>62</v>
      </c>
      <c r="D241">
        <v>58</v>
      </c>
      <c r="E241">
        <f t="shared" si="6"/>
        <v>180</v>
      </c>
      <c r="F241">
        <f t="shared" si="7"/>
        <v>62</v>
      </c>
      <c r="G241" t="s">
        <v>326</v>
      </c>
      <c r="H241" t="s">
        <v>502</v>
      </c>
    </row>
    <row r="242" spans="1:8" x14ac:dyDescent="0.45">
      <c r="A242" t="s">
        <v>385</v>
      </c>
      <c r="B242">
        <v>60</v>
      </c>
      <c r="C242">
        <v>51</v>
      </c>
      <c r="D242">
        <v>46</v>
      </c>
      <c r="E242">
        <f t="shared" si="6"/>
        <v>157</v>
      </c>
      <c r="F242">
        <f t="shared" si="7"/>
        <v>60</v>
      </c>
      <c r="G242" t="s">
        <v>323</v>
      </c>
      <c r="H242" t="s">
        <v>502</v>
      </c>
    </row>
    <row r="243" spans="1:8" x14ac:dyDescent="0.45">
      <c r="A243" t="s">
        <v>224</v>
      </c>
      <c r="B243">
        <v>68</v>
      </c>
      <c r="C243">
        <v>88</v>
      </c>
      <c r="D243">
        <v>91</v>
      </c>
      <c r="E243">
        <f t="shared" si="6"/>
        <v>247</v>
      </c>
      <c r="F243">
        <f t="shared" si="7"/>
        <v>91</v>
      </c>
      <c r="G243" t="s">
        <v>326</v>
      </c>
      <c r="H243" t="s">
        <v>499</v>
      </c>
    </row>
    <row r="244" spans="1:8" x14ac:dyDescent="0.45">
      <c r="A244" t="s">
        <v>355</v>
      </c>
      <c r="B244">
        <v>60</v>
      </c>
      <c r="C244">
        <v>42</v>
      </c>
      <c r="D244">
        <v>59</v>
      </c>
      <c r="E244">
        <f t="shared" si="6"/>
        <v>161</v>
      </c>
      <c r="F244">
        <f t="shared" si="7"/>
        <v>60</v>
      </c>
      <c r="G244" t="s">
        <v>330</v>
      </c>
      <c r="H244" t="s">
        <v>502</v>
      </c>
    </row>
    <row r="245" spans="1:8" x14ac:dyDescent="0.45">
      <c r="A245" t="s">
        <v>394</v>
      </c>
      <c r="B245">
        <v>65</v>
      </c>
      <c r="C245">
        <v>43</v>
      </c>
      <c r="D245">
        <v>61</v>
      </c>
      <c r="E245">
        <f t="shared" si="6"/>
        <v>169</v>
      </c>
      <c r="F245">
        <f t="shared" si="7"/>
        <v>65</v>
      </c>
      <c r="G245" t="s">
        <v>328</v>
      </c>
      <c r="H245" t="s">
        <v>502</v>
      </c>
    </row>
    <row r="246" spans="1:8" x14ac:dyDescent="0.45">
      <c r="A246" t="s">
        <v>494</v>
      </c>
      <c r="B246">
        <v>56</v>
      </c>
      <c r="C246">
        <v>38</v>
      </c>
      <c r="D246">
        <v>45</v>
      </c>
      <c r="E246">
        <f t="shared" si="6"/>
        <v>139</v>
      </c>
      <c r="F246">
        <f t="shared" si="7"/>
        <v>56</v>
      </c>
      <c r="G246" t="s">
        <v>347</v>
      </c>
      <c r="H246" t="s">
        <v>501</v>
      </c>
    </row>
    <row r="247" spans="1:8" x14ac:dyDescent="0.45">
      <c r="A247" t="s">
        <v>486</v>
      </c>
      <c r="B247">
        <v>61</v>
      </c>
      <c r="C247">
        <v>44</v>
      </c>
      <c r="D247">
        <v>55</v>
      </c>
      <c r="E247">
        <f t="shared" si="6"/>
        <v>160</v>
      </c>
      <c r="F247">
        <f t="shared" si="7"/>
        <v>61</v>
      </c>
      <c r="G247" t="s">
        <v>321</v>
      </c>
      <c r="H247" t="s">
        <v>502</v>
      </c>
    </row>
    <row r="248" spans="1:8" x14ac:dyDescent="0.45">
      <c r="A248" t="s">
        <v>410</v>
      </c>
      <c r="B248">
        <v>62</v>
      </c>
      <c r="C248">
        <v>45</v>
      </c>
      <c r="D248">
        <v>59</v>
      </c>
      <c r="E248">
        <f t="shared" si="6"/>
        <v>166</v>
      </c>
      <c r="F248">
        <f t="shared" si="7"/>
        <v>62</v>
      </c>
      <c r="G248" t="s">
        <v>326</v>
      </c>
      <c r="H248" t="s">
        <v>502</v>
      </c>
    </row>
    <row r="249" spans="1:8" x14ac:dyDescent="0.45">
      <c r="A249" t="s">
        <v>449</v>
      </c>
      <c r="B249">
        <v>57</v>
      </c>
      <c r="C249">
        <v>35</v>
      </c>
      <c r="D249">
        <v>46</v>
      </c>
      <c r="E249">
        <f t="shared" si="6"/>
        <v>138</v>
      </c>
      <c r="F249">
        <f t="shared" si="7"/>
        <v>57</v>
      </c>
      <c r="G249" t="s">
        <v>342</v>
      </c>
      <c r="H249" t="s">
        <v>501</v>
      </c>
    </row>
    <row r="250" spans="1:8" x14ac:dyDescent="0.45">
      <c r="A250" t="s">
        <v>167</v>
      </c>
      <c r="B250">
        <v>23</v>
      </c>
      <c r="C250">
        <v>78</v>
      </c>
      <c r="D250">
        <v>20</v>
      </c>
      <c r="E250">
        <f t="shared" si="6"/>
        <v>121</v>
      </c>
      <c r="F250">
        <f t="shared" si="7"/>
        <v>78</v>
      </c>
      <c r="G250" t="s">
        <v>323</v>
      </c>
      <c r="H250" t="s">
        <v>498</v>
      </c>
    </row>
    <row r="251" spans="1:8" x14ac:dyDescent="0.45">
      <c r="A251" t="s">
        <v>360</v>
      </c>
      <c r="B251">
        <v>45</v>
      </c>
      <c r="C251">
        <v>61</v>
      </c>
      <c r="D251">
        <v>40</v>
      </c>
      <c r="E251">
        <f t="shared" si="6"/>
        <v>146</v>
      </c>
      <c r="F251">
        <f t="shared" si="7"/>
        <v>61</v>
      </c>
      <c r="G251" t="s">
        <v>328</v>
      </c>
      <c r="H251" t="s">
        <v>501</v>
      </c>
    </row>
    <row r="252" spans="1:8" x14ac:dyDescent="0.45">
      <c r="A252" t="s">
        <v>371</v>
      </c>
      <c r="B252">
        <v>97</v>
      </c>
      <c r="C252">
        <v>25</v>
      </c>
      <c r="D252">
        <v>94</v>
      </c>
      <c r="E252">
        <f t="shared" si="6"/>
        <v>216</v>
      </c>
      <c r="F252">
        <f t="shared" si="7"/>
        <v>97</v>
      </c>
      <c r="G252" t="s">
        <v>326</v>
      </c>
      <c r="H252" t="s">
        <v>497</v>
      </c>
    </row>
    <row r="253" spans="1:8" x14ac:dyDescent="0.45">
      <c r="A253" t="s">
        <v>534</v>
      </c>
      <c r="B253">
        <v>1</v>
      </c>
      <c r="C253">
        <v>1</v>
      </c>
      <c r="D253">
        <v>1</v>
      </c>
      <c r="E253">
        <f t="shared" si="6"/>
        <v>3</v>
      </c>
      <c r="F253">
        <f t="shared" si="7"/>
        <v>1</v>
      </c>
      <c r="G253" t="s">
        <v>535</v>
      </c>
      <c r="H253" t="s">
        <v>536</v>
      </c>
    </row>
    <row r="254" spans="1:8" x14ac:dyDescent="0.45">
      <c r="A254" t="s">
        <v>199</v>
      </c>
      <c r="B254">
        <v>78</v>
      </c>
      <c r="C254">
        <v>30</v>
      </c>
      <c r="D254">
        <v>70</v>
      </c>
      <c r="E254">
        <f t="shared" si="6"/>
        <v>178</v>
      </c>
      <c r="F254">
        <f t="shared" si="7"/>
        <v>78</v>
      </c>
      <c r="G254" t="s">
        <v>342</v>
      </c>
      <c r="H254" t="s">
        <v>498</v>
      </c>
    </row>
    <row r="255" spans="1:8" x14ac:dyDescent="0.45">
      <c r="A255" t="s">
        <v>339</v>
      </c>
      <c r="B255">
        <v>58</v>
      </c>
      <c r="C255">
        <v>30</v>
      </c>
      <c r="D255">
        <v>37</v>
      </c>
      <c r="E255">
        <f t="shared" si="6"/>
        <v>125</v>
      </c>
      <c r="F255">
        <f t="shared" si="7"/>
        <v>58</v>
      </c>
      <c r="G255" t="s">
        <v>321</v>
      </c>
      <c r="H255" t="s">
        <v>501</v>
      </c>
    </row>
    <row r="256" spans="1:8" x14ac:dyDescent="0.45">
      <c r="A256" t="s">
        <v>138</v>
      </c>
      <c r="B256">
        <v>90</v>
      </c>
      <c r="C256">
        <v>29</v>
      </c>
      <c r="D256">
        <v>88</v>
      </c>
      <c r="E256">
        <f t="shared" si="6"/>
        <v>207</v>
      </c>
      <c r="F256">
        <f t="shared" si="7"/>
        <v>90</v>
      </c>
      <c r="G256" t="s">
        <v>321</v>
      </c>
      <c r="H256" t="s">
        <v>499</v>
      </c>
    </row>
    <row r="257" spans="1:8" x14ac:dyDescent="0.45">
      <c r="A257" t="s">
        <v>143</v>
      </c>
      <c r="B257">
        <v>86</v>
      </c>
      <c r="C257">
        <v>66</v>
      </c>
      <c r="D257">
        <v>74</v>
      </c>
      <c r="E257">
        <f t="shared" si="6"/>
        <v>226</v>
      </c>
      <c r="F257">
        <f t="shared" si="7"/>
        <v>86</v>
      </c>
      <c r="G257" t="s">
        <v>334</v>
      </c>
      <c r="H257" t="s">
        <v>499</v>
      </c>
    </row>
    <row r="258" spans="1:8" x14ac:dyDescent="0.45">
      <c r="A258" t="s">
        <v>147</v>
      </c>
      <c r="B258">
        <v>45</v>
      </c>
      <c r="C258">
        <v>84</v>
      </c>
      <c r="D258">
        <v>72</v>
      </c>
      <c r="E258">
        <f t="shared" ref="E258:E261" si="8">SUM(B258:D258)</f>
        <v>201</v>
      </c>
      <c r="F258">
        <f t="shared" si="7"/>
        <v>84</v>
      </c>
      <c r="G258" t="s">
        <v>334</v>
      </c>
      <c r="H258" t="s">
        <v>498</v>
      </c>
    </row>
    <row r="259" spans="1:8" x14ac:dyDescent="0.45">
      <c r="A259" t="s">
        <v>441</v>
      </c>
      <c r="B259">
        <v>95</v>
      </c>
      <c r="C259">
        <v>67</v>
      </c>
      <c r="D259">
        <v>90</v>
      </c>
      <c r="E259">
        <f t="shared" si="8"/>
        <v>252</v>
      </c>
      <c r="F259">
        <f t="shared" si="7"/>
        <v>95</v>
      </c>
      <c r="G259" t="s">
        <v>320</v>
      </c>
      <c r="H259" t="s">
        <v>497</v>
      </c>
    </row>
    <row r="260" spans="1:8" x14ac:dyDescent="0.45">
      <c r="A260" t="s">
        <v>474</v>
      </c>
      <c r="B260">
        <v>65</v>
      </c>
      <c r="C260">
        <v>44</v>
      </c>
      <c r="D260">
        <v>59</v>
      </c>
      <c r="E260">
        <f t="shared" si="8"/>
        <v>168</v>
      </c>
      <c r="F260">
        <f t="shared" si="7"/>
        <v>65</v>
      </c>
      <c r="G260" t="s">
        <v>342</v>
      </c>
      <c r="H260" t="s">
        <v>502</v>
      </c>
    </row>
    <row r="261" spans="1:8" x14ac:dyDescent="0.45">
      <c r="A261" t="s">
        <v>381</v>
      </c>
      <c r="B261">
        <v>67</v>
      </c>
      <c r="C261">
        <v>42</v>
      </c>
      <c r="D261">
        <v>65</v>
      </c>
      <c r="E261">
        <f t="shared" si="8"/>
        <v>174</v>
      </c>
      <c r="F261">
        <f t="shared" si="7"/>
        <v>67</v>
      </c>
      <c r="G261" t="s">
        <v>323</v>
      </c>
      <c r="H261" t="s">
        <v>502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45DE-2075-4FE3-B1DF-72C643D3E6D5}">
  <sheetPr codeName="Sheet4"/>
  <dimension ref="A1:AH61"/>
  <sheetViews>
    <sheetView zoomScale="85" zoomScaleNormal="85" workbookViewId="0">
      <selection activeCell="C6" sqref="C6"/>
    </sheetView>
  </sheetViews>
  <sheetFormatPr defaultRowHeight="17" x14ac:dyDescent="0.45"/>
  <cols>
    <col min="2" max="2" width="18.1640625" customWidth="1"/>
    <col min="3" max="3" width="17.83203125" customWidth="1"/>
    <col min="4" max="4" width="3.1640625" customWidth="1"/>
    <col min="5" max="5" width="2.83203125" customWidth="1"/>
    <col min="6" max="6" width="3.08203125" customWidth="1"/>
    <col min="7" max="7" width="2.83203125" customWidth="1"/>
    <col min="8" max="8" width="3" customWidth="1"/>
    <col min="9" max="14" width="2.9140625" customWidth="1"/>
    <col min="15" max="24" width="2.6640625" customWidth="1"/>
    <col min="25" max="30" width="3.1640625" customWidth="1"/>
    <col min="31" max="34" width="2.83203125" customWidth="1"/>
    <col min="35" max="37" width="3" customWidth="1"/>
  </cols>
  <sheetData>
    <row r="1" spans="1:34" x14ac:dyDescent="0.45">
      <c r="B1" t="s">
        <v>38</v>
      </c>
      <c r="C1" t="s">
        <v>39</v>
      </c>
      <c r="D1" t="s">
        <v>38</v>
      </c>
      <c r="N1" t="s">
        <v>39</v>
      </c>
      <c r="V1" t="s">
        <v>63</v>
      </c>
    </row>
    <row r="2" spans="1:34" x14ac:dyDescent="0.45">
      <c r="A2" s="10" t="s">
        <v>58</v>
      </c>
      <c r="B2" t="s">
        <v>40</v>
      </c>
      <c r="C2" t="s">
        <v>40</v>
      </c>
    </row>
    <row r="3" spans="1:34" x14ac:dyDescent="0.45">
      <c r="A3" t="s">
        <v>56</v>
      </c>
      <c r="B3" t="s">
        <v>59</v>
      </c>
      <c r="C3" t="s">
        <v>60</v>
      </c>
      <c r="M3" t="s">
        <v>72</v>
      </c>
      <c r="Y3" s="5"/>
      <c r="Z3" s="5"/>
      <c r="AA3" s="5"/>
      <c r="AB3" s="5"/>
      <c r="AC3" s="5"/>
    </row>
    <row r="4" spans="1:34" x14ac:dyDescent="0.45">
      <c r="A4" t="s">
        <v>57</v>
      </c>
      <c r="B4" t="s">
        <v>61</v>
      </c>
      <c r="C4" t="s">
        <v>62</v>
      </c>
      <c r="Y4" s="5"/>
      <c r="Z4" s="7"/>
      <c r="AA4" s="7"/>
      <c r="AB4" s="7"/>
      <c r="AC4" s="5"/>
    </row>
    <row r="5" spans="1:34" x14ac:dyDescent="0.45">
      <c r="A5" t="s">
        <v>66</v>
      </c>
      <c r="B5" t="s">
        <v>67</v>
      </c>
      <c r="C5" t="s">
        <v>62</v>
      </c>
      <c r="G5" s="2"/>
      <c r="H5" s="2"/>
      <c r="I5" s="2"/>
      <c r="P5" s="5"/>
      <c r="Q5" s="5"/>
      <c r="R5" s="5"/>
      <c r="Y5" s="5"/>
      <c r="Z5" s="7"/>
      <c r="AA5" s="1"/>
      <c r="AB5" s="7"/>
      <c r="AC5" s="5"/>
      <c r="AH5" t="s">
        <v>64</v>
      </c>
    </row>
    <row r="6" spans="1:34" x14ac:dyDescent="0.45">
      <c r="A6" t="s">
        <v>69</v>
      </c>
      <c r="B6" t="s">
        <v>70</v>
      </c>
      <c r="C6" t="s">
        <v>75</v>
      </c>
      <c r="G6" s="2"/>
      <c r="H6" s="3"/>
      <c r="I6" s="2"/>
      <c r="P6" s="5"/>
      <c r="Q6" s="3"/>
      <c r="R6" s="5"/>
      <c r="Y6" s="5"/>
      <c r="Z6" s="7"/>
      <c r="AA6" s="7"/>
      <c r="AB6" s="7"/>
      <c r="AC6" s="5"/>
    </row>
    <row r="7" spans="1:34" x14ac:dyDescent="0.45">
      <c r="A7" t="s">
        <v>87</v>
      </c>
      <c r="B7" t="s">
        <v>40</v>
      </c>
      <c r="C7" t="s">
        <v>132</v>
      </c>
      <c r="G7" s="2"/>
      <c r="H7" s="2"/>
      <c r="I7" s="2"/>
      <c r="P7" s="5"/>
      <c r="Q7" s="5"/>
      <c r="R7" s="5"/>
      <c r="Y7" s="5"/>
      <c r="Z7" s="5"/>
      <c r="AA7" s="5"/>
      <c r="AB7" s="5"/>
      <c r="AC7" s="5"/>
    </row>
    <row r="9" spans="1:34" x14ac:dyDescent="0.45">
      <c r="Z9" s="5"/>
      <c r="AB9" s="5"/>
    </row>
    <row r="10" spans="1:34" x14ac:dyDescent="0.45">
      <c r="H10" s="2"/>
      <c r="Z10" s="5"/>
      <c r="AA10" s="2"/>
      <c r="AB10" s="5"/>
    </row>
    <row r="11" spans="1:34" x14ac:dyDescent="0.45">
      <c r="H11" s="2"/>
      <c r="M11" t="s">
        <v>73</v>
      </c>
      <c r="Z11" s="5"/>
      <c r="AA11" s="2"/>
      <c r="AB11" s="5"/>
    </row>
    <row r="12" spans="1:34" x14ac:dyDescent="0.45">
      <c r="H12" s="2"/>
      <c r="Z12" s="5"/>
      <c r="AA12" s="2"/>
      <c r="AB12" s="5"/>
    </row>
    <row r="13" spans="1:34" x14ac:dyDescent="0.45">
      <c r="H13" s="2"/>
      <c r="P13" s="6"/>
      <c r="R13" s="6"/>
      <c r="V13" s="5"/>
      <c r="W13" s="5"/>
      <c r="X13" s="5"/>
      <c r="Y13" s="5"/>
      <c r="Z13" s="5"/>
      <c r="AA13" s="7"/>
      <c r="AB13" s="5"/>
      <c r="AC13" s="5"/>
      <c r="AD13" s="5"/>
      <c r="AE13" s="5"/>
      <c r="AF13" s="5"/>
    </row>
    <row r="14" spans="1:34" x14ac:dyDescent="0.45">
      <c r="D14" s="2"/>
      <c r="E14" s="2"/>
      <c r="F14" s="2"/>
      <c r="G14" s="2"/>
      <c r="H14" s="3"/>
      <c r="I14" s="2"/>
      <c r="J14" s="2"/>
      <c r="K14" s="2"/>
      <c r="L14" s="2"/>
      <c r="Q14" s="3"/>
      <c r="W14" s="2"/>
      <c r="X14" s="2"/>
      <c r="Y14" s="2"/>
      <c r="Z14" s="7"/>
      <c r="AA14" s="3"/>
      <c r="AB14" s="7"/>
      <c r="AC14" s="2"/>
      <c r="AD14" s="2"/>
      <c r="AE14" s="2"/>
      <c r="AH14" t="s">
        <v>68</v>
      </c>
    </row>
    <row r="15" spans="1:34" x14ac:dyDescent="0.45">
      <c r="H15" s="2"/>
      <c r="P15" s="6"/>
      <c r="R15" s="6"/>
      <c r="V15" s="5"/>
      <c r="W15" s="5"/>
      <c r="X15" s="5"/>
      <c r="Y15" s="5"/>
      <c r="Z15" s="5"/>
      <c r="AA15" s="7"/>
      <c r="AB15" s="5"/>
      <c r="AC15" s="5"/>
      <c r="AD15" s="5"/>
      <c r="AE15" s="5"/>
      <c r="AF15" s="5"/>
    </row>
    <row r="16" spans="1:34" x14ac:dyDescent="0.45">
      <c r="H16" s="2"/>
      <c r="Z16" s="5"/>
      <c r="AA16" s="2"/>
      <c r="AB16" s="5"/>
    </row>
    <row r="17" spans="4:34" x14ac:dyDescent="0.45">
      <c r="H17" s="2"/>
      <c r="Z17" s="5"/>
      <c r="AA17" s="2"/>
      <c r="AB17" s="5"/>
    </row>
    <row r="18" spans="4:34" x14ac:dyDescent="0.45">
      <c r="H18" s="2"/>
      <c r="Z18" s="5"/>
      <c r="AA18" s="2"/>
      <c r="AB18" s="5"/>
    </row>
    <row r="19" spans="4:34" x14ac:dyDescent="0.45">
      <c r="Z19" s="5"/>
      <c r="AB19" s="5"/>
    </row>
    <row r="21" spans="4:34" x14ac:dyDescent="0.45">
      <c r="W21" s="5"/>
      <c r="AE21" s="5"/>
    </row>
    <row r="22" spans="4:34" x14ac:dyDescent="0.45">
      <c r="D22" s="2"/>
      <c r="L22" s="2"/>
      <c r="N22" t="s">
        <v>73</v>
      </c>
      <c r="V22" s="5"/>
      <c r="W22" s="2"/>
      <c r="X22" s="5"/>
      <c r="AD22" s="5"/>
      <c r="AE22" s="2"/>
      <c r="AF22" s="5"/>
    </row>
    <row r="23" spans="4:34" x14ac:dyDescent="0.45">
      <c r="E23" s="2"/>
      <c r="K23" s="2"/>
      <c r="W23" s="5"/>
      <c r="X23" s="2"/>
      <c r="Y23" s="5"/>
      <c r="AC23" s="5"/>
      <c r="AD23" s="2"/>
      <c r="AE23" s="5"/>
    </row>
    <row r="24" spans="4:34" x14ac:dyDescent="0.45">
      <c r="F24" s="2"/>
      <c r="J24" s="2"/>
      <c r="X24" s="5"/>
      <c r="Y24" s="2"/>
      <c r="Z24" s="5"/>
      <c r="AB24" s="5"/>
      <c r="AC24" s="2"/>
      <c r="AD24" s="5"/>
    </row>
    <row r="25" spans="4:34" x14ac:dyDescent="0.45">
      <c r="G25" s="2"/>
      <c r="I25" s="2"/>
      <c r="Q25" s="5"/>
      <c r="Y25" s="5"/>
      <c r="Z25" s="2"/>
      <c r="AA25" s="5"/>
      <c r="AB25" s="2"/>
      <c r="AC25" s="5"/>
    </row>
    <row r="26" spans="4:34" x14ac:dyDescent="0.45">
      <c r="H26" s="3"/>
      <c r="P26" s="5"/>
      <c r="Q26" s="3"/>
      <c r="R26" s="5"/>
      <c r="Z26" s="5"/>
      <c r="AA26" s="3"/>
      <c r="AB26" s="5"/>
      <c r="AH26" t="s">
        <v>65</v>
      </c>
    </row>
    <row r="27" spans="4:34" x14ac:dyDescent="0.45">
      <c r="G27" s="2"/>
      <c r="I27" s="2"/>
      <c r="Q27" s="5"/>
      <c r="Y27" s="5"/>
      <c r="Z27" s="2"/>
      <c r="AA27" s="5"/>
      <c r="AB27" s="2"/>
      <c r="AC27" s="5"/>
    </row>
    <row r="28" spans="4:34" x14ac:dyDescent="0.45">
      <c r="F28" s="2"/>
      <c r="J28" s="2"/>
      <c r="X28" s="5"/>
      <c r="Y28" s="2"/>
      <c r="Z28" s="5"/>
      <c r="AB28" s="5"/>
      <c r="AC28" s="2"/>
      <c r="AD28" s="5"/>
    </row>
    <row r="29" spans="4:34" x14ac:dyDescent="0.45">
      <c r="E29" s="2"/>
      <c r="K29" s="2"/>
      <c r="W29" s="5"/>
      <c r="X29" s="2"/>
      <c r="Y29" s="5"/>
      <c r="AC29" s="5"/>
      <c r="AD29" s="2"/>
      <c r="AE29" s="5"/>
    </row>
    <row r="30" spans="4:34" x14ac:dyDescent="0.45">
      <c r="D30" s="2"/>
      <c r="L30" s="2"/>
      <c r="V30" s="5"/>
      <c r="W30" s="2"/>
      <c r="X30" s="5"/>
      <c r="AD30" s="5"/>
      <c r="AE30" s="2"/>
      <c r="AF30" s="5"/>
    </row>
    <row r="31" spans="4:34" x14ac:dyDescent="0.45">
      <c r="W31" s="5"/>
      <c r="AE31" s="5"/>
    </row>
    <row r="33" spans="5:34" x14ac:dyDescent="0.45">
      <c r="M33" t="s">
        <v>72</v>
      </c>
      <c r="Z33" s="5"/>
      <c r="AB33" s="5"/>
    </row>
    <row r="34" spans="5:34" x14ac:dyDescent="0.45">
      <c r="G34" s="2"/>
      <c r="I34" s="2"/>
      <c r="Y34" s="5"/>
      <c r="Z34" s="2"/>
      <c r="AA34" s="5"/>
      <c r="AB34" s="2"/>
      <c r="AC34" s="5"/>
    </row>
    <row r="35" spans="5:34" x14ac:dyDescent="0.45">
      <c r="X35" s="5"/>
      <c r="Z35" s="5"/>
      <c r="AB35" s="5"/>
      <c r="AD35" s="5"/>
    </row>
    <row r="36" spans="5:34" x14ac:dyDescent="0.45">
      <c r="E36" s="2"/>
      <c r="K36" s="2"/>
      <c r="Q36" s="5"/>
      <c r="W36" s="5"/>
      <c r="X36" s="2"/>
      <c r="Y36" s="5"/>
      <c r="AA36" s="5"/>
      <c r="AC36" s="5"/>
      <c r="AD36" s="2"/>
      <c r="AE36" s="5"/>
    </row>
    <row r="37" spans="5:34" x14ac:dyDescent="0.45">
      <c r="H37" s="3"/>
      <c r="P37" s="5"/>
      <c r="Q37" s="3"/>
      <c r="R37" s="5"/>
      <c r="X37" s="5"/>
      <c r="Z37" s="5"/>
      <c r="AA37" s="3"/>
      <c r="AB37" s="5"/>
      <c r="AD37" s="5"/>
      <c r="AH37" t="s">
        <v>65</v>
      </c>
    </row>
    <row r="38" spans="5:34" x14ac:dyDescent="0.45">
      <c r="E38" s="2"/>
      <c r="K38" s="2"/>
      <c r="Q38" s="5"/>
      <c r="W38" s="5"/>
      <c r="X38" s="2"/>
      <c r="Y38" s="5"/>
      <c r="AA38" s="5"/>
      <c r="AC38" s="5"/>
      <c r="AD38" s="2"/>
      <c r="AE38" s="5"/>
    </row>
    <row r="39" spans="5:34" x14ac:dyDescent="0.45">
      <c r="X39" s="5"/>
      <c r="Z39" s="5"/>
      <c r="AB39" s="5"/>
      <c r="AD39" s="5"/>
    </row>
    <row r="40" spans="5:34" x14ac:dyDescent="0.45">
      <c r="G40" s="2"/>
      <c r="I40" s="2"/>
      <c r="Y40" s="5"/>
      <c r="Z40" s="2"/>
      <c r="AA40" s="5"/>
      <c r="AB40" s="2"/>
      <c r="AC40" s="5"/>
    </row>
    <row r="41" spans="5:34" x14ac:dyDescent="0.45">
      <c r="Z41" s="5"/>
      <c r="AB41" s="5"/>
    </row>
    <row r="44" spans="5:34" x14ac:dyDescent="0.45">
      <c r="M44" t="s">
        <v>74</v>
      </c>
      <c r="X44" s="5"/>
      <c r="AA44" s="18"/>
      <c r="AD44" s="5"/>
    </row>
    <row r="45" spans="5:34" x14ac:dyDescent="0.45">
      <c r="E45" s="2"/>
      <c r="H45" s="2"/>
      <c r="K45" s="2"/>
      <c r="X45" s="2"/>
      <c r="Y45" s="5"/>
      <c r="AA45" s="7"/>
      <c r="AC45" s="5"/>
      <c r="AD45" s="2"/>
    </row>
    <row r="46" spans="5:34" x14ac:dyDescent="0.45">
      <c r="F46" s="2"/>
      <c r="H46" s="2"/>
      <c r="J46" s="2"/>
      <c r="X46" s="5"/>
      <c r="Y46" s="2"/>
      <c r="Z46" s="5"/>
      <c r="AA46" s="7"/>
      <c r="AB46" s="5"/>
      <c r="AC46" s="2"/>
      <c r="AD46" s="5"/>
    </row>
    <row r="47" spans="5:34" x14ac:dyDescent="0.45">
      <c r="G47" s="2"/>
      <c r="H47" s="2"/>
      <c r="I47" s="2"/>
      <c r="Q47" s="5"/>
      <c r="X47" s="5"/>
      <c r="Y47" s="5"/>
      <c r="Z47" s="7"/>
      <c r="AA47" s="7"/>
      <c r="AB47" s="7"/>
      <c r="AC47" s="5"/>
      <c r="AD47" s="5"/>
    </row>
    <row r="48" spans="5:34" x14ac:dyDescent="0.45">
      <c r="E48" s="2"/>
      <c r="F48" s="2"/>
      <c r="G48" s="2"/>
      <c r="H48" s="3"/>
      <c r="I48" s="2"/>
      <c r="J48" s="2"/>
      <c r="K48" s="2"/>
      <c r="Q48" s="3"/>
      <c r="X48" s="2"/>
      <c r="Y48" s="2"/>
      <c r="Z48" s="7"/>
      <c r="AA48" s="8"/>
      <c r="AB48" s="7"/>
      <c r="AC48" s="2"/>
      <c r="AD48" s="2"/>
    </row>
    <row r="49" spans="5:34" x14ac:dyDescent="0.45">
      <c r="G49" s="2"/>
      <c r="H49" s="2"/>
      <c r="I49" s="2"/>
      <c r="Q49" s="5"/>
      <c r="X49" s="5"/>
      <c r="Y49" s="5"/>
      <c r="Z49" s="7"/>
      <c r="AA49" s="7"/>
      <c r="AB49" s="7"/>
      <c r="AC49" s="5"/>
      <c r="AD49" s="5"/>
      <c r="AH49" t="s">
        <v>71</v>
      </c>
    </row>
    <row r="50" spans="5:34" x14ac:dyDescent="0.45">
      <c r="F50" s="2"/>
      <c r="H50" s="2"/>
      <c r="J50" s="2"/>
      <c r="X50" s="5"/>
      <c r="Y50" s="2"/>
      <c r="Z50" s="5"/>
      <c r="AA50" s="7"/>
      <c r="AB50" s="5"/>
      <c r="AC50" s="2"/>
      <c r="AD50" s="5"/>
    </row>
    <row r="51" spans="5:34" x14ac:dyDescent="0.45">
      <c r="E51" s="2"/>
      <c r="H51" s="2"/>
      <c r="K51" s="2"/>
      <c r="X51" s="2"/>
      <c r="Y51" s="5"/>
      <c r="AA51" s="7"/>
      <c r="AC51" s="5"/>
      <c r="AD51" s="2"/>
    </row>
    <row r="52" spans="5:34" x14ac:dyDescent="0.45">
      <c r="X52" s="5"/>
      <c r="AA52" s="18"/>
      <c r="AD52" s="5"/>
    </row>
    <row r="54" spans="5:34" x14ac:dyDescent="0.45">
      <c r="L54" t="s">
        <v>72</v>
      </c>
    </row>
    <row r="55" spans="5:34" x14ac:dyDescent="0.45">
      <c r="Q55" s="5"/>
      <c r="Z55" s="5"/>
      <c r="AA55" s="5"/>
      <c r="AB55" s="5"/>
    </row>
    <row r="56" spans="5:34" x14ac:dyDescent="0.45">
      <c r="G56" s="2"/>
      <c r="H56" s="2"/>
      <c r="I56" s="2"/>
      <c r="Q56" s="5"/>
      <c r="Z56" s="5"/>
      <c r="AA56" s="5"/>
      <c r="AB56" s="5"/>
      <c r="AH56" t="s">
        <v>314</v>
      </c>
    </row>
    <row r="57" spans="5:34" x14ac:dyDescent="0.45">
      <c r="G57" s="2"/>
      <c r="H57" s="3"/>
      <c r="I57" s="2"/>
      <c r="O57" s="5"/>
      <c r="P57" s="5"/>
      <c r="Q57" s="3"/>
      <c r="R57" s="5"/>
      <c r="S57" s="5"/>
      <c r="X57" s="5"/>
      <c r="Y57" s="5"/>
      <c r="Z57" s="7"/>
      <c r="AA57" s="7"/>
      <c r="AB57" s="7"/>
      <c r="AC57" s="5"/>
      <c r="AD57" s="5"/>
    </row>
    <row r="58" spans="5:34" x14ac:dyDescent="0.45">
      <c r="G58" s="2"/>
      <c r="H58" s="2"/>
      <c r="I58" s="2"/>
      <c r="Q58" s="5"/>
      <c r="X58" s="5"/>
      <c r="Y58" s="5"/>
      <c r="Z58" s="7"/>
      <c r="AA58" s="1"/>
      <c r="AB58" s="7"/>
      <c r="AC58" s="5"/>
      <c r="AD58" s="5"/>
    </row>
    <row r="59" spans="5:34" x14ac:dyDescent="0.45">
      <c r="Q59" s="5"/>
      <c r="X59" s="5"/>
      <c r="Y59" s="5"/>
      <c r="Z59" s="7"/>
      <c r="AA59" s="7"/>
      <c r="AB59" s="7"/>
      <c r="AC59" s="5"/>
      <c r="AD59" s="5"/>
    </row>
    <row r="60" spans="5:34" x14ac:dyDescent="0.45">
      <c r="Z60" s="5"/>
      <c r="AA60" s="5"/>
      <c r="AB60" s="5"/>
    </row>
    <row r="61" spans="5:34" x14ac:dyDescent="0.45">
      <c r="Z61" s="5"/>
      <c r="AA61" s="5"/>
      <c r="AB61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CCAC-7865-4F6B-8452-982C92F423A8}">
  <sheetPr codeName="Sheet5"/>
  <dimension ref="A1:J58"/>
  <sheetViews>
    <sheetView workbookViewId="0">
      <selection activeCell="I40" sqref="I40"/>
    </sheetView>
  </sheetViews>
  <sheetFormatPr defaultRowHeight="17" x14ac:dyDescent="0.45"/>
  <cols>
    <col min="1" max="1" width="2.1640625" bestFit="1" customWidth="1"/>
    <col min="2" max="2" width="13.6640625" customWidth="1"/>
    <col min="3" max="3" width="11.9140625" customWidth="1"/>
    <col min="4" max="4" width="14.9140625" customWidth="1"/>
    <col min="5" max="5" width="12.08203125" customWidth="1"/>
    <col min="7" max="7" width="8.25" customWidth="1"/>
    <col min="8" max="8" width="11.25" customWidth="1"/>
    <col min="9" max="9" width="5.6640625" customWidth="1"/>
    <col min="10" max="11" width="11.58203125" bestFit="1" customWidth="1"/>
    <col min="12" max="12" width="11" customWidth="1"/>
    <col min="13" max="13" width="3.58203125" customWidth="1"/>
  </cols>
  <sheetData>
    <row r="1" spans="1:2" x14ac:dyDescent="0.45">
      <c r="A1">
        <v>1</v>
      </c>
      <c r="B1" t="s">
        <v>13</v>
      </c>
    </row>
    <row r="2" spans="1:2" x14ac:dyDescent="0.45">
      <c r="B2" t="s">
        <v>14</v>
      </c>
    </row>
    <row r="3" spans="1:2" x14ac:dyDescent="0.45">
      <c r="B3" t="s">
        <v>15</v>
      </c>
    </row>
    <row r="5" spans="1:2" x14ac:dyDescent="0.45">
      <c r="A5">
        <v>2</v>
      </c>
      <c r="B5" t="s">
        <v>133</v>
      </c>
    </row>
    <row r="6" spans="1:2" x14ac:dyDescent="0.45">
      <c r="B6" t="s">
        <v>16</v>
      </c>
    </row>
    <row r="7" spans="1:2" x14ac:dyDescent="0.45">
      <c r="B7" t="s">
        <v>42</v>
      </c>
    </row>
    <row r="8" spans="1:2" x14ac:dyDescent="0.45">
      <c r="B8" t="s">
        <v>17</v>
      </c>
    </row>
    <row r="10" spans="1:2" x14ac:dyDescent="0.45">
      <c r="A10">
        <v>3</v>
      </c>
      <c r="B10" t="s">
        <v>134</v>
      </c>
    </row>
    <row r="11" spans="1:2" x14ac:dyDescent="0.45">
      <c r="B11" t="s">
        <v>131</v>
      </c>
    </row>
    <row r="12" spans="1:2" x14ac:dyDescent="0.45">
      <c r="B12" t="s">
        <v>135</v>
      </c>
    </row>
    <row r="13" spans="1:2" x14ac:dyDescent="0.45">
      <c r="B13" t="s">
        <v>136</v>
      </c>
    </row>
    <row r="15" spans="1:2" x14ac:dyDescent="0.45">
      <c r="A15">
        <v>4</v>
      </c>
      <c r="B15" t="s">
        <v>126</v>
      </c>
    </row>
    <row r="16" spans="1:2" x14ac:dyDescent="0.45">
      <c r="B16" t="s">
        <v>244</v>
      </c>
    </row>
    <row r="17" spans="1:10" x14ac:dyDescent="0.45">
      <c r="B17" t="s">
        <v>541</v>
      </c>
    </row>
    <row r="18" spans="1:10" x14ac:dyDescent="0.45">
      <c r="B18" t="s">
        <v>539</v>
      </c>
    </row>
    <row r="19" spans="1:10" x14ac:dyDescent="0.45">
      <c r="B19" t="s">
        <v>245</v>
      </c>
    </row>
    <row r="21" spans="1:10" x14ac:dyDescent="0.45">
      <c r="A21">
        <v>5</v>
      </c>
      <c r="B21" t="s">
        <v>127</v>
      </c>
      <c r="G21" s="11" t="s">
        <v>41</v>
      </c>
      <c r="H21" s="11" t="s">
        <v>128</v>
      </c>
      <c r="J21" s="4"/>
    </row>
    <row r="22" spans="1:10" x14ac:dyDescent="0.45">
      <c r="B22" t="s">
        <v>129</v>
      </c>
      <c r="G22" s="11">
        <v>2</v>
      </c>
      <c r="H22" s="11">
        <v>3</v>
      </c>
      <c r="J22" s="17"/>
    </row>
    <row r="23" spans="1:10" x14ac:dyDescent="0.45">
      <c r="B23" t="s">
        <v>130</v>
      </c>
      <c r="G23" s="11">
        <v>3</v>
      </c>
      <c r="H23" s="11">
        <v>5</v>
      </c>
      <c r="J23" s="17"/>
    </row>
    <row r="24" spans="1:10" x14ac:dyDescent="0.45">
      <c r="G24" s="11">
        <v>4</v>
      </c>
      <c r="H24" s="11">
        <v>8</v>
      </c>
      <c r="J24" s="17"/>
    </row>
    <row r="25" spans="1:10" x14ac:dyDescent="0.45">
      <c r="G25" s="11">
        <v>5</v>
      </c>
      <c r="H25" s="11">
        <v>10</v>
      </c>
      <c r="J25" s="17"/>
    </row>
    <row r="26" spans="1:10" x14ac:dyDescent="0.45">
      <c r="G26" s="11">
        <v>6</v>
      </c>
      <c r="H26" s="11">
        <v>12</v>
      </c>
      <c r="J26" s="17"/>
    </row>
    <row r="27" spans="1:10" x14ac:dyDescent="0.45">
      <c r="G27" s="11">
        <v>7</v>
      </c>
      <c r="H27" s="11">
        <v>15</v>
      </c>
      <c r="J27" s="17"/>
    </row>
    <row r="28" spans="1:10" x14ac:dyDescent="0.45">
      <c r="G28" s="11">
        <v>8</v>
      </c>
      <c r="H28" s="11">
        <v>22</v>
      </c>
      <c r="J28" s="17"/>
    </row>
    <row r="29" spans="1:10" x14ac:dyDescent="0.45">
      <c r="G29" s="11">
        <v>9</v>
      </c>
      <c r="H29" s="11">
        <v>25</v>
      </c>
      <c r="J29" s="17"/>
    </row>
    <row r="30" spans="1:10" x14ac:dyDescent="0.45">
      <c r="H30" s="19">
        <v>100</v>
      </c>
      <c r="I30" t="s">
        <v>556</v>
      </c>
    </row>
    <row r="31" spans="1:10" x14ac:dyDescent="0.45">
      <c r="H31" s="19">
        <v>260</v>
      </c>
      <c r="I31" t="s">
        <v>557</v>
      </c>
    </row>
    <row r="32" spans="1:10" x14ac:dyDescent="0.45">
      <c r="B32" t="s">
        <v>307</v>
      </c>
      <c r="H32">
        <f>H30*H31</f>
        <v>26000</v>
      </c>
      <c r="I32" t="s">
        <v>556</v>
      </c>
    </row>
    <row r="33" spans="2:9" x14ac:dyDescent="0.45">
      <c r="B33" s="16" t="s">
        <v>310</v>
      </c>
      <c r="C33" s="15" t="s">
        <v>309</v>
      </c>
      <c r="D33" t="s">
        <v>311</v>
      </c>
      <c r="E33" t="s">
        <v>312</v>
      </c>
      <c r="F33" t="s">
        <v>308</v>
      </c>
      <c r="H33">
        <f>H32/5</f>
        <v>5200</v>
      </c>
      <c r="I33" t="s">
        <v>555</v>
      </c>
    </row>
    <row r="34" spans="2:9" x14ac:dyDescent="0.45">
      <c r="C34">
        <v>1</v>
      </c>
      <c r="D34" s="4">
        <v>1</v>
      </c>
      <c r="E34">
        <v>20</v>
      </c>
      <c r="F34">
        <v>10</v>
      </c>
      <c r="H34">
        <f>H33*30</f>
        <v>156000</v>
      </c>
      <c r="I34" t="s">
        <v>558</v>
      </c>
    </row>
    <row r="35" spans="2:9" x14ac:dyDescent="0.45">
      <c r="B35">
        <v>10</v>
      </c>
      <c r="C35">
        <v>2</v>
      </c>
      <c r="D35" s="4">
        <v>2</v>
      </c>
      <c r="E35">
        <v>40</v>
      </c>
      <c r="F35">
        <v>30</v>
      </c>
      <c r="H35">
        <f>H34*100</f>
        <v>15600000</v>
      </c>
      <c r="I35" t="s">
        <v>559</v>
      </c>
    </row>
    <row r="36" spans="2:9" x14ac:dyDescent="0.45">
      <c r="B36">
        <v>15</v>
      </c>
      <c r="C36">
        <v>3</v>
      </c>
      <c r="D36">
        <v>3</v>
      </c>
      <c r="E36">
        <v>60</v>
      </c>
      <c r="F36">
        <v>60</v>
      </c>
      <c r="H36">
        <f>H35/10000</f>
        <v>1560</v>
      </c>
      <c r="I36" t="s">
        <v>560</v>
      </c>
    </row>
    <row r="37" spans="2:9" x14ac:dyDescent="0.45">
      <c r="B37">
        <v>20</v>
      </c>
      <c r="C37">
        <v>4</v>
      </c>
      <c r="D37">
        <v>4</v>
      </c>
      <c r="E37">
        <v>80</v>
      </c>
      <c r="F37">
        <v>90</v>
      </c>
    </row>
    <row r="38" spans="2:9" x14ac:dyDescent="0.45">
      <c r="B38">
        <v>25</v>
      </c>
      <c r="C38">
        <v>5</v>
      </c>
      <c r="D38">
        <v>5</v>
      </c>
      <c r="E38">
        <v>100</v>
      </c>
      <c r="F38">
        <v>120</v>
      </c>
    </row>
    <row r="39" spans="2:9" x14ac:dyDescent="0.45">
      <c r="B39">
        <v>30</v>
      </c>
      <c r="C39">
        <v>6</v>
      </c>
      <c r="D39">
        <v>6</v>
      </c>
      <c r="E39">
        <v>120</v>
      </c>
      <c r="F39">
        <v>150</v>
      </c>
    </row>
    <row r="40" spans="2:9" x14ac:dyDescent="0.45">
      <c r="B40">
        <v>35</v>
      </c>
      <c r="C40">
        <v>7</v>
      </c>
      <c r="D40">
        <v>7</v>
      </c>
      <c r="E40">
        <v>140</v>
      </c>
      <c r="F40">
        <v>180</v>
      </c>
    </row>
    <row r="41" spans="2:9" x14ac:dyDescent="0.45">
      <c r="B41">
        <v>40</v>
      </c>
      <c r="C41">
        <v>8</v>
      </c>
      <c r="D41">
        <v>8</v>
      </c>
      <c r="E41">
        <v>170</v>
      </c>
      <c r="F41">
        <v>220</v>
      </c>
    </row>
    <row r="42" spans="2:9" x14ac:dyDescent="0.45">
      <c r="B42">
        <v>50</v>
      </c>
      <c r="C42">
        <v>9</v>
      </c>
      <c r="D42" s="4">
        <v>9</v>
      </c>
      <c r="E42">
        <v>200</v>
      </c>
      <c r="F42">
        <v>260</v>
      </c>
    </row>
    <row r="44" spans="2:9" ht="17.5" thickBot="1" x14ac:dyDescent="0.5"/>
    <row r="45" spans="2:9" ht="17.5" thickBot="1" x14ac:dyDescent="0.5">
      <c r="B45" s="12" t="s">
        <v>259</v>
      </c>
      <c r="C45" s="12" t="s">
        <v>260</v>
      </c>
      <c r="D45" s="12" t="s">
        <v>261</v>
      </c>
      <c r="E45" s="12" t="s">
        <v>262</v>
      </c>
    </row>
    <row r="46" spans="2:9" ht="17.5" thickBot="1" x14ac:dyDescent="0.5">
      <c r="B46" s="12" t="s">
        <v>263</v>
      </c>
      <c r="C46" s="12" t="s">
        <v>264</v>
      </c>
      <c r="D46" s="13" t="s">
        <v>265</v>
      </c>
      <c r="E46" s="14" t="s">
        <v>266</v>
      </c>
    </row>
    <row r="47" spans="2:9" ht="17.5" thickBot="1" x14ac:dyDescent="0.5">
      <c r="B47" s="12" t="s">
        <v>267</v>
      </c>
      <c r="C47" s="12" t="s">
        <v>268</v>
      </c>
      <c r="D47" s="13" t="s">
        <v>269</v>
      </c>
      <c r="E47" s="14" t="s">
        <v>266</v>
      </c>
    </row>
    <row r="48" spans="2:9" ht="28.5" thickBot="1" x14ac:dyDescent="0.5">
      <c r="B48" s="12" t="s">
        <v>270</v>
      </c>
      <c r="C48" s="12" t="s">
        <v>271</v>
      </c>
      <c r="D48" s="13" t="s">
        <v>298</v>
      </c>
      <c r="E48" s="14" t="s">
        <v>272</v>
      </c>
    </row>
    <row r="49" spans="2:5" ht="42.5" thickBot="1" x14ac:dyDescent="0.5">
      <c r="B49" s="12" t="s">
        <v>273</v>
      </c>
      <c r="C49" s="12" t="s">
        <v>274</v>
      </c>
      <c r="D49" s="13" t="s">
        <v>299</v>
      </c>
      <c r="E49" s="14" t="s">
        <v>275</v>
      </c>
    </row>
    <row r="50" spans="2:5" ht="56.5" thickBot="1" x14ac:dyDescent="0.5">
      <c r="B50" s="12" t="s">
        <v>276</v>
      </c>
      <c r="C50" s="12" t="s">
        <v>277</v>
      </c>
      <c r="D50" s="13" t="s">
        <v>300</v>
      </c>
      <c r="E50" s="14" t="s">
        <v>278</v>
      </c>
    </row>
    <row r="51" spans="2:5" ht="56.5" thickBot="1" x14ac:dyDescent="0.5">
      <c r="B51" s="12" t="s">
        <v>279</v>
      </c>
      <c r="C51" s="12" t="s">
        <v>280</v>
      </c>
      <c r="D51" s="13" t="s">
        <v>301</v>
      </c>
      <c r="E51" s="14" t="s">
        <v>278</v>
      </c>
    </row>
    <row r="52" spans="2:5" ht="70.5" thickBot="1" x14ac:dyDescent="0.5">
      <c r="B52" s="12" t="s">
        <v>281</v>
      </c>
      <c r="C52" s="12" t="s">
        <v>282</v>
      </c>
      <c r="D52" s="13" t="s">
        <v>302</v>
      </c>
      <c r="E52" s="14" t="s">
        <v>283</v>
      </c>
    </row>
    <row r="53" spans="2:5" ht="56.5" thickBot="1" x14ac:dyDescent="0.5">
      <c r="B53" s="12" t="s">
        <v>284</v>
      </c>
      <c r="C53" s="12" t="s">
        <v>285</v>
      </c>
      <c r="D53" s="13" t="s">
        <v>303</v>
      </c>
      <c r="E53" s="14" t="s">
        <v>278</v>
      </c>
    </row>
    <row r="54" spans="2:5" ht="56.5" thickBot="1" x14ac:dyDescent="0.5">
      <c r="B54" s="12" t="s">
        <v>286</v>
      </c>
      <c r="C54" s="12" t="s">
        <v>287</v>
      </c>
      <c r="D54" s="13" t="s">
        <v>304</v>
      </c>
      <c r="E54" s="14" t="s">
        <v>278</v>
      </c>
    </row>
    <row r="55" spans="2:5" ht="42.5" thickBot="1" x14ac:dyDescent="0.5">
      <c r="B55" s="12" t="s">
        <v>288</v>
      </c>
      <c r="C55" s="12" t="s">
        <v>289</v>
      </c>
      <c r="D55" s="13" t="s">
        <v>305</v>
      </c>
      <c r="E55" s="14" t="s">
        <v>275</v>
      </c>
    </row>
    <row r="56" spans="2:5" ht="28.5" thickBot="1" x14ac:dyDescent="0.5">
      <c r="B56" s="12" t="s">
        <v>290</v>
      </c>
      <c r="C56" s="12" t="s">
        <v>291</v>
      </c>
      <c r="D56" s="13" t="s">
        <v>306</v>
      </c>
      <c r="E56" s="14" t="s">
        <v>272</v>
      </c>
    </row>
    <row r="57" spans="2:5" ht="17.5" thickBot="1" x14ac:dyDescent="0.5">
      <c r="B57" s="12" t="s">
        <v>292</v>
      </c>
      <c r="C57" s="12" t="s">
        <v>293</v>
      </c>
      <c r="D57" s="13" t="s">
        <v>294</v>
      </c>
      <c r="E57" s="14" t="s">
        <v>266</v>
      </c>
    </row>
    <row r="58" spans="2:5" ht="17.5" thickBot="1" x14ac:dyDescent="0.5">
      <c r="B58" s="12" t="s">
        <v>295</v>
      </c>
      <c r="C58" s="12" t="s">
        <v>296</v>
      </c>
      <c r="D58" s="13" t="s">
        <v>297</v>
      </c>
      <c r="E58" s="14" t="s">
        <v>266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6.5"/>
  <cols>
    <col min="1" max="1" width="18" customWidth="1"/>
    <col min="2" max="2" width="16" customWidth="1"/>
    <col min="3" max="4" width="14" customWidth="1"/>
    <col min="11" max="11" width="40" customWidth="1"/>
  </cols>
  <sheetData>
    <row r="1">
      <c r="A1" t="inlineStr">
        <is>
          <t xml:space="preserve">도시 건물 — 2026-09-04 확정 (GDD §5 · pptx 54~59쪽)</t>
        </is>
      </c>
    </row>
    <row r="3">
      <c r="A3" t="inlineStr">
        <is>
          <t xml:space="preserve">[1] 도시 레벨</t>
        </is>
      </c>
      <c r="B3" t="inlineStr">
        <is>
          <t xml:space="preserve">레벨이 정하는 것은 증축 자재와 건물 해금 게이트 둘뿐이다</t>
        </is>
      </c>
    </row>
    <row r="4">
      <c r="A4" t="inlineStr">
        <is>
          <t xml:space="preserve">레벨</t>
        </is>
      </c>
      <c r="B4" t="inlineStr">
        <is>
          <t xml:space="preserve">증축 자재</t>
        </is>
      </c>
      <c r="C4" t="inlineStr">
        <is>
          <t xml:space="preserve">비고</t>
        </is>
      </c>
    </row>
    <row r="5">
      <c r="A5">
        <v>1</v>
      </c>
      <c r="C5" t="inlineStr">
        <is>
          <t xml:space="preserve">시작 레벨</t>
        </is>
      </c>
    </row>
    <row r="6">
      <c r="A6">
        <v>2</v>
      </c>
      <c r="B6">
        <v>10</v>
      </c>
    </row>
    <row r="7">
      <c r="A7">
        <v>3</v>
      </c>
      <c r="B7">
        <v>15</v>
      </c>
    </row>
    <row r="8">
      <c r="A8">
        <v>4</v>
      </c>
      <c r="B8">
        <v>20</v>
      </c>
    </row>
    <row r="9">
      <c r="A9">
        <v>5</v>
      </c>
      <c r="B9">
        <v>25</v>
      </c>
    </row>
    <row r="10">
      <c r="A10">
        <v>6</v>
      </c>
      <c r="B10">
        <v>30</v>
      </c>
    </row>
    <row r="11">
      <c r="A11">
        <v>7</v>
      </c>
      <c r="B11">
        <v>35</v>
      </c>
    </row>
    <row r="12">
      <c r="A12">
        <v>8</v>
      </c>
      <c r="B12">
        <v>40</v>
      </c>
    </row>
    <row r="13">
      <c r="A13">
        <v>9</v>
      </c>
      <c r="B13">
        <v>50</v>
      </c>
    </row>
    <row r="14">
      <c r="A14">
        <v>10</v>
      </c>
      <c r="B14">
        <v>50</v>
      </c>
      <c r="C14" t="inlineStr">
        <is>
          <t xml:space="preserve">황궁 — 헌제를 보유해야 갈 수 있다</t>
        </is>
      </c>
    </row>
    <row r="16">
      <c r="A16" t="inlineStr">
        <is>
          <t xml:space="preserve">[2] 건물 해금</t>
        </is>
      </c>
      <c r="B16" t="inlineStr">
        <is>
          <t xml:space="preserve">칸의 값 = 그 건물 레벨에 필요한 도시 레벨. 빈 칸은 기본 건물이라 건설 행동이 없다는 뜻</t>
        </is>
      </c>
    </row>
    <row r="17">
      <c r="A17" t="inlineStr">
        <is>
          <t xml:space="preserve">건물</t>
        </is>
      </c>
      <c r="B17" t="inlineStr">
        <is>
          <t xml:space="preserve">id</t>
        </is>
      </c>
      <c r="C17" t="inlineStr">
        <is>
          <t xml:space="preserve">종류</t>
        </is>
      </c>
      <c r="D17" t="inlineStr">
        <is>
          <t xml:space="preserve">Lv1</t>
        </is>
      </c>
      <c r="E17" t="inlineStr">
        <is>
          <t xml:space="preserve">Lv2</t>
        </is>
      </c>
      <c r="F17" t="inlineStr">
        <is>
          <t xml:space="preserve">Lv3</t>
        </is>
      </c>
      <c r="G17" t="inlineStr">
        <is>
          <t xml:space="preserve">Lv4</t>
        </is>
      </c>
      <c r="H17" t="inlineStr">
        <is>
          <t xml:space="preserve">Lv5</t>
        </is>
      </c>
    </row>
    <row r="18">
      <c r="A18" t="inlineStr">
        <is>
          <t xml:space="preserve">궁궐</t>
        </is>
      </c>
      <c r="B18" t="inlineStr">
        <is>
          <t xml:space="preserve">palace</t>
        </is>
      </c>
      <c r="C18" t="inlineStr">
        <is>
          <t xml:space="preserve">기본</t>
        </is>
      </c>
      <c r="E18">
        <v>2</v>
      </c>
      <c r="F18">
        <v>4</v>
      </c>
      <c r="G18">
        <v>7</v>
      </c>
      <c r="H18">
        <v>9</v>
      </c>
    </row>
    <row r="19">
      <c r="A19" t="inlineStr">
        <is>
          <t xml:space="preserve">병영</t>
        </is>
      </c>
      <c r="B19" t="inlineStr">
        <is>
          <t xml:space="preserve">barracks</t>
        </is>
      </c>
      <c r="C19" t="inlineStr">
        <is>
          <t xml:space="preserve">기본</t>
        </is>
      </c>
      <c r="E19">
        <v>2</v>
      </c>
      <c r="F19">
        <v>5</v>
      </c>
      <c r="G19">
        <v>7</v>
      </c>
      <c r="H19">
        <v>9</v>
      </c>
    </row>
    <row r="20">
      <c r="A20" t="inlineStr">
        <is>
          <t xml:space="preserve">시장</t>
        </is>
      </c>
      <c r="B20" t="inlineStr">
        <is>
          <t xml:space="preserve">market</t>
        </is>
      </c>
      <c r="C20" t="inlineStr">
        <is>
          <t xml:space="preserve">기본</t>
        </is>
      </c>
      <c r="E20">
        <v>3</v>
      </c>
      <c r="F20">
        <v>5</v>
      </c>
      <c r="G20">
        <v>7</v>
      </c>
      <c r="H20">
        <v>10</v>
      </c>
    </row>
    <row r="21">
      <c r="A21" t="inlineStr">
        <is>
          <t xml:space="preserve">태학</t>
        </is>
      </c>
      <c r="B21" t="inlineStr">
        <is>
          <t xml:space="preserve">academy</t>
        </is>
      </c>
      <c r="C21" t="inlineStr">
        <is>
          <t xml:space="preserve">추가</t>
        </is>
      </c>
      <c r="D21">
        <v>1</v>
      </c>
      <c r="E21">
        <v>3</v>
      </c>
      <c r="F21">
        <v>5</v>
      </c>
      <c r="G21">
        <v>8</v>
      </c>
      <c r="H21">
        <v>10</v>
      </c>
    </row>
    <row r="22">
      <c r="A22" t="inlineStr">
        <is>
          <t xml:space="preserve">농지</t>
        </is>
      </c>
      <c r="B22" t="inlineStr">
        <is>
          <t xml:space="preserve">farm</t>
        </is>
      </c>
      <c r="C22" t="inlineStr">
        <is>
          <t xml:space="preserve">추가</t>
        </is>
      </c>
      <c r="D22">
        <v>1</v>
      </c>
      <c r="E22">
        <v>3</v>
      </c>
      <c r="F22">
        <v>6</v>
      </c>
      <c r="G22">
        <v>8</v>
      </c>
      <c r="H22">
        <v>10</v>
      </c>
    </row>
    <row r="23">
      <c r="A23" t="inlineStr">
        <is>
          <t xml:space="preserve">병원</t>
        </is>
      </c>
      <c r="B23" t="inlineStr">
        <is>
          <t xml:space="preserve">hospital</t>
        </is>
      </c>
      <c r="C23" t="inlineStr">
        <is>
          <t xml:space="preserve">추가</t>
        </is>
      </c>
      <c r="D23">
        <v>1</v>
      </c>
      <c r="E23">
        <v>4</v>
      </c>
      <c r="F23">
        <v>6</v>
      </c>
      <c r="G23">
        <v>8</v>
      </c>
      <c r="H23">
        <v>10</v>
      </c>
    </row>
    <row r="24">
      <c r="A24" t="inlineStr">
        <is>
          <t xml:space="preserve">대장간</t>
        </is>
      </c>
      <c r="B24" t="inlineStr">
        <is>
          <t xml:space="preserve">forge</t>
        </is>
      </c>
      <c r="C24" t="inlineStr">
        <is>
          <t xml:space="preserve">추가</t>
        </is>
      </c>
      <c r="D24">
        <v>2</v>
      </c>
      <c r="E24">
        <v>4</v>
      </c>
      <c r="F24">
        <v>6</v>
      </c>
      <c r="G24">
        <v>9</v>
      </c>
      <c r="H24">
        <v>10</v>
      </c>
    </row>
    <row r="26">
      <c r="A26" t="inlineStr">
        <is>
          <t xml:space="preserve">[3] 건물 효과</t>
        </is>
      </c>
      <c r="B26" t="inlineStr">
        <is>
          <t xml:space="preserve">「없음」은 그 건물을 짓지 않았을 때의 값. 기본 건물은 언제나 있으므로 빈 칸이다</t>
        </is>
      </c>
    </row>
    <row r="27">
      <c r="A27" t="inlineStr">
        <is>
          <t xml:space="preserve">건물</t>
        </is>
      </c>
      <c r="B27" t="inlineStr">
        <is>
          <t xml:space="preserve">id</t>
        </is>
      </c>
      <c r="C27" t="inlineStr">
        <is>
          <t xml:space="preserve">효과</t>
        </is>
      </c>
      <c r="D27" t="inlineStr">
        <is>
          <t xml:space="preserve">단위</t>
        </is>
      </c>
      <c r="E27" t="inlineStr">
        <is>
          <t xml:space="preserve">없음</t>
        </is>
      </c>
      <c r="F27" t="inlineStr">
        <is>
          <t xml:space="preserve">Lv1</t>
        </is>
      </c>
      <c r="G27" t="inlineStr">
        <is>
          <t xml:space="preserve">Lv2</t>
        </is>
      </c>
      <c r="H27" t="inlineStr">
        <is>
          <t xml:space="preserve">Lv3</t>
        </is>
      </c>
      <c r="I27" t="inlineStr">
        <is>
          <t xml:space="preserve">Lv4</t>
        </is>
      </c>
      <c r="J27" t="inlineStr">
        <is>
          <t xml:space="preserve">Lv5</t>
        </is>
      </c>
      <c r="K27" t="inlineStr">
        <is>
          <t xml:space="preserve">비고</t>
        </is>
      </c>
    </row>
    <row r="28">
      <c r="A28" t="inlineStr">
        <is>
          <t xml:space="preserve">궁궐</t>
        </is>
      </c>
      <c r="B28" t="inlineStr">
        <is>
          <t xml:space="preserve">palace</t>
        </is>
      </c>
      <c r="C28" t="inlineStr">
        <is>
          <t xml:space="preserve">캐릭터 풀</t>
        </is>
      </c>
      <c r="D28" t="inlineStr">
        <is>
          <t xml:space="preserve">명</t>
        </is>
      </c>
      <c r="F28">
        <v>60</v>
      </c>
      <c r="G28">
        <v>110</v>
      </c>
      <c r="H28">
        <v>160</v>
      </c>
      <c r="I28">
        <v>210</v>
      </c>
      <c r="J28">
        <v>260</v>
      </c>
      <c r="K28" t="inlineStr">
        <is>
          <t xml:space="preserve">Lv5가 전체 장수 260과 같다</t>
        </is>
      </c>
    </row>
    <row r="29">
      <c r="A29" t="inlineStr">
        <is>
          <t xml:space="preserve">병영</t>
        </is>
      </c>
      <c r="B29" t="inlineStr">
        <is>
          <t xml:space="preserve">barracks</t>
        </is>
      </c>
      <c r="C29" t="inlineStr">
        <is>
          <t xml:space="preserve">최대 군량</t>
        </is>
      </c>
      <c r="D29" t="inlineStr">
        <is>
          <t xml:space="preserve">군량</t>
        </is>
      </c>
      <c r="F29">
        <v>20</v>
      </c>
      <c r="G29">
        <v>40</v>
      </c>
      <c r="H29">
        <v>60</v>
      </c>
      <c r="I29">
        <v>80</v>
      </c>
      <c r="J29">
        <v>100</v>
      </c>
    </row>
    <row r="30">
      <c r="A30" t="inlineStr">
        <is>
          <t xml:space="preserve">농지</t>
        </is>
      </c>
      <c r="B30" t="inlineStr">
        <is>
          <t xml:space="preserve">farm</t>
        </is>
      </c>
      <c r="C30" t="inlineStr">
        <is>
          <t xml:space="preserve">시간당 군량</t>
        </is>
      </c>
      <c r="D30" t="inlineStr">
        <is>
          <t xml:space="preserve">군량/시간</t>
        </is>
      </c>
      <c r="E30">
        <v>1</v>
      </c>
      <c r="F30">
        <v>2</v>
      </c>
      <c r="G30">
        <v>4</v>
      </c>
      <c r="H30">
        <v>6</v>
      </c>
      <c r="I30">
        <v>8</v>
      </c>
      <c r="J30">
        <v>10</v>
      </c>
      <c r="K30" t="inlineStr">
        <is>
          <t xml:space="preserve">없어도 1은 찬다</t>
        </is>
      </c>
    </row>
    <row r="31">
      <c r="A31" t="inlineStr">
        <is>
          <t xml:space="preserve">병원</t>
        </is>
      </c>
      <c r="B31" t="inlineStr">
        <is>
          <t xml:space="preserve">hospital</t>
        </is>
      </c>
      <c r="C31" t="inlineStr">
        <is>
          <t xml:space="preserve">치료 room</t>
        </is>
      </c>
      <c r="D31" t="inlineStr">
        <is>
          <t xml:space="preserve">개</t>
        </is>
      </c>
      <c r="E31">
        <v>0</v>
      </c>
      <c r="F31">
        <v>1</v>
      </c>
      <c r="G31">
        <v>2</v>
      </c>
      <c r="H31">
        <v>3</v>
      </c>
      <c r="I31">
        <v>4</v>
      </c>
      <c r="J31">
        <v>5</v>
      </c>
    </row>
    <row r="32">
      <c r="A32" t="inlineStr">
        <is>
          <t xml:space="preserve">태학</t>
        </is>
      </c>
      <c r="B32" t="inlineStr">
        <is>
          <t xml:space="preserve">academy</t>
        </is>
      </c>
      <c r="C32" t="inlineStr">
        <is>
          <t xml:space="preserve">훈련 보정</t>
        </is>
      </c>
      <c r="D32" t="inlineStr">
        <is>
          <t xml:space="preserve">능력치</t>
        </is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 t="inlineStr">
        <is>
          <t xml:space="preserve">쓰임새는 태학 화면을 설계할 때 정한다</t>
        </is>
      </c>
    </row>
    <row r="33">
      <c r="A33" t="inlineStr">
        <is>
          <t xml:space="preserve">시장</t>
        </is>
      </c>
      <c r="B33" t="inlineStr">
        <is>
          <t xml:space="preserve">market</t>
        </is>
      </c>
      <c r="C33" t="inlineStr">
        <is>
          <t xml:space="preserve">구매 아이템</t>
        </is>
      </c>
      <c r="D33" t="inlineStr">
        <is>
          <t xml:space="preserve">종류</t>
        </is>
      </c>
      <c r="K33" t="inlineStr">
        <is>
          <t xml:space="preserve">품목 표 미정</t>
        </is>
      </c>
    </row>
    <row r="34">
      <c r="A34" t="inlineStr">
        <is>
          <t xml:space="preserve">대장간</t>
        </is>
      </c>
      <c r="B34" t="inlineStr">
        <is>
          <t xml:space="preserve">forge</t>
        </is>
      </c>
      <c r="C34" t="inlineStr">
        <is>
          <t xml:space="preserve">구매 장비</t>
        </is>
      </c>
      <c r="D34" t="inlineStr">
        <is>
          <t xml:space="preserve">종류</t>
        </is>
      </c>
      <c r="K34" t="inlineStr">
        <is>
          <t xml:space="preserve">품목 표 미정</t>
        </is>
      </c>
    </row>
    <row r="36">
      <c r="A36" t="inlineStr">
        <is>
          <t xml:space="preserve">[4] 상수</t>
        </is>
      </c>
    </row>
    <row r="37">
      <c r="A37" t="inlineStr">
        <is>
          <t xml:space="preserve">항목</t>
        </is>
      </c>
      <c r="B37" t="inlineStr">
        <is>
          <t xml:space="preserve">id</t>
        </is>
      </c>
      <c r="C37" t="inlineStr">
        <is>
          <t xml:space="preserve">값</t>
        </is>
      </c>
      <c r="D37" t="inlineStr">
        <is>
          <t xml:space="preserve">단위</t>
        </is>
      </c>
      <c r="E37" t="inlineStr">
        <is>
          <t xml:space="preserve">비고</t>
        </is>
      </c>
    </row>
    <row r="38">
      <c r="A38" t="inlineStr">
        <is>
          <t xml:space="preserve">황궁 해금 도시 레벨</t>
        </is>
      </c>
      <c r="B38" t="inlineStr">
        <is>
          <t xml:space="preserve">emperorCityLevel</t>
        </is>
      </c>
      <c r="C38">
        <v>10</v>
      </c>
      <c r="D38" t="inlineStr">
        <is>
          <t xml:space="preserve">레벨</t>
        </is>
      </c>
      <c r="E38" t="inlineStr">
        <is>
          <t xml:space="preserve">헌제가 없으면 Lv9가 상한이다</t>
        </is>
      </c>
    </row>
    <row r="39">
      <c r="A39" t="inlineStr">
        <is>
          <t xml:space="preserve">증축당 건설 기회</t>
        </is>
      </c>
      <c r="B39" t="inlineStr">
        <is>
          <t xml:space="preserve">buildActionsPerUpgrade</t>
        </is>
      </c>
      <c r="C39">
        <v>3</v>
      </c>
      <c r="D39" t="inlineStr">
        <is>
          <t xml:space="preserve">회</t>
        </is>
      </c>
      <c r="E39" t="inlineStr">
        <is>
          <t xml:space="preserve">쌓인다. 황궁 레벨에서는 제한이 풀린다</t>
        </is>
      </c>
    </row>
    <row r="40">
      <c r="A40" t="inlineStr">
        <is>
          <t xml:space="preserve">부대 저장 개수</t>
        </is>
      </c>
      <c r="B40" t="inlineStr">
        <is>
          <t xml:space="preserve">squadCap</t>
        </is>
      </c>
      <c r="C40">
        <v>10</v>
      </c>
      <c r="D40" t="inlineStr">
        <is>
          <t xml:space="preserve">개</t>
        </is>
      </c>
      <c r="E40" t="inlineStr">
        <is>
          <t xml:space="preserve">도시 레벨과 무관하게 고정</t>
        </is>
      </c>
    </row>
    <row r="41">
      <c r="A41" t="inlineStr">
        <is>
          <t xml:space="preserve">부상 능력치 감소</t>
        </is>
      </c>
      <c r="B41" t="inlineStr">
        <is>
          <t xml:space="preserve">injuryPenalty</t>
        </is>
      </c>
      <c r="C41">
        <v>10</v>
      </c>
      <c r="D41" t="inlineStr">
        <is>
          <t xml:space="preserve">무·지·통 각</t>
        </is>
      </c>
      <c r="E41" t="inlineStr">
        <is>
          <t xml:space="preserve">하한 1. 헌제는 부상하지 않는다</t>
        </is>
      </c>
    </row>
    <row r="42">
      <c r="A42" t="inlineStr">
        <is>
          <t xml:space="preserve">부상 자연 회복</t>
        </is>
      </c>
      <c r="B42" t="inlineStr">
        <is>
          <t xml:space="preserve">injuryRecoverMin</t>
        </is>
      </c>
      <c r="C42">
        <v>60</v>
      </c>
      <c r="D42" t="inlineStr">
        <is>
          <t xml:space="preserve">분</t>
        </is>
      </c>
      <c r="E42" t="inlineStr">
        <is>
          <t xml:space="preserve">장수마다 따로 돈다</t>
        </is>
      </c>
    </row>
    <row r="43">
      <c r="A43" t="inlineStr">
        <is>
          <t xml:space="preserve">병원 치료 소요</t>
        </is>
      </c>
      <c r="B43" t="inlineStr">
        <is>
          <t xml:space="preserve">healMin</t>
        </is>
      </c>
      <c r="C43">
        <v>1</v>
      </c>
      <c r="D43" t="inlineStr">
        <is>
          <t xml:space="preserve">분</t>
        </is>
      </c>
      <c r="E43" t="inlineStr">
        <is>
          <t xml:space="preserve">즉시가 아니다</t>
        </is>
      </c>
    </row>
    <row r="44">
      <c r="A44" t="inlineStr">
        <is>
          <t xml:space="preserve">병원 room 쿨타임</t>
        </is>
      </c>
      <c r="B44" t="inlineStr">
        <is>
          <t xml:space="preserve">roomCooldownMin</t>
        </is>
      </c>
      <c r="C44">
        <v>5</v>
      </c>
      <c r="D44" t="inlineStr">
        <is>
          <t xml:space="preserve">분</t>
        </is>
      </c>
      <c r="E44" t="inlineStr">
        <is>
          <t xml:space="preserve">재사용 주기는 치료 1분 + 쿨 5분 = 6분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고유 스킬</vt:lpstr>
      <vt:lpstr>책략</vt:lpstr>
      <vt:lpstr>오라매핑</vt:lpstr>
      <vt:lpstr>장수</vt:lpstr>
      <vt:lpstr>병종</vt:lpstr>
      <vt:lpstr>게임 환경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JoongEun Jung</dc:creator>
  <cp:lastModifiedBy>JoongEun Jung</cp:lastModifiedBy>
  <dcterms:created xsi:type="dcterms:W3CDTF">2026-07-19T05:03:10Z</dcterms:created>
  <dcterms:modified xsi:type="dcterms:W3CDTF">2026-08-12T23:59:41Z</dcterms:modified>
</cp:coreProperties>
</file>