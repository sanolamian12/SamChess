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860" yWindow="-8050" windowWidth="19200" windowHeight="9980" tabRatio="600" firstSheet="0" activeTab="0" autoFilterDateGrouping="1"/>
  </bookViews>
  <sheets>
    <sheet xmlns:r="http://schemas.openxmlformats.org/officeDocument/2006/relationships" name="컬렉션" sheetId="1" state="visible" r:id="rId1"/>
    <sheet xmlns:r="http://schemas.openxmlformats.org/officeDocument/2006/relationships" name="한글 제목" sheetId="2" state="visible" r:id="rId2"/>
    <sheet xmlns:r="http://schemas.openxmlformats.org/officeDocument/2006/relationships" name="비용표" sheetId="3" state="visible" r:id="rId3"/>
    <sheet xmlns:r="http://schemas.openxmlformats.org/officeDocument/2006/relationships" name="칸" sheetId="4" state="visible" r:id="rId4"/>
    <sheet xmlns:r="http://schemas.openxmlformats.org/officeDocument/2006/relationships" name="규칙" sheetId="5" state="visible" r:id="rId5"/>
  </sheets>
  <definedNames>
    <definedName name="_xlnm._FilterDatabase" localSheetId="0" hidden="1">'컬렉션'!$A$1:$T$118</definedName>
  </definedNames>
  <calcPr calcId="191029" fullCalcOnLoad="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b val="1"/>
      <color rgb="FFFFFFFF"/>
      <sz val="10"/>
    </font>
    <font>
      <name val="맑은 고딕"/>
      <charset val="129"/>
      <family val="3"/>
      <sz val="10"/>
    </font>
    <font>
      <name val="맑은 고딕"/>
      <charset val="129"/>
      <family val="3"/>
      <color rgb="FF0000FF"/>
      <sz val="10"/>
    </font>
    <font>
      <name val="맑은 고딕"/>
      <charset val="129"/>
      <family val="3"/>
      <b val="1"/>
      <sz val="10"/>
    </font>
    <font>
      <name val="맑은 고딕"/>
      <charset val="129"/>
      <family val="3"/>
      <i val="1"/>
      <sz val="10"/>
    </font>
    <font>
      <name val="맑은 고딕"/>
      <charset val="129"/>
      <family val="3"/>
      <color rgb="FF808080"/>
      <sz val="10"/>
    </font>
    <font>
      <name val="맑은 고딕"/>
      <charset val="129"/>
      <family val="3"/>
      <sz val="8"/>
      <scheme val="minor"/>
    </font>
    <font>
      <b val="1"/>
    </font>
  </fonts>
  <fills count="5">
    <fill>
      <patternFill/>
    </fill>
    <fill>
      <patternFill patternType="gray125"/>
    </fill>
    <fill>
      <patternFill patternType="solid">
        <fgColor rgb="FF5B3A1E"/>
      </patternFill>
    </fill>
    <fill>
      <patternFill patternType="solid">
        <fgColor rgb="FFFFF7D6"/>
      </patternFill>
    </fill>
    <fill>
      <patternFill patternType="solid">
        <fgColor rgb="00DDD3BF"/>
      </patternFill>
    </fill>
  </fills>
  <borders count="2">
    <border>
      <left/>
      <right/>
      <top/>
      <bottom/>
      <diagonal/>
    </border>
    <border>
      <left style="thin">
        <color rgb="FFC8B89A"/>
      </left>
      <right style="thin">
        <color rgb="FFC8B89A"/>
      </right>
      <top style="thin">
        <color rgb="FFC8B89A"/>
      </top>
      <bottom style="thin">
        <color rgb="FFC8B89A"/>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xf>
    <xf numFmtId="0" fontId="4" fillId="0" borderId="1" applyAlignment="1" pivotButton="0" quotePrefix="0" xfId="0">
      <alignment vertical="top"/>
    </xf>
    <xf numFmtId="0" fontId="2" fillId="0" borderId="1" applyAlignment="1" pivotButton="0" quotePrefix="0" xfId="0">
      <alignment vertical="top" wrapText="1"/>
    </xf>
    <xf numFmtId="0" fontId="2" fillId="0" borderId="1" pivotButton="0" quotePrefix="0" xfId="0"/>
    <xf numFmtId="0" fontId="3" fillId="3" borderId="1" pivotButton="0" quotePrefix="0" xfId="0"/>
    <xf numFmtId="0" fontId="4" fillId="0" borderId="0" pivotButton="0" quotePrefix="0" xfId="0"/>
    <xf numFmtId="0" fontId="1" fillId="2" borderId="1" pivotButton="0" quotePrefix="0" xfId="0"/>
    <xf numFmtId="0" fontId="5" fillId="0" borderId="0" pivotButton="0" quotePrefix="0" xfId="0"/>
    <xf numFmtId="0" fontId="6" fillId="0" borderId="1" pivotButton="0" quotePrefix="0" xfId="0"/>
    <xf numFmtId="0" fontId="4" fillId="0" borderId="1" pivotButton="0" quotePrefix="0" xfId="0"/>
    <xf numFmtId="0" fontId="8" fillId="4" borderId="0" applyAlignment="1" pivotButton="0" quotePrefix="0" xfId="0">
      <alignment horizontal="center"/>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기획 초안</author>
  </authors>
  <commentList>
    <comment ref="D1" authorId="0" shapeId="0">
      <text>
        <t>두루마리 제목에 붓글씨 글꼴로 쓴다. 라벨 그림에는 글자가 없다.</t>
      </text>
    </comment>
    <comment ref="E1" authorId="0" shapeId="0">
      <text>
        <t>「칸」 시트에서 수식으로 모은다 — 칸 시트를 고치면 따라 바뀐다. 컬렉션 #는 칸 시트에서 오름차순이어야 한다.</t>
      </text>
    </comment>
    <comment ref="G1" authorId="0" shapeId="0">
      <text>
        <t>상세 화면(두루마리)에 쓰이는 두세 문장. 정사와 연의가 다른 대목은 문장 안에 밝혔다.</t>
      </text>
    </comment>
    <comment ref="L1" authorId="0" shapeId="0">
      <text>
        <t>효과 열(M~T)에서 만든 글이다. 효과를 고치면 이 칸도 함께 고친다.</t>
      </text>
    </comment>
    <comment ref="T1" authorId="0" shapeId="0">
      <text>
        <t>grainRate 군량 충전% · grainCap 최대 군량 · forge 제조 시간% · heal 치료 시간% · research 연구 시간% · raidLoot 도적떼 약탈 %p · raidResp 응전 분</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18"/>
  <sheetViews>
    <sheetView tabSelected="1" workbookViewId="0">
      <pane ySplit="1" topLeftCell="A2" activePane="bottomLeft" state="frozen"/>
      <selection pane="bottomLeft" activeCell="A1" sqref="A1"/>
    </sheetView>
  </sheetViews>
  <sheetFormatPr baseColWidth="8" defaultRowHeight="17"/>
  <cols>
    <col width="5" customWidth="1" min="1" max="1"/>
    <col width="22" customWidth="1" min="2" max="2"/>
    <col width="18" customWidth="1" min="3" max="3"/>
    <col width="16" customWidth="1" min="4" max="4"/>
    <col width="40" customWidth="1" min="5" max="5"/>
    <col width="44" customWidth="1" min="6" max="6"/>
    <col width="70" customWidth="1" min="7" max="7"/>
    <col width="6" customWidth="1" min="8" max="8"/>
    <col width="7" customWidth="1" min="9" max="11"/>
    <col width="46" customWidth="1" min="12" max="12"/>
    <col width="9" customWidth="1" min="13" max="13"/>
    <col width="18" customWidth="1" min="14" max="14"/>
    <col width="8" customWidth="1" min="15" max="15"/>
    <col width="6" customWidth="1" min="16" max="16"/>
    <col width="26" customWidth="1" min="17" max="17"/>
    <col width="8" customWidth="1" min="18" max="18"/>
    <col width="14" customWidth="1" min="19" max="19"/>
    <col width="11" customWidth="1" min="20" max="20"/>
    <col width="10" customWidth="1" min="21" max="21"/>
  </cols>
  <sheetData>
    <row r="1" ht="30" customHeight="1">
      <c r="A1" s="1" t="inlineStr">
        <is>
          <t>#</t>
        </is>
      </c>
      <c r="B1" s="1" t="inlineStr">
        <is>
          <t>장</t>
        </is>
      </c>
      <c r="C1" s="1" t="inlineStr">
        <is>
          <t>타이틀</t>
        </is>
      </c>
      <c r="D1" s="1" t="inlineStr">
        <is>
          <t>한자</t>
        </is>
      </c>
      <c r="E1" s="1" t="inlineStr">
        <is>
          <t>달성 조건</t>
        </is>
      </c>
      <c r="F1" s="1" t="inlineStr">
        <is>
          <t>설명</t>
        </is>
      </c>
      <c r="G1" s="1" t="inlineStr">
        <is>
          <t>상세 설명</t>
        </is>
      </c>
      <c r="H1" s="1" t="inlineStr">
        <is>
          <t>칸 수</t>
        </is>
      </c>
      <c r="I1" s="1" t="inlineStr">
        <is>
          <t>비용</t>
        </is>
      </c>
      <c r="J1" s="1" t="inlineStr">
        <is>
          <t>등급</t>
        </is>
      </c>
      <c r="K1" s="1" t="inlineStr">
        <is>
          <t>점수</t>
        </is>
      </c>
      <c r="L1" s="1" t="inlineStr">
        <is>
          <t>효과 (읽는 글)</t>
        </is>
      </c>
      <c r="M1" s="1" t="inlineStr">
        <is>
          <t>효과 종류</t>
        </is>
      </c>
      <c r="N1" s="1" t="inlineStr">
        <is>
          <t>대상</t>
        </is>
      </c>
      <c r="O1" s="1" t="inlineStr">
        <is>
          <t>능력치</t>
        </is>
      </c>
      <c r="P1" s="1" t="inlineStr">
        <is>
          <t>값</t>
        </is>
      </c>
      <c r="Q1" s="1" t="inlineStr">
        <is>
          <t>함께 참전</t>
        </is>
      </c>
      <c r="R1" s="1" t="inlineStr">
        <is>
          <t>함께 최소</t>
        </is>
      </c>
      <c r="S1" s="1" t="inlineStr">
        <is>
          <t>적진에</t>
        </is>
      </c>
      <c r="T1" s="1" t="inlineStr">
        <is>
          <t>도시 키</t>
        </is>
      </c>
    </row>
    <row r="2" ht="32" customHeight="1">
      <c r="A2" s="2" t="n">
        <v>1</v>
      </c>
      <c r="B2" s="2" t="inlineStr">
        <is>
          <t>① 황건 · 반동탁 (184~192)</t>
        </is>
      </c>
      <c r="C2" s="3" t="inlineStr">
        <is>
          <t>도원결의</t>
        </is>
      </c>
      <c r="D2" s="2" t="inlineStr">
        <is>
          <t>桃園結義</t>
        </is>
      </c>
      <c r="E2" s="4">
        <f>INDEX(칸!$I$2:$I$416,MATCH(A2,칸!$A$2:$A$416,1))</f>
        <v/>
      </c>
      <c r="F2" s="4" t="inlineStr">
        <is>
          <t>삼국지의 시작. 세 사람은 복숭아나무 뜰에서 의형제를 맺었다고 한다.</t>
        </is>
      </c>
      <c r="G2" s="4" t="inlineStr">
        <is>
          <t>황건적이 일어난 해, 탁현의 유비 · 관우 · 장비는 장비의 집 뒤뜰 복숭아밭에서 의형제를 맺었다. 같은 날 태어나지 못했으나 같은 날 죽기를 바란다는 맹세는 세 사람의 평생을 묶었다.</t>
        </is>
      </c>
      <c r="H2" s="2">
        <f>COUNTIF(칸!$A$2:$A$416,A2)</f>
        <v/>
      </c>
      <c r="I2" s="2">
        <f>SUMIF(칸!$A$2:$A$416,A2,칸!$H$2:$H$416)</f>
        <v/>
      </c>
      <c r="J2" s="2">
        <f>INDEX(비용표!$A$13:$A$17,MATCH(I2,비용표!$B$13:$B$17,1))</f>
        <v/>
      </c>
      <c r="K2" s="2">
        <f>INDEX(비용표!$C$13:$C$17,MATCH(I2,비용표!$B$13:$B$17,1))</f>
        <v/>
      </c>
      <c r="L2" s="4" t="inlineStr">
        <is>
          <t>유비·관우·장비 함께 참전 시 유비·관우·장비 HP+2</t>
        </is>
      </c>
      <c r="M2" s="2" t="inlineStr">
        <is>
          <t>능력치</t>
        </is>
      </c>
      <c r="N2" s="2" t="inlineStr">
        <is>
          <t>유비·관우·장비</t>
        </is>
      </c>
      <c r="O2" s="2" t="inlineStr">
        <is>
          <t>HP</t>
        </is>
      </c>
      <c r="P2" s="2" t="n">
        <v>2</v>
      </c>
      <c r="Q2" s="4" t="inlineStr">
        <is>
          <t>유비·관우·장비</t>
        </is>
      </c>
      <c r="R2" s="2" t="n"/>
      <c r="S2" s="2" t="n"/>
      <c r="T2" s="2" t="n"/>
    </row>
    <row r="3" ht="32" customHeight="1">
      <c r="A3" s="2" t="n">
        <v>2</v>
      </c>
      <c r="B3" s="2" t="inlineStr">
        <is>
          <t>① 황건 · 반동탁 (184~192)</t>
        </is>
      </c>
      <c r="C3" s="3" t="inlineStr">
        <is>
          <t>황건적 토벌</t>
        </is>
      </c>
      <c r="D3" s="2" t="inlineStr">
        <is>
          <t>討黃巾賊</t>
        </is>
      </c>
      <c r="E3" s="4">
        <f>INDEX(칸!$I$2:$I$416,MATCH(A3,칸!$A$2:$A$416,1))</f>
        <v/>
      </c>
      <c r="F3" s="4" t="inlineStr">
        <is>
          <t>태평도의 장각이 일으킨 난. 훗날 천하를 나눌 세 사람이 같은 전장에 섰다.</t>
        </is>
      </c>
      <c r="G3" s="4" t="inlineStr">
        <is>
          <t>태평도의 교주 장각이 「창천은 이미 죽었다」며 수십만 신도를 일으켰다. 토벌에 나선 관군과 의병 가운데 유비 · 조조 · 손견이 있었다 — 훗날 천하를 셋으로 나눌 이들의 첫 전장이다.</t>
        </is>
      </c>
      <c r="H3" s="2">
        <f>COUNTIF(칸!$A$2:$A$416,A3)</f>
        <v/>
      </c>
      <c r="I3" s="2">
        <f>SUMIF(칸!$A$2:$A$416,A3,칸!$H$2:$H$416)</f>
        <v/>
      </c>
      <c r="J3" s="2">
        <f>INDEX(비용표!$A$13:$A$17,MATCH(I3,비용표!$B$13:$B$17,1))</f>
        <v/>
      </c>
      <c r="K3" s="2">
        <f>INDEX(비용표!$C$13:$C$17,MATCH(I3,비용표!$B$13:$B$17,1))</f>
        <v/>
      </c>
      <c r="L3" s="4" t="inlineStr">
        <is>
          <t>도적떼 약탈률 −1%p (도적 1명당 10% → 9%)</t>
        </is>
      </c>
      <c r="M3" s="2" t="inlineStr">
        <is>
          <t>도시</t>
        </is>
      </c>
      <c r="N3" s="2" t="n"/>
      <c r="O3" s="2" t="n"/>
      <c r="P3" s="2" t="n">
        <v>1</v>
      </c>
      <c r="Q3" s="4" t="n"/>
      <c r="R3" s="2" t="n"/>
      <c r="S3" s="2" t="n"/>
      <c r="T3" s="2" t="inlineStr">
        <is>
          <t>raidLoot</t>
        </is>
      </c>
    </row>
    <row r="4" ht="48" customHeight="1">
      <c r="A4" s="2" t="n">
        <v>3</v>
      </c>
      <c r="B4" s="2" t="inlineStr">
        <is>
          <t>① 황건 · 반동탁 (184~192)</t>
        </is>
      </c>
      <c r="C4" s="3" t="inlineStr">
        <is>
          <t>온주참화웅</t>
        </is>
      </c>
      <c r="D4" s="2" t="inlineStr">
        <is>
          <t>溫酒斬華雄</t>
        </is>
      </c>
      <c r="E4" s="4">
        <f>INDEX(칸!$I$2:$I$416,MATCH(A4,칸!$A$2:$A$416,1))</f>
        <v/>
      </c>
      <c r="F4" s="4" t="inlineStr">
        <is>
          <t>데운 술이 식기 전에 화웅의 목을 베어 돌아왔다.</t>
        </is>
      </c>
      <c r="G4" s="4" t="inlineStr">
        <is>
          <t>사수관 앞에서 동탁의 맹장 화웅이 연합군 장수들을 잇달아 베자, 마궁수에 불과하던 관우가 나섰다. 조조가 따라 준 데운 술이 식기도 전에 관우는 화웅의 목을 들고 돌아왔다고 연의는 전한다.</t>
        </is>
      </c>
      <c r="H4" s="2">
        <f>COUNTIF(칸!$A$2:$A$416,A4)</f>
        <v/>
      </c>
      <c r="I4" s="2">
        <f>SUMIF(칸!$A$2:$A$416,A4,칸!$H$2:$H$416)</f>
        <v/>
      </c>
      <c r="J4" s="2">
        <f>INDEX(비용표!$A$13:$A$17,MATCH(I4,비용표!$B$13:$B$17,1))</f>
        <v/>
      </c>
      <c r="K4" s="2">
        <f>INDEX(비용표!$C$13:$C$17,MATCH(I4,비용표!$B$13:$B$17,1))</f>
        <v/>
      </c>
      <c r="L4" s="4" t="inlineStr">
        <is>
          <t>적진에 화웅 시 관우 무력+2</t>
        </is>
      </c>
      <c r="M4" s="2" t="inlineStr">
        <is>
          <t>능력치</t>
        </is>
      </c>
      <c r="N4" s="2" t="inlineStr">
        <is>
          <t>관우</t>
        </is>
      </c>
      <c r="O4" s="2" t="inlineStr">
        <is>
          <t>무력</t>
        </is>
      </c>
      <c r="P4" s="2" t="n">
        <v>2</v>
      </c>
      <c r="Q4" s="4" t="n"/>
      <c r="R4" s="2" t="n"/>
      <c r="S4" s="2" t="inlineStr">
        <is>
          <t>화웅</t>
        </is>
      </c>
      <c r="T4" s="2" t="n"/>
    </row>
    <row r="5" ht="32" customHeight="1">
      <c r="A5" s="2" t="n">
        <v>4</v>
      </c>
      <c r="B5" s="2" t="inlineStr">
        <is>
          <t>① 황건 · 반동탁 (184~192)</t>
        </is>
      </c>
      <c r="C5" s="3" t="inlineStr">
        <is>
          <t>호뢰관 삼영전여포</t>
        </is>
      </c>
      <c r="D5" s="2" t="inlineStr">
        <is>
          <t>虎牢關三英戰呂布</t>
        </is>
      </c>
      <c r="E5" s="4">
        <f>INDEX(칸!$I$2:$I$416,MATCH(A5,칸!$A$2:$A$416,1))</f>
        <v/>
      </c>
      <c r="F5" s="4" t="inlineStr">
        <is>
          <t>세 형제가 함께 덤벼서야 여포를 물러나게 했다.</t>
        </is>
      </c>
      <c r="G5" s="4" t="inlineStr">
        <is>
          <t>호뢰관에 나선 여포를 당할 자가 없자 장비가 맞붙었고, 관우와 유비가 차례로 뛰어들었다. 세 사람이 한꺼번에 덤벼서야 여포는 말머리를 돌렸다 — 연의가 그린 삼국 최고의 일기토다.</t>
        </is>
      </c>
      <c r="H5" s="2">
        <f>COUNTIF(칸!$A$2:$A$416,A5)</f>
        <v/>
      </c>
      <c r="I5" s="2">
        <f>SUMIF(칸!$A$2:$A$416,A5,칸!$H$2:$H$416)</f>
        <v/>
      </c>
      <c r="J5" s="2">
        <f>INDEX(비용표!$A$13:$A$17,MATCH(I5,비용표!$B$13:$B$17,1))</f>
        <v/>
      </c>
      <c r="K5" s="2">
        <f>INDEX(비용표!$C$13:$C$17,MATCH(I5,비용표!$B$13:$B$17,1))</f>
        <v/>
      </c>
      <c r="L5" s="4" t="inlineStr">
        <is>
          <t>적진에 여포 시 장비 무력+2</t>
        </is>
      </c>
      <c r="M5" s="2" t="inlineStr">
        <is>
          <t>능력치</t>
        </is>
      </c>
      <c r="N5" s="2" t="inlineStr">
        <is>
          <t>장비</t>
        </is>
      </c>
      <c r="O5" s="2" t="inlineStr">
        <is>
          <t>무력</t>
        </is>
      </c>
      <c r="P5" s="2" t="n">
        <v>2</v>
      </c>
      <c r="Q5" s="4" t="n"/>
      <c r="R5" s="2" t="n"/>
      <c r="S5" s="2" t="inlineStr">
        <is>
          <t>여포</t>
        </is>
      </c>
      <c r="T5" s="2" t="n"/>
    </row>
    <row r="6" ht="32" customHeight="1">
      <c r="A6" s="2" t="n">
        <v>5</v>
      </c>
      <c r="B6" s="2" t="inlineStr">
        <is>
          <t>① 황건 · 반동탁 (184~192)</t>
        </is>
      </c>
      <c r="C6" s="3" t="inlineStr">
        <is>
          <t>반동탁 연합군</t>
        </is>
      </c>
      <c r="D6" s="2" t="inlineStr">
        <is>
          <t>反董卓聯合軍</t>
        </is>
      </c>
      <c r="E6" s="4">
        <f>INDEX(칸!$I$2:$I$416,MATCH(A6,칸!$A$2:$A$416,1))</f>
        <v/>
      </c>
      <c r="F6" s="4" t="inlineStr">
        <is>
          <t>열여덟 제후가 낙양을 향해 모였고, 맹주는 원소였다.</t>
        </is>
      </c>
      <c r="G6" s="4" t="inlineStr">
        <is>
          <t>동탁이 황제를 갈아 치우자 관동의 제후들이 군사를 일으켜 원소를 맹주로 세웠다. 그러나 제후들은 서로를 견제하며 나아가지 않았고, 연합은 공을 다투다 흩어졌다.</t>
        </is>
      </c>
      <c r="H6" s="2">
        <f>COUNTIF(칸!$A$2:$A$416,A6)</f>
        <v/>
      </c>
      <c r="I6" s="2">
        <f>SUMIF(칸!$A$2:$A$416,A6,칸!$H$2:$H$416)</f>
        <v/>
      </c>
      <c r="J6" s="2">
        <f>INDEX(비용표!$A$13:$A$17,MATCH(I6,비용표!$B$13:$B$17,1))</f>
        <v/>
      </c>
      <c r="K6" s="2">
        <f>INDEX(비용표!$C$13:$C$17,MATCH(I6,비용표!$B$13:$B$17,1))</f>
        <v/>
      </c>
      <c r="L6" s="4" t="inlineStr">
        <is>
          <t>원소 통솔+2</t>
        </is>
      </c>
      <c r="M6" s="2" t="inlineStr">
        <is>
          <t>능력치</t>
        </is>
      </c>
      <c r="N6" s="2" t="inlineStr">
        <is>
          <t>원소</t>
        </is>
      </c>
      <c r="O6" s="2" t="inlineStr">
        <is>
          <t>통솔</t>
        </is>
      </c>
      <c r="P6" s="2" t="n">
        <v>2</v>
      </c>
      <c r="Q6" s="4" t="n"/>
      <c r="R6" s="2" t="n"/>
      <c r="S6" s="2" t="n"/>
      <c r="T6" s="2" t="n"/>
    </row>
    <row r="7" ht="32" customHeight="1">
      <c r="A7" s="2" t="n">
        <v>6</v>
      </c>
      <c r="B7" s="2" t="inlineStr">
        <is>
          <t>① 황건 · 반동탁 (184~192)</t>
        </is>
      </c>
      <c r="C7" s="3" t="inlineStr">
        <is>
          <t>장안 천도</t>
        </is>
      </c>
      <c r="D7" s="2" t="inlineStr">
        <is>
          <t>長安遷都</t>
        </is>
      </c>
      <c r="E7" s="4">
        <f>INDEX(칸!$I$2:$I$416,MATCH(A7,칸!$A$2:$A$416,1))</f>
        <v/>
      </c>
      <c r="F7" s="4" t="inlineStr">
        <is>
          <t>동탁은 낙양을 불태우고 황제와 백성을 장안으로 끌고 갔다.</t>
        </is>
      </c>
      <c r="G7" s="4" t="inlineStr">
        <is>
          <t>연합군에 밀린 동탁은 낙양의 궁궐과 민가를 불사르고 황제와 백성 수백만을 장안으로 끌고 갔다. 길에서 쓰러진 백성이 헤아릴 수 없었고, 낙양은 폐허가 되었다.</t>
        </is>
      </c>
      <c r="H7" s="2">
        <f>COUNTIF(칸!$A$2:$A$416,A7)</f>
        <v/>
      </c>
      <c r="I7" s="2">
        <f>SUMIF(칸!$A$2:$A$416,A7,칸!$H$2:$H$416)</f>
        <v/>
      </c>
      <c r="J7" s="2">
        <f>INDEX(비용표!$A$13:$A$17,MATCH(I7,비용표!$B$13:$B$17,1))</f>
        <v/>
      </c>
      <c r="K7" s="2">
        <f>INDEX(비용표!$C$13:$C$17,MATCH(I7,비용표!$B$13:$B$17,1))</f>
        <v/>
      </c>
      <c r="L7" s="4" t="inlineStr">
        <is>
          <t>동탁 HP+1</t>
        </is>
      </c>
      <c r="M7" s="2" t="inlineStr">
        <is>
          <t>능력치</t>
        </is>
      </c>
      <c r="N7" s="2" t="inlineStr">
        <is>
          <t>동탁</t>
        </is>
      </c>
      <c r="O7" s="2" t="inlineStr">
        <is>
          <t>HP</t>
        </is>
      </c>
      <c r="P7" s="2" t="n">
        <v>1</v>
      </c>
      <c r="Q7" s="4" t="n"/>
      <c r="R7" s="2" t="n"/>
      <c r="S7" s="2" t="n"/>
      <c r="T7" s="2" t="n"/>
    </row>
    <row r="8" ht="32" customHeight="1">
      <c r="A8" s="2" t="n">
        <v>7</v>
      </c>
      <c r="B8" s="2" t="inlineStr">
        <is>
          <t>① 황건 · 반동탁 (184~192)</t>
        </is>
      </c>
      <c r="C8" s="3" t="inlineStr">
        <is>
          <t>칠성보도 헌상</t>
        </is>
      </c>
      <c r="D8" s="2" t="inlineStr">
        <is>
          <t>獻七星寶刀</t>
        </is>
      </c>
      <c r="E8" s="4">
        <f>INDEX(칸!$I$2:$I$416,MATCH(A8,칸!$A$2:$A$416,1))</f>
        <v/>
      </c>
      <c r="F8" s="4" t="inlineStr">
        <is>
          <t>동탁을 찌르려던 칼은 들키는 순간 헌상품이 되었다.</t>
        </is>
      </c>
      <c r="G8" s="4" t="inlineStr">
        <is>
          <t>왕윤에게서 칠성보도를 빌린 조조는 동탁의 침소에서 칼을 뽑았으나, 거울에 비친 모습에 동탁이 돌아보았다. 조조는 칼을 바치러 왔다며 무릎을 꿇었고, 그 길로 낙양을 빠져나갔다.</t>
        </is>
      </c>
      <c r="H8" s="2">
        <f>COUNTIF(칸!$A$2:$A$416,A8)</f>
        <v/>
      </c>
      <c r="I8" s="2">
        <f>SUMIF(칸!$A$2:$A$416,A8,칸!$H$2:$H$416)</f>
        <v/>
      </c>
      <c r="J8" s="2">
        <f>INDEX(비용표!$A$13:$A$17,MATCH(I8,비용표!$B$13:$B$17,1))</f>
        <v/>
      </c>
      <c r="K8" s="2">
        <f>INDEX(비용표!$C$13:$C$17,MATCH(I8,비용표!$B$13:$B$17,1))</f>
        <v/>
      </c>
      <c r="L8" s="4" t="inlineStr">
        <is>
          <t>적진에 동탁 시 조조 무력+2</t>
        </is>
      </c>
      <c r="M8" s="2" t="inlineStr">
        <is>
          <t>능력치</t>
        </is>
      </c>
      <c r="N8" s="2" t="inlineStr">
        <is>
          <t>조조</t>
        </is>
      </c>
      <c r="O8" s="2" t="inlineStr">
        <is>
          <t>무력</t>
        </is>
      </c>
      <c r="P8" s="2" t="n">
        <v>2</v>
      </c>
      <c r="Q8" s="4" t="n"/>
      <c r="R8" s="2" t="n"/>
      <c r="S8" s="2" t="inlineStr">
        <is>
          <t>동탁</t>
        </is>
      </c>
      <c r="T8" s="2" t="n"/>
    </row>
    <row r="9" ht="48" customHeight="1">
      <c r="A9" s="2" t="n">
        <v>8</v>
      </c>
      <c r="B9" s="2" t="inlineStr">
        <is>
          <t>① 황건 · 반동탁 (184~192)</t>
        </is>
      </c>
      <c r="C9" s="3" t="inlineStr">
        <is>
          <t>진궁의 결별</t>
        </is>
      </c>
      <c r="D9" s="2" t="inlineStr">
        <is>
          <t>陳宮決別</t>
        </is>
      </c>
      <c r="E9" s="4">
        <f>INDEX(칸!$I$2:$I$416,MATCH(A9,칸!$A$2:$A$416,1))</f>
        <v/>
      </c>
      <c r="F9" s="4" t="inlineStr">
        <is>
          <t>「차라리 내가 천하를 버릴지언정」 — 진궁은 그 밤에 조조를 떠났다.</t>
        </is>
      </c>
      <c r="G9" s="4" t="inlineStr">
        <is>
          <t>동탁을 피해 달아나던 조조를 현령 진궁이 풀어 주고 함께 길을 떠났다. 그러나 여백사 일가를 오해로 죽이고도 「내가 천하를 버릴지언정」이라 말하는 조조를 보고, 진궁은 그 밤에 떠났다.</t>
        </is>
      </c>
      <c r="H9" s="2">
        <f>COUNTIF(칸!$A$2:$A$416,A9)</f>
        <v/>
      </c>
      <c r="I9" s="2">
        <f>SUMIF(칸!$A$2:$A$416,A9,칸!$H$2:$H$416)</f>
        <v/>
      </c>
      <c r="J9" s="2">
        <f>INDEX(비용표!$A$13:$A$17,MATCH(I9,비용표!$B$13:$B$17,1))</f>
        <v/>
      </c>
      <c r="K9" s="2">
        <f>INDEX(비용표!$C$13:$C$17,MATCH(I9,비용표!$B$13:$B$17,1))</f>
        <v/>
      </c>
      <c r="L9" s="4" t="inlineStr">
        <is>
          <t>적진에 조조 시 진궁 통솔+1</t>
        </is>
      </c>
      <c r="M9" s="2" t="inlineStr">
        <is>
          <t>능력치</t>
        </is>
      </c>
      <c r="N9" s="2" t="inlineStr">
        <is>
          <t>진궁</t>
        </is>
      </c>
      <c r="O9" s="2" t="inlineStr">
        <is>
          <t>통솔</t>
        </is>
      </c>
      <c r="P9" s="2" t="n">
        <v>1</v>
      </c>
      <c r="Q9" s="4" t="n"/>
      <c r="R9" s="2" t="n"/>
      <c r="S9" s="2" t="inlineStr">
        <is>
          <t>조조</t>
        </is>
      </c>
      <c r="T9" s="2" t="n"/>
    </row>
    <row r="10" ht="32" customHeight="1">
      <c r="A10" s="2" t="n">
        <v>9</v>
      </c>
      <c r="B10" s="2" t="inlineStr">
        <is>
          <t>① 황건 · 반동탁 (184~192)</t>
        </is>
      </c>
      <c r="C10" s="3" t="inlineStr">
        <is>
          <t>형양의 추격</t>
        </is>
      </c>
      <c r="D10" s="2" t="inlineStr">
        <is>
          <t>滎陽追擊</t>
        </is>
      </c>
      <c r="E10" s="4">
        <f>INDEX(칸!$I$2:$I$416,MATCH(A10,칸!$A$2:$A$416,1))</f>
        <v/>
      </c>
      <c r="F10" s="4" t="inlineStr">
        <is>
          <t>「천하에 조홍은 없어도 되지만 공은 없어선 안 됩니다.」 — 조홍은 제 말을 내주었다.</t>
        </is>
      </c>
      <c r="G10" s="4" t="inlineStr">
        <is>
          <t>연합군 중 홀로 동탁을 추격한 조조는 형양에서 서영에게 크게 졌다. 말을 잃고 쓰러진 조조에게 조홍이 제 말을 내주며 「천하에 조홍은 없어도 되지만 공은 없어선 안 됩니다」라 했다.</t>
        </is>
      </c>
      <c r="H10" s="2">
        <f>COUNTIF(칸!$A$2:$A$416,A10)</f>
        <v/>
      </c>
      <c r="I10" s="2">
        <f>SUMIF(칸!$A$2:$A$416,A10,칸!$H$2:$H$416)</f>
        <v/>
      </c>
      <c r="J10" s="2">
        <f>INDEX(비용표!$A$13:$A$17,MATCH(I10,비용표!$B$13:$B$17,1))</f>
        <v/>
      </c>
      <c r="K10" s="2">
        <f>INDEX(비용표!$C$13:$C$17,MATCH(I10,비용표!$B$13:$B$17,1))</f>
        <v/>
      </c>
      <c r="L10" s="4" t="inlineStr">
        <is>
          <t>조조 함께 참전 시 조홍 HP+2</t>
        </is>
      </c>
      <c r="M10" s="2" t="inlineStr">
        <is>
          <t>능력치</t>
        </is>
      </c>
      <c r="N10" s="2" t="inlineStr">
        <is>
          <t>조홍</t>
        </is>
      </c>
      <c r="O10" s="2" t="inlineStr">
        <is>
          <t>HP</t>
        </is>
      </c>
      <c r="P10" s="2" t="n">
        <v>2</v>
      </c>
      <c r="Q10" s="4" t="inlineStr">
        <is>
          <t>조조</t>
        </is>
      </c>
      <c r="R10" s="2" t="n"/>
      <c r="S10" s="2" t="n"/>
      <c r="T10" s="2" t="n"/>
    </row>
    <row r="11" ht="32" customHeight="1">
      <c r="A11" s="2" t="n">
        <v>10</v>
      </c>
      <c r="B11" s="2" t="inlineStr">
        <is>
          <t>① 황건 · 반동탁 (184~192)</t>
        </is>
      </c>
      <c r="C11" s="3" t="inlineStr">
        <is>
          <t>손견과 전국옥새</t>
        </is>
      </c>
      <c r="D11" s="2" t="inlineStr">
        <is>
          <t>孫堅得玉璽</t>
        </is>
      </c>
      <c r="E11" s="4">
        <f>INDEX(칸!$I$2:$I$416,MATCH(A11,칸!$A$2:$A$416,1))</f>
        <v/>
      </c>
      <c r="F11" s="4" t="inlineStr">
        <is>
          <t>불탄 낙양의 우물에서 건져 올린 황제의 옥새.</t>
        </is>
      </c>
      <c r="G11" s="4" t="inlineStr">
        <is>
          <t>불탄 낙양에 먼저 들어간 손견은 궁궐 우물에서 황제의 옥새를 건졌다. 옥새를 숨긴 채 강동으로 돌아가려던 손견은 원소 · 유표와 원수가 되었다.</t>
        </is>
      </c>
      <c r="H11" s="2">
        <f>COUNTIF(칸!$A$2:$A$416,A11)</f>
        <v/>
      </c>
      <c r="I11" s="2">
        <f>SUMIF(칸!$A$2:$A$416,A11,칸!$H$2:$H$416)</f>
        <v/>
      </c>
      <c r="J11" s="2">
        <f>INDEX(비용표!$A$13:$A$17,MATCH(I11,비용표!$B$13:$B$17,1))</f>
        <v/>
      </c>
      <c r="K11" s="2">
        <f>INDEX(비용표!$C$13:$C$17,MATCH(I11,비용표!$B$13:$B$17,1))</f>
        <v/>
      </c>
      <c r="L11" s="4" t="inlineStr">
        <is>
          <t>손견 통솔+2</t>
        </is>
      </c>
      <c r="M11" s="2" t="inlineStr">
        <is>
          <t>능력치</t>
        </is>
      </c>
      <c r="N11" s="2" t="inlineStr">
        <is>
          <t>손견</t>
        </is>
      </c>
      <c r="O11" s="2" t="inlineStr">
        <is>
          <t>통솔</t>
        </is>
      </c>
      <c r="P11" s="2" t="n">
        <v>2</v>
      </c>
      <c r="Q11" s="4" t="n"/>
      <c r="R11" s="2" t="n"/>
      <c r="S11" s="2" t="n"/>
      <c r="T11" s="2" t="n"/>
    </row>
    <row r="12" ht="32" customHeight="1">
      <c r="A12" s="2" t="n">
        <v>11</v>
      </c>
      <c r="B12" s="2" t="inlineStr">
        <is>
          <t>① 황건 · 반동탁 (184~192)</t>
        </is>
      </c>
      <c r="C12" s="3" t="inlineStr">
        <is>
          <t>현산의 손견</t>
        </is>
      </c>
      <c r="D12" s="2" t="inlineStr">
        <is>
          <t>峴山伏兵</t>
        </is>
      </c>
      <c r="E12" s="4">
        <f>INDEX(칸!$I$2:$I$416,MATCH(A12,칸!$A$2:$A$416,1))</f>
        <v/>
      </c>
      <c r="F12" s="4" t="inlineStr">
        <is>
          <t>강동의 호랑이는 괴월의 매복에 걸려 현산에서 쓰러졌다.</t>
        </is>
      </c>
      <c r="G12" s="4" t="inlineStr">
        <is>
          <t>원술의 명으로 형주를 친 손견은 유표의 장수 황조를 몰아붙였다. 그러나 괴월의 계책으로 현산에 숨은 복병에게 돌과 화살을 맞아, 강동의 호랑이는 서른일곱에 쓰러졌다.</t>
        </is>
      </c>
      <c r="H12" s="2">
        <f>COUNTIF(칸!$A$2:$A$416,A12)</f>
        <v/>
      </c>
      <c r="I12" s="2">
        <f>SUMIF(칸!$A$2:$A$416,A12,칸!$H$2:$H$416)</f>
        <v/>
      </c>
      <c r="J12" s="2">
        <f>INDEX(비용표!$A$13:$A$17,MATCH(I12,비용표!$B$13:$B$17,1))</f>
        <v/>
      </c>
      <c r="K12" s="2">
        <f>INDEX(비용표!$C$13:$C$17,MATCH(I12,비용표!$B$13:$B$17,1))</f>
        <v/>
      </c>
      <c r="L12" s="4" t="inlineStr">
        <is>
          <t>적진에 손견 시 괴월 지력+2</t>
        </is>
      </c>
      <c r="M12" s="2" t="inlineStr">
        <is>
          <t>능력치</t>
        </is>
      </c>
      <c r="N12" s="2" t="inlineStr">
        <is>
          <t>괴월</t>
        </is>
      </c>
      <c r="O12" s="2" t="inlineStr">
        <is>
          <t>지력</t>
        </is>
      </c>
      <c r="P12" s="2" t="n">
        <v>2</v>
      </c>
      <c r="Q12" s="4" t="n"/>
      <c r="R12" s="2" t="n"/>
      <c r="S12" s="2" t="inlineStr">
        <is>
          <t>손견</t>
        </is>
      </c>
      <c r="T12" s="2" t="n"/>
    </row>
    <row r="13" ht="32" customHeight="1">
      <c r="A13" s="2" t="n">
        <v>12</v>
      </c>
      <c r="B13" s="2" t="inlineStr">
        <is>
          <t>① 황건 · 반동탁 (184~192)</t>
        </is>
      </c>
      <c r="C13" s="3" t="inlineStr">
        <is>
          <t>백마의종</t>
        </is>
      </c>
      <c r="D13" s="2" t="inlineStr">
        <is>
          <t>白馬義從</t>
        </is>
      </c>
      <c r="E13" s="4">
        <f>INDEX(칸!$I$2:$I$416,MATCH(A13,칸!$A$2:$A$416,1))</f>
        <v/>
      </c>
      <c r="F13" s="4" t="inlineStr">
        <is>
          <t>흰 말만 골라 탄 공손찬의 기병대는 이민족도 두려워했다.</t>
        </is>
      </c>
      <c r="G13" s="4" t="inlineStr">
        <is>
          <t>공손찬은 흰 말을 탄 활 잘 쏘는 기병 수천을 골라 「백마의종」이라 불렀다. 북방의 오환은 흰 말만 보면 달아났다고 하니, 그 이름만으로도 변경을 지켰다.</t>
        </is>
      </c>
      <c r="H13" s="2">
        <f>COUNTIF(칸!$A$2:$A$416,A13)</f>
        <v/>
      </c>
      <c r="I13" s="2">
        <f>SUMIF(칸!$A$2:$A$416,A13,칸!$H$2:$H$416)</f>
        <v/>
      </c>
      <c r="J13" s="2">
        <f>INDEX(비용표!$A$13:$A$17,MATCH(I13,비용표!$B$13:$B$17,1))</f>
        <v/>
      </c>
      <c r="K13" s="2">
        <f>INDEX(비용표!$C$13:$C$17,MATCH(I13,비용표!$B$13:$B$17,1))</f>
        <v/>
      </c>
      <c r="L13" s="4" t="inlineStr">
        <is>
          <t>공손찬 통솔+2</t>
        </is>
      </c>
      <c r="M13" s="2" t="inlineStr">
        <is>
          <t>능력치</t>
        </is>
      </c>
      <c r="N13" s="2" t="inlineStr">
        <is>
          <t>공손찬</t>
        </is>
      </c>
      <c r="O13" s="2" t="inlineStr">
        <is>
          <t>통솔</t>
        </is>
      </c>
      <c r="P13" s="2" t="n">
        <v>2</v>
      </c>
      <c r="Q13" s="4" t="n"/>
      <c r="R13" s="2" t="n"/>
      <c r="S13" s="2" t="n"/>
      <c r="T13" s="2" t="n"/>
    </row>
    <row r="14" ht="32" customHeight="1">
      <c r="A14" s="2" t="n">
        <v>13</v>
      </c>
      <c r="B14" s="2" t="inlineStr">
        <is>
          <t>① 황건 · 반동탁 (184~192)</t>
        </is>
      </c>
      <c r="C14" s="3" t="inlineStr">
        <is>
          <t>계교 전투</t>
        </is>
      </c>
      <c r="D14" s="2" t="inlineStr">
        <is>
          <t>界橋之戰</t>
        </is>
      </c>
      <c r="E14" s="4">
        <f>INDEX(칸!$I$2:$I$416,MATCH(A14,칸!$A$2:$A$416,1))</f>
        <v/>
      </c>
      <c r="F14" s="4" t="inlineStr">
        <is>
          <t>국의의 강노병이 백마의종을 무너뜨렸다.</t>
        </is>
      </c>
      <c r="G14" s="4" t="inlineStr">
        <is>
          <t>원소와 공손찬이 기주를 두고 계교에서 맞섰다. 원소의 장수 국의는 강노병 팔백을 방패 뒤에 숨겼다가 백마의종이 코앞에 오자 일제히 쏘아 무너뜨렸다.</t>
        </is>
      </c>
      <c r="H14" s="2">
        <f>COUNTIF(칸!$A$2:$A$416,A14)</f>
        <v/>
      </c>
      <c r="I14" s="2">
        <f>SUMIF(칸!$A$2:$A$416,A14,칸!$H$2:$H$416)</f>
        <v/>
      </c>
      <c r="J14" s="2">
        <f>INDEX(비용표!$A$13:$A$17,MATCH(I14,비용표!$B$13:$B$17,1))</f>
        <v/>
      </c>
      <c r="K14" s="2">
        <f>INDEX(비용표!$C$13:$C$17,MATCH(I14,비용표!$B$13:$B$17,1))</f>
        <v/>
      </c>
      <c r="L14" s="4" t="inlineStr">
        <is>
          <t>적진에 공손찬 시 국의 무력+2</t>
        </is>
      </c>
      <c r="M14" s="2" t="inlineStr">
        <is>
          <t>능력치</t>
        </is>
      </c>
      <c r="N14" s="2" t="inlineStr">
        <is>
          <t>국의</t>
        </is>
      </c>
      <c r="O14" s="2" t="inlineStr">
        <is>
          <t>무력</t>
        </is>
      </c>
      <c r="P14" s="2" t="n">
        <v>2</v>
      </c>
      <c r="Q14" s="4" t="n"/>
      <c r="R14" s="2" t="n"/>
      <c r="S14" s="2" t="inlineStr">
        <is>
          <t>공손찬</t>
        </is>
      </c>
      <c r="T14" s="2" t="n"/>
    </row>
    <row r="15" ht="32" customHeight="1">
      <c r="A15" s="2" t="n">
        <v>14</v>
      </c>
      <c r="B15" s="2" t="inlineStr">
        <is>
          <t>② 군웅할거 (192~199)</t>
        </is>
      </c>
      <c r="C15" s="3" t="inlineStr">
        <is>
          <t>이각과 곽사</t>
        </is>
      </c>
      <c r="D15" s="2" t="inlineStr">
        <is>
          <t>李傕郭汜</t>
        </is>
      </c>
      <c r="E15" s="4">
        <f>INDEX(칸!$I$2:$I$416,MATCH(A15,칸!$A$2:$A$416,1))</f>
        <v/>
      </c>
      <c r="F15" s="4" t="inlineStr">
        <is>
          <t>동탁이 죽은 뒤 장안을 차지한 두 장수는 곧 서로를 공격했다.</t>
        </is>
      </c>
      <c r="G15" s="4" t="inlineStr">
        <is>
          <t>왕윤과 여포가 동탁을 죽이자, 그 부장 이각과 곽사는 장안을 들이쳐 조정을 손에 넣었다. 그러나 둘은 곧 서로를 의심해 장안 한복판에서 싸웠고, 황제와 대신들은 인질이 되었다.</t>
        </is>
      </c>
      <c r="H15" s="2">
        <f>COUNTIF(칸!$A$2:$A$416,A15)</f>
        <v/>
      </c>
      <c r="I15" s="2">
        <f>SUMIF(칸!$A$2:$A$416,A15,칸!$H$2:$H$416)</f>
        <v/>
      </c>
      <c r="J15" s="2">
        <f>INDEX(비용표!$A$13:$A$17,MATCH(I15,비용표!$B$13:$B$17,1))</f>
        <v/>
      </c>
      <c r="K15" s="2">
        <f>INDEX(비용표!$C$13:$C$17,MATCH(I15,비용표!$B$13:$B$17,1))</f>
        <v/>
      </c>
      <c r="L15" s="4" t="inlineStr">
        <is>
          <t>이각·곽사 함께 참전 시 이각·곽사 HP+1</t>
        </is>
      </c>
      <c r="M15" s="2" t="inlineStr">
        <is>
          <t>능력치</t>
        </is>
      </c>
      <c r="N15" s="2" t="inlineStr">
        <is>
          <t>이각·곽사</t>
        </is>
      </c>
      <c r="O15" s="2" t="inlineStr">
        <is>
          <t>HP</t>
        </is>
      </c>
      <c r="P15" s="2" t="n">
        <v>1</v>
      </c>
      <c r="Q15" s="4" t="inlineStr">
        <is>
          <t>이각·곽사</t>
        </is>
      </c>
      <c r="R15" s="2" t="n"/>
      <c r="S15" s="2" t="n"/>
      <c r="T15" s="2" t="n"/>
    </row>
    <row r="16" ht="32" customHeight="1">
      <c r="A16" s="2" t="n">
        <v>15</v>
      </c>
      <c r="B16" s="2" t="inlineStr">
        <is>
          <t>② 군웅할거 (192~199)</t>
        </is>
      </c>
      <c r="C16" s="3" t="inlineStr">
        <is>
          <t>헌제의 동귀</t>
        </is>
      </c>
      <c r="D16" s="2" t="inlineStr">
        <is>
          <t>獻帝東歸</t>
        </is>
      </c>
      <c r="E16" s="4">
        <f>INDEX(칸!$I$2:$I$416,MATCH(A16,칸!$A$2:$A$416,1))</f>
        <v/>
      </c>
      <c r="F16" s="4" t="inlineStr">
        <is>
          <t>이각 · 곽사에게 쫓기던 황제를, 순욱의 「봉천자」 계책대로 조조가 허도로 맞았다.</t>
        </is>
      </c>
      <c r="G16" s="4" t="inlineStr">
        <is>
          <t>이각과 곽사에게 쫓기던 헌제는 한섬 · 서황의 호위를 받아 폐허가 된 낙양으로 돌아왔다. 순욱은 「천자를 받들어 천하를 호령하라」 권했고, 조조는 황제를 허도로 맞았다.</t>
        </is>
      </c>
      <c r="H16" s="2">
        <f>COUNTIF(칸!$A$2:$A$416,A16)</f>
        <v/>
      </c>
      <c r="I16" s="2">
        <f>SUMIF(칸!$A$2:$A$416,A16,칸!$H$2:$H$416)</f>
        <v/>
      </c>
      <c r="J16" s="2">
        <f>INDEX(비용표!$A$13:$A$17,MATCH(I16,비용표!$B$13:$B$17,1))</f>
        <v/>
      </c>
      <c r="K16" s="2">
        <f>INDEX(비용표!$C$13:$C$17,MATCH(I16,비용표!$B$13:$B$17,1))</f>
        <v/>
      </c>
      <c r="L16" s="4" t="inlineStr">
        <is>
          <t>헌제의 「황제옹립」 SP 7 → 6</t>
        </is>
      </c>
      <c r="M16" s="2" t="inlineStr">
        <is>
          <t>고유기술SP</t>
        </is>
      </c>
      <c r="N16" s="2" t="inlineStr">
        <is>
          <t>헌제</t>
        </is>
      </c>
      <c r="O16" s="2" t="n"/>
      <c r="P16" s="2" t="n">
        <v>-1</v>
      </c>
      <c r="Q16" s="4" t="n"/>
      <c r="R16" s="2" t="n"/>
      <c r="S16" s="2" t="n"/>
      <c r="T16" s="2" t="n"/>
    </row>
    <row r="17" ht="32" customHeight="1">
      <c r="A17" s="2" t="n">
        <v>16</v>
      </c>
      <c r="B17" s="2" t="inlineStr">
        <is>
          <t>② 군웅할거 (192~199)</t>
        </is>
      </c>
      <c r="C17" s="3" t="inlineStr">
        <is>
          <t>둔전제</t>
        </is>
      </c>
      <c r="D17" s="2" t="inlineStr">
        <is>
          <t>屯田制</t>
        </is>
      </c>
      <c r="E17" s="4">
        <f>INDEX(칸!$I$2:$I$416,MATCH(A17,칸!$A$2:$A$416,1))</f>
        <v/>
      </c>
      <c r="F17" s="4" t="inlineStr">
        <is>
          <t>유민에게 땅과 소를 주어 군량을 쌓았다. 조조 패업의 밑돌이다.</t>
        </is>
      </c>
      <c r="G17" s="4" t="inlineStr">
        <is>
          <t>전란으로 굶주린 유민이 넘치자 조조는 한호 · 조지의 건의로 둔전을 열었다. 백성과 병사에게 땅과 소를 나눠 농사를 짓게 하니 한 해에 백만 섬이 쌓였다.</t>
        </is>
      </c>
      <c r="H17" s="2">
        <f>COUNTIF(칸!$A$2:$A$416,A17)</f>
        <v/>
      </c>
      <c r="I17" s="2">
        <f>SUMIF(칸!$A$2:$A$416,A17,칸!$H$2:$H$416)</f>
        <v/>
      </c>
      <c r="J17" s="2">
        <f>INDEX(비용표!$A$13:$A$17,MATCH(I17,비용표!$B$13:$B$17,1))</f>
        <v/>
      </c>
      <c r="K17" s="2">
        <f>INDEX(비용표!$C$13:$C$17,MATCH(I17,비용표!$B$13:$B$17,1))</f>
        <v/>
      </c>
      <c r="L17" s="4" t="inlineStr">
        <is>
          <t>군량 충전 속도 +5%</t>
        </is>
      </c>
      <c r="M17" s="2" t="inlineStr">
        <is>
          <t>도시</t>
        </is>
      </c>
      <c r="N17" s="2" t="n"/>
      <c r="O17" s="2" t="n"/>
      <c r="P17" s="2" t="n">
        <v>5</v>
      </c>
      <c r="Q17" s="4" t="n"/>
      <c r="R17" s="2" t="n"/>
      <c r="S17" s="2" t="n"/>
      <c r="T17" s="2" t="inlineStr">
        <is>
          <t>grainRate</t>
        </is>
      </c>
    </row>
    <row r="18" ht="32" customHeight="1">
      <c r="A18" s="2" t="n">
        <v>17</v>
      </c>
      <c r="B18" s="2" t="inlineStr">
        <is>
          <t>② 군웅할거 (192~199)</t>
        </is>
      </c>
      <c r="C18" s="3" t="inlineStr">
        <is>
          <t>서주 양도</t>
        </is>
      </c>
      <c r="D18" s="2" t="inlineStr">
        <is>
          <t>三讓徐州</t>
        </is>
      </c>
      <c r="E18" s="4">
        <f>INDEX(칸!$I$2:$I$416,MATCH(A18,칸!$A$2:$A$416,1))</f>
        <v/>
      </c>
      <c r="F18" s="4" t="inlineStr">
        <is>
          <t>도겸은 세 번 서주를 내밀었고 유비는 세 번 사양했다.</t>
        </is>
      </c>
      <c r="G18" s="4" t="inlineStr">
        <is>
          <t>조조의 공격에 시달리던 서주목 도겸은 죽음을 앞두고 유비에게 서주를 맡기려 했다. 유비는 세 번 사양하다 미축 · 손건의 간청에 받아들였다.</t>
        </is>
      </c>
      <c r="H18" s="2">
        <f>COUNTIF(칸!$A$2:$A$416,A18)</f>
        <v/>
      </c>
      <c r="I18" s="2">
        <f>SUMIF(칸!$A$2:$A$416,A18,칸!$H$2:$H$416)</f>
        <v/>
      </c>
      <c r="J18" s="2">
        <f>INDEX(비용표!$A$13:$A$17,MATCH(I18,비용표!$B$13:$B$17,1))</f>
        <v/>
      </c>
      <c r="K18" s="2">
        <f>INDEX(비용표!$C$13:$C$17,MATCH(I18,비용표!$B$13:$B$17,1))</f>
        <v/>
      </c>
      <c r="L18" s="4" t="inlineStr">
        <is>
          <t>유비 통솔+1</t>
        </is>
      </c>
      <c r="M18" s="2" t="inlineStr">
        <is>
          <t>능력치</t>
        </is>
      </c>
      <c r="N18" s="2" t="inlineStr">
        <is>
          <t>유비</t>
        </is>
      </c>
      <c r="O18" s="2" t="inlineStr">
        <is>
          <t>통솔</t>
        </is>
      </c>
      <c r="P18" s="2" t="n">
        <v>1</v>
      </c>
      <c r="Q18" s="4" t="n"/>
      <c r="R18" s="2" t="n"/>
      <c r="S18" s="2" t="n"/>
      <c r="T18" s="2" t="n"/>
    </row>
    <row r="19" ht="32" customHeight="1">
      <c r="A19" s="2" t="n">
        <v>18</v>
      </c>
      <c r="B19" s="2" t="inlineStr">
        <is>
          <t>② 군웅할거 (192~199)</t>
        </is>
      </c>
      <c r="C19" s="3" t="inlineStr">
        <is>
          <t>술 취한 장비</t>
        </is>
      </c>
      <c r="D19" s="2" t="inlineStr">
        <is>
          <t>張飛醉失徐州</t>
        </is>
      </c>
      <c r="E19" s="4">
        <f>INDEX(칸!$I$2:$I$416,MATCH(A19,칸!$A$2:$A$416,1))</f>
        <v/>
      </c>
      <c r="F19" s="4" t="inlineStr">
        <is>
          <t>장비가 취해 매질한 조표는 그날 밤 여포에게 성문을 열었다.</t>
        </is>
      </c>
      <c r="G19" s="4" t="inlineStr">
        <is>
          <t>서주를 지키던 장비는 술자리에서 조표를 매질했다. 앙심을 품은 조표가 사위 여포에게 밤중에 성문을 열어 주어, 장비는 서주를 잃고 형님을 볼 낯이 없었다.</t>
        </is>
      </c>
      <c r="H19" s="2">
        <f>COUNTIF(칸!$A$2:$A$416,A19)</f>
        <v/>
      </c>
      <c r="I19" s="2">
        <f>SUMIF(칸!$A$2:$A$416,A19,칸!$H$2:$H$416)</f>
        <v/>
      </c>
      <c r="J19" s="2">
        <f>INDEX(비용표!$A$13:$A$17,MATCH(I19,비용표!$B$13:$B$17,1))</f>
        <v/>
      </c>
      <c r="K19" s="2">
        <f>INDEX(비용표!$C$13:$C$17,MATCH(I19,비용표!$B$13:$B$17,1))</f>
        <v/>
      </c>
      <c r="L19" s="4" t="inlineStr">
        <is>
          <t>적진에 장비 시 조표 무력+2</t>
        </is>
      </c>
      <c r="M19" s="2" t="inlineStr">
        <is>
          <t>능력치</t>
        </is>
      </c>
      <c r="N19" s="2" t="inlineStr">
        <is>
          <t>조표</t>
        </is>
      </c>
      <c r="O19" s="2" t="inlineStr">
        <is>
          <t>무력</t>
        </is>
      </c>
      <c r="P19" s="2" t="n">
        <v>2</v>
      </c>
      <c r="Q19" s="4" t="n"/>
      <c r="R19" s="2" t="n"/>
      <c r="S19" s="2" t="inlineStr">
        <is>
          <t>장비</t>
        </is>
      </c>
      <c r="T19" s="2" t="n"/>
    </row>
    <row r="20" ht="32" customHeight="1">
      <c r="A20" s="2" t="n">
        <v>19</v>
      </c>
      <c r="B20" s="2" t="inlineStr">
        <is>
          <t>② 군웅할거 (192~199)</t>
        </is>
      </c>
      <c r="C20" s="3" t="inlineStr">
        <is>
          <t>원문사극</t>
        </is>
      </c>
      <c r="D20" s="2" t="inlineStr">
        <is>
          <t>轅門射戟</t>
        </is>
      </c>
      <c r="E20" s="4">
        <f>INDEX(칸!$I$2:$I$416,MATCH(A20,칸!$A$2:$A$416,1))</f>
        <v/>
      </c>
      <c r="F20" s="4" t="inlineStr">
        <is>
          <t>군문 밖 백오십 보의 화극을 맞히면 싸우지 말라.</t>
        </is>
      </c>
      <c r="G20" s="4" t="inlineStr">
        <is>
          <t>원술의 장수 기령이 유비를 치러 오자 여포가 두 사람을 불렀다. 군문 밖 백오십 보에 화극을 세우고 「한 발에 맞히면 싸우지 말라」 하더니, 화살은 정확히 화극의 곁가지에 꽂혔다.</t>
        </is>
      </c>
      <c r="H20" s="2">
        <f>COUNTIF(칸!$A$2:$A$416,A20)</f>
        <v/>
      </c>
      <c r="I20" s="2">
        <f>SUMIF(칸!$A$2:$A$416,A20,칸!$H$2:$H$416)</f>
        <v/>
      </c>
      <c r="J20" s="2">
        <f>INDEX(비용표!$A$13:$A$17,MATCH(I20,비용표!$B$13:$B$17,1))</f>
        <v/>
      </c>
      <c r="K20" s="2">
        <f>INDEX(비용표!$C$13:$C$17,MATCH(I20,비용표!$B$13:$B$17,1))</f>
        <v/>
      </c>
      <c r="L20" s="4" t="inlineStr">
        <is>
          <t>여포 HP+1</t>
        </is>
      </c>
      <c r="M20" s="2" t="inlineStr">
        <is>
          <t>능력치</t>
        </is>
      </c>
      <c r="N20" s="2" t="inlineStr">
        <is>
          <t>여포</t>
        </is>
      </c>
      <c r="O20" s="2" t="inlineStr">
        <is>
          <t>HP</t>
        </is>
      </c>
      <c r="P20" s="2" t="n">
        <v>1</v>
      </c>
      <c r="Q20" s="4" t="n"/>
      <c r="R20" s="2" t="n"/>
      <c r="S20" s="2" t="n"/>
      <c r="T20" s="2" t="n"/>
    </row>
    <row r="21" ht="32" customHeight="1">
      <c r="A21" s="2" t="n">
        <v>20</v>
      </c>
      <c r="B21" s="2" t="inlineStr">
        <is>
          <t>② 군웅할거 (192~199)</t>
        </is>
      </c>
      <c r="C21" s="3" t="inlineStr">
        <is>
          <t>공융과 태사자</t>
        </is>
      </c>
      <c r="D21" s="2" t="inlineStr">
        <is>
          <t>太史慈救北海</t>
        </is>
      </c>
      <c r="E21" s="4">
        <f>INDEX(칸!$I$2:$I$416,MATCH(A21,칸!$A$2:$A$416,1))</f>
        <v/>
      </c>
      <c r="F21" s="4" t="inlineStr">
        <is>
          <t>포위된 북해를 구하러 태사자가 홀로 적진을 뚫었다.</t>
        </is>
      </c>
      <c r="G21" s="4" t="inlineStr">
        <is>
          <t>황건 잔당에 포위된 북해의 공융을 위해, 은혜를 입은 태사자가 홀로 포위를 뚫고 유비에게 구원을 청했다. 유비가 「공북해가 이 유비를 아는가」 하며 기뻐 군사를 냈다.</t>
        </is>
      </c>
      <c r="H21" s="2">
        <f>COUNTIF(칸!$A$2:$A$416,A21)</f>
        <v/>
      </c>
      <c r="I21" s="2">
        <f>SUMIF(칸!$A$2:$A$416,A21,칸!$H$2:$H$416)</f>
        <v/>
      </c>
      <c r="J21" s="2">
        <f>INDEX(비용표!$A$13:$A$17,MATCH(I21,비용표!$B$13:$B$17,1))</f>
        <v/>
      </c>
      <c r="K21" s="2">
        <f>INDEX(비용표!$C$13:$C$17,MATCH(I21,비용표!$B$13:$B$17,1))</f>
        <v/>
      </c>
      <c r="L21" s="4" t="inlineStr">
        <is>
          <t>태사자 함께 참전 시 공융 통솔+2</t>
        </is>
      </c>
      <c r="M21" s="2" t="inlineStr">
        <is>
          <t>능력치</t>
        </is>
      </c>
      <c r="N21" s="2" t="inlineStr">
        <is>
          <t>공융</t>
        </is>
      </c>
      <c r="O21" s="2" t="inlineStr">
        <is>
          <t>통솔</t>
        </is>
      </c>
      <c r="P21" s="2" t="n">
        <v>2</v>
      </c>
      <c r="Q21" s="4" t="inlineStr">
        <is>
          <t>태사자</t>
        </is>
      </c>
      <c r="R21" s="2" t="n"/>
      <c r="S21" s="2" t="n"/>
      <c r="T21" s="2" t="n"/>
    </row>
    <row r="22" ht="32" customHeight="1">
      <c r="A22" s="2" t="n">
        <v>21</v>
      </c>
      <c r="B22" s="2" t="inlineStr">
        <is>
          <t>② 군웅할거 (192~199)</t>
        </is>
      </c>
      <c r="C22" s="3" t="inlineStr">
        <is>
          <t>인중여포 마중적토</t>
        </is>
      </c>
      <c r="D22" s="2" t="inlineStr">
        <is>
          <t>人中呂布馬中赤兔</t>
        </is>
      </c>
      <c r="E22" s="4">
        <f>INDEX(칸!$I$2:$I$416,MATCH(A22,칸!$A$2:$A$416,1))</f>
        <v/>
      </c>
      <c r="F22" s="4" t="inlineStr">
        <is>
          <t>삼국지 역사상 최강의 사나이. 사람 중에는 여포, 말 중에는 적토.</t>
        </is>
      </c>
      <c r="G22" s="4" t="inlineStr">
        <is>
          <t>「사람 중에는 여포, 말 중에는 적토마.」 방천화극을 들고 적토마를 탄 여포는 당대 누구도 정면으로 이기지 못한 무인이었다. 다만 그 곁의 진궁 · 고순 · 장료의 말을 끝내 듣지 않았다.</t>
        </is>
      </c>
      <c r="H22" s="2">
        <f>COUNTIF(칸!$A$2:$A$416,A22)</f>
        <v/>
      </c>
      <c r="I22" s="2">
        <f>SUMIF(칸!$A$2:$A$416,A22,칸!$H$2:$H$416)</f>
        <v/>
      </c>
      <c r="J22" s="2">
        <f>INDEX(비용표!$A$13:$A$17,MATCH(I22,비용표!$B$13:$B$17,1))</f>
        <v/>
      </c>
      <c r="K22" s="2">
        <f>INDEX(비용표!$C$13:$C$17,MATCH(I22,비용표!$B$13:$B$17,1))</f>
        <v/>
      </c>
      <c r="L22" s="4" t="inlineStr">
        <is>
          <t>여포의 「인중여포 마중적토」 SP 6 → 5</t>
        </is>
      </c>
      <c r="M22" s="2" t="inlineStr">
        <is>
          <t>고유기술SP</t>
        </is>
      </c>
      <c r="N22" s="2" t="inlineStr">
        <is>
          <t>여포</t>
        </is>
      </c>
      <c r="O22" s="2" t="n"/>
      <c r="P22" s="2" t="n">
        <v>-1</v>
      </c>
      <c r="Q22" s="4" t="n"/>
      <c r="R22" s="2" t="n"/>
      <c r="S22" s="2" t="n"/>
      <c r="T22" s="2" t="n"/>
    </row>
    <row r="23" ht="32" customHeight="1">
      <c r="A23" s="2" t="n">
        <v>22</v>
      </c>
      <c r="B23" s="2" t="inlineStr">
        <is>
          <t>② 군웅할거 (192~199)</t>
        </is>
      </c>
      <c r="C23" s="3" t="inlineStr">
        <is>
          <t>함진영</t>
        </is>
      </c>
      <c r="D23" s="2" t="inlineStr">
        <is>
          <t>陷陣營</t>
        </is>
      </c>
      <c r="E23" s="4">
        <f>INDEX(칸!$I$2:$I$416,MATCH(A23,칸!$A$2:$A$416,1))</f>
        <v/>
      </c>
      <c r="F23" s="4" t="inlineStr">
        <is>
          <t>칠백 명으로 공격하면 반드시 깨뜨렸다는 고순의 정예.</t>
        </is>
      </c>
      <c r="G23" s="4" t="inlineStr">
        <is>
          <t>여포의 장수 고순은 칠백 명을 거느렸는데, 갑옷과 무기가 정예하여 「함진영」이라 불렀다. 공격하면 반드시 적진을 깨뜨렸으나, 여포는 그를 믿으면서도 끝내 중히 쓰지 않았다.</t>
        </is>
      </c>
      <c r="H23" s="2">
        <f>COUNTIF(칸!$A$2:$A$416,A23)</f>
        <v/>
      </c>
      <c r="I23" s="2">
        <f>SUMIF(칸!$A$2:$A$416,A23,칸!$H$2:$H$416)</f>
        <v/>
      </c>
      <c r="J23" s="2">
        <f>INDEX(비용표!$A$13:$A$17,MATCH(I23,비용표!$B$13:$B$17,1))</f>
        <v/>
      </c>
      <c r="K23" s="2">
        <f>INDEX(비용표!$C$13:$C$17,MATCH(I23,비용표!$B$13:$B$17,1))</f>
        <v/>
      </c>
      <c r="L23" s="4" t="inlineStr">
        <is>
          <t>고순 통솔+1</t>
        </is>
      </c>
      <c r="M23" s="2" t="inlineStr">
        <is>
          <t>능력치</t>
        </is>
      </c>
      <c r="N23" s="2" t="inlineStr">
        <is>
          <t>고순</t>
        </is>
      </c>
      <c r="O23" s="2" t="inlineStr">
        <is>
          <t>통솔</t>
        </is>
      </c>
      <c r="P23" s="2" t="n">
        <v>1</v>
      </c>
      <c r="Q23" s="4" t="n"/>
      <c r="R23" s="2" t="n"/>
      <c r="S23" s="2" t="n"/>
      <c r="T23" s="2" t="n"/>
    </row>
    <row r="24" ht="32" customHeight="1">
      <c r="A24" s="2" t="n">
        <v>23</v>
      </c>
      <c r="B24" s="2" t="inlineStr">
        <is>
          <t>② 군웅할거 (192~199)</t>
        </is>
      </c>
      <c r="C24" s="3" t="inlineStr">
        <is>
          <t>하비성 백문루</t>
        </is>
      </c>
      <c r="D24" s="2" t="inlineStr">
        <is>
          <t>白門樓</t>
        </is>
      </c>
      <c r="E24" s="4">
        <f>INDEX(칸!$I$2:$I$416,MATCH(A24,칸!$A$2:$A$416,1))</f>
        <v/>
      </c>
      <c r="F24" s="4" t="inlineStr">
        <is>
          <t>부하들이 등을 돌렸고, 여포는 백문루에서 묶였다.</t>
        </is>
      </c>
      <c r="G24" s="4" t="inlineStr">
        <is>
          <t>조조가 사수와 기수를 터 하비성을 물에 잠기게 하자 여포의 부하들이 등을 돌렸다. 후성 · 송헌 · 위속이 진궁을 묶어 바쳤고, 여포는 백문루에서 사로잡혀 목숨을 잃었다.</t>
        </is>
      </c>
      <c r="H24" s="2">
        <f>COUNTIF(칸!$A$2:$A$416,A24)</f>
        <v/>
      </c>
      <c r="I24" s="2">
        <f>SUMIF(칸!$A$2:$A$416,A24,칸!$H$2:$H$416)</f>
        <v/>
      </c>
      <c r="J24" s="2">
        <f>INDEX(비용표!$A$13:$A$17,MATCH(I24,비용표!$B$13:$B$17,1))</f>
        <v/>
      </c>
      <c r="K24" s="2">
        <f>INDEX(비용표!$C$13:$C$17,MATCH(I24,비용표!$B$13:$B$17,1))</f>
        <v/>
      </c>
      <c r="L24" s="4" t="inlineStr">
        <is>
          <t>여포 함께 참전 시 진궁 지력+2</t>
        </is>
      </c>
      <c r="M24" s="2" t="inlineStr">
        <is>
          <t>능력치</t>
        </is>
      </c>
      <c r="N24" s="2" t="inlineStr">
        <is>
          <t>진궁</t>
        </is>
      </c>
      <c r="O24" s="2" t="inlineStr">
        <is>
          <t>지력</t>
        </is>
      </c>
      <c r="P24" s="2" t="n">
        <v>2</v>
      </c>
      <c r="Q24" s="4" t="inlineStr">
        <is>
          <t>여포</t>
        </is>
      </c>
      <c r="R24" s="2" t="n"/>
      <c r="S24" s="2" t="n"/>
      <c r="T24" s="2" t="n"/>
    </row>
    <row r="25" ht="32" customHeight="1">
      <c r="A25" s="2" t="n">
        <v>24</v>
      </c>
      <c r="B25" s="2" t="inlineStr">
        <is>
          <t>② 군웅할거 (192~199)</t>
        </is>
      </c>
      <c r="C25" s="3" t="inlineStr">
        <is>
          <t>진등 부자</t>
        </is>
      </c>
      <c r="D25" s="2" t="inlineStr">
        <is>
          <t>陳登父子</t>
        </is>
      </c>
      <c r="E25" s="4">
        <f>INDEX(칸!$I$2:$I$416,MATCH(A25,칸!$A$2:$A$416,1))</f>
        <v/>
      </c>
      <c r="F25" s="4" t="inlineStr">
        <is>
          <t>진등은 겉으로 여포를 섬기며 안으로 조조와 손을 잡았다.</t>
        </is>
      </c>
      <c r="G25" s="4" t="inlineStr">
        <is>
          <t>서주의 진규 · 진등 부자는 겉으로 여포를 섬기며 안으로 조조와 통했다. 진등이 조조에게서 받은 광릉태수의 인수가, 여포를 무너뜨린 마지막 고리가 되었다.</t>
        </is>
      </c>
      <c r="H25" s="2">
        <f>COUNTIF(칸!$A$2:$A$416,A25)</f>
        <v/>
      </c>
      <c r="I25" s="2">
        <f>SUMIF(칸!$A$2:$A$416,A25,칸!$H$2:$H$416)</f>
        <v/>
      </c>
      <c r="J25" s="2">
        <f>INDEX(비용표!$A$13:$A$17,MATCH(I25,비용표!$B$13:$B$17,1))</f>
        <v/>
      </c>
      <c r="K25" s="2">
        <f>INDEX(비용표!$C$13:$C$17,MATCH(I25,비용표!$B$13:$B$17,1))</f>
        <v/>
      </c>
      <c r="L25" s="4" t="inlineStr">
        <is>
          <t>진등 지력+2</t>
        </is>
      </c>
      <c r="M25" s="2" t="inlineStr">
        <is>
          <t>능력치</t>
        </is>
      </c>
      <c r="N25" s="2" t="inlineStr">
        <is>
          <t>진등</t>
        </is>
      </c>
      <c r="O25" s="2" t="inlineStr">
        <is>
          <t>지력</t>
        </is>
      </c>
      <c r="P25" s="2" t="n">
        <v>2</v>
      </c>
      <c r="Q25" s="4" t="n"/>
      <c r="R25" s="2" t="n"/>
      <c r="S25" s="2" t="n"/>
      <c r="T25" s="2" t="n"/>
    </row>
    <row r="26" ht="32" customHeight="1">
      <c r="A26" s="2" t="n">
        <v>25</v>
      </c>
      <c r="B26" s="2" t="inlineStr">
        <is>
          <t>② 군웅할거 (192~199)</t>
        </is>
      </c>
      <c r="C26" s="3" t="inlineStr">
        <is>
          <t>원술 칭제</t>
        </is>
      </c>
      <c r="D26" s="2" t="inlineStr">
        <is>
          <t>袁術稱帝</t>
        </is>
      </c>
      <c r="E26" s="4">
        <f>INDEX(칸!$I$2:$I$416,MATCH(A26,칸!$A$2:$A$416,1))</f>
        <v/>
      </c>
      <c r="F26" s="4" t="inlineStr">
        <is>
          <t>옥새를 품고 황제를 칭했으나 마지막엔 꿀물 한 그릇을 찾았다.</t>
        </is>
      </c>
      <c r="G26" s="4" t="inlineStr">
        <is>
          <t>손견이 남긴 옥새를 손에 넣은 원술은 수춘에서 스스로 황제를 칭했다. 그러나 사치와 실정에 백성과 장수가 등을 돌렸고, 마지막에는 꿀물 한 그릇을 찾다 피를 토하고 죽었다.</t>
        </is>
      </c>
      <c r="H26" s="2">
        <f>COUNTIF(칸!$A$2:$A$416,A26)</f>
        <v/>
      </c>
      <c r="I26" s="2">
        <f>SUMIF(칸!$A$2:$A$416,A26,칸!$H$2:$H$416)</f>
        <v/>
      </c>
      <c r="J26" s="2">
        <f>INDEX(비용표!$A$13:$A$17,MATCH(I26,비용표!$B$13:$B$17,1))</f>
        <v/>
      </c>
      <c r="K26" s="2">
        <f>INDEX(비용표!$C$13:$C$17,MATCH(I26,비용표!$B$13:$B$17,1))</f>
        <v/>
      </c>
      <c r="L26" s="4" t="inlineStr">
        <is>
          <t>최대 군량 +2</t>
        </is>
      </c>
      <c r="M26" s="2" t="inlineStr">
        <is>
          <t>도시</t>
        </is>
      </c>
      <c r="N26" s="2" t="n"/>
      <c r="O26" s="2" t="n"/>
      <c r="P26" s="2" t="n">
        <v>2</v>
      </c>
      <c r="Q26" s="4" t="n"/>
      <c r="R26" s="2" t="n"/>
      <c r="S26" s="2" t="n"/>
      <c r="T26" s="2" t="inlineStr">
        <is>
          <t>grainCap</t>
        </is>
      </c>
    </row>
    <row r="27" ht="32" customHeight="1">
      <c r="A27" s="2" t="n">
        <v>26</v>
      </c>
      <c r="B27" s="2" t="inlineStr">
        <is>
          <t>② 군웅할거 (192~199)</t>
        </is>
      </c>
      <c r="C27" s="3" t="inlineStr">
        <is>
          <t>역경 함락</t>
        </is>
      </c>
      <c r="D27" s="2" t="inlineStr">
        <is>
          <t>易京陷落</t>
        </is>
      </c>
      <c r="E27" s="4">
        <f>INDEX(칸!$I$2:$I$416,MATCH(A27,칸!$A$2:$A$416,1))</f>
        <v/>
      </c>
      <c r="F27" s="4" t="inlineStr">
        <is>
          <t>높은 누대에 숨은 공손찬은 땅굴을 판 원소군 앞에 스스로 불을 질렀다.</t>
        </is>
      </c>
      <c r="G27" s="4" t="inlineStr">
        <is>
          <t>원소에게 밀린 공손찬은 역경에 수십 장 높이의 누대를 쌓고 틀어박혔다. 원소군이 땅굴을 파고 들어와 누대를 무너뜨리자, 공손찬은 처자를 죽이고 스스로 불을 질렀다.</t>
        </is>
      </c>
      <c r="H27" s="2">
        <f>COUNTIF(칸!$A$2:$A$416,A27)</f>
        <v/>
      </c>
      <c r="I27" s="2">
        <f>SUMIF(칸!$A$2:$A$416,A27,칸!$H$2:$H$416)</f>
        <v/>
      </c>
      <c r="J27" s="2">
        <f>INDEX(비용표!$A$13:$A$17,MATCH(I27,비용표!$B$13:$B$17,1))</f>
        <v/>
      </c>
      <c r="K27" s="2">
        <f>INDEX(비용표!$C$13:$C$17,MATCH(I27,비용표!$B$13:$B$17,1))</f>
        <v/>
      </c>
      <c r="L27" s="4" t="inlineStr">
        <is>
          <t>공손찬 HP+1</t>
        </is>
      </c>
      <c r="M27" s="2" t="inlineStr">
        <is>
          <t>능력치</t>
        </is>
      </c>
      <c r="N27" s="2" t="inlineStr">
        <is>
          <t>공손찬</t>
        </is>
      </c>
      <c r="O27" s="2" t="inlineStr">
        <is>
          <t>HP</t>
        </is>
      </c>
      <c r="P27" s="2" t="n">
        <v>1</v>
      </c>
      <c r="Q27" s="4" t="n"/>
      <c r="R27" s="2" t="n"/>
      <c r="S27" s="2" t="n"/>
      <c r="T27" s="2" t="n"/>
    </row>
    <row r="28" ht="48" customHeight="1">
      <c r="A28" s="2" t="n">
        <v>27</v>
      </c>
      <c r="B28" s="2" t="inlineStr">
        <is>
          <t>② 군웅할거 (192~199)</t>
        </is>
      </c>
      <c r="C28" s="3" t="inlineStr">
        <is>
          <t>신정산의 일기토</t>
        </is>
      </c>
      <c r="D28" s="2" t="inlineStr">
        <is>
          <t>神亭山一騎討</t>
        </is>
      </c>
      <c r="E28" s="4">
        <f>INDEX(칸!$I$2:$I$416,MATCH(A28,칸!$A$2:$A$416,1))</f>
        <v/>
      </c>
      <c r="F28" s="4" t="inlineStr">
        <is>
          <t>태사자는 두 자루 극을 들고 소패왕과 맞붙었다.</t>
        </is>
      </c>
      <c r="G28" s="4" t="inlineStr">
        <is>
          <t>신정산에서 정찰하던 손책과 맞닥뜨린 태사자는 홀로 덤벼들었다. 둘은 말에서 떨어져 뒤엉켰고, 손책은 태사자의 단극을, 태사자는 손책의 투구를 빼앗았다. 이후 태사자는 손책의 장수가 되었다.</t>
        </is>
      </c>
      <c r="H28" s="2">
        <f>COUNTIF(칸!$A$2:$A$416,A28)</f>
        <v/>
      </c>
      <c r="I28" s="2">
        <f>SUMIF(칸!$A$2:$A$416,A28,칸!$H$2:$H$416)</f>
        <v/>
      </c>
      <c r="J28" s="2">
        <f>INDEX(비용표!$A$13:$A$17,MATCH(I28,비용표!$B$13:$B$17,1))</f>
        <v/>
      </c>
      <c r="K28" s="2">
        <f>INDEX(비용표!$C$13:$C$17,MATCH(I28,비용표!$B$13:$B$17,1))</f>
        <v/>
      </c>
      <c r="L28" s="4" t="inlineStr">
        <is>
          <t>태사자 무력+1</t>
        </is>
      </c>
      <c r="M28" s="2" t="inlineStr">
        <is>
          <t>능력치</t>
        </is>
      </c>
      <c r="N28" s="2" t="inlineStr">
        <is>
          <t>태사자</t>
        </is>
      </c>
      <c r="O28" s="2" t="inlineStr">
        <is>
          <t>무력</t>
        </is>
      </c>
      <c r="P28" s="2" t="n">
        <v>1</v>
      </c>
      <c r="Q28" s="4" t="n"/>
      <c r="R28" s="2" t="n"/>
      <c r="S28" s="2" t="n"/>
      <c r="T28" s="2" t="n"/>
    </row>
    <row r="29" ht="32" customHeight="1">
      <c r="A29" s="2" t="n">
        <v>28</v>
      </c>
      <c r="B29" s="2" t="inlineStr">
        <is>
          <t>② 군웅할거 (192~199)</t>
        </is>
      </c>
      <c r="C29" s="3" t="inlineStr">
        <is>
          <t>내사는 장소에게</t>
        </is>
      </c>
      <c r="D29" s="2" t="inlineStr">
        <is>
          <t>內事問張昭</t>
        </is>
      </c>
      <c r="E29" s="4">
        <f>INDEX(칸!$I$2:$I$416,MATCH(A29,칸!$A$2:$A$416,1))</f>
        <v/>
      </c>
      <c r="F29" s="4" t="inlineStr">
        <is>
          <t>「안의 일은 장소에게, 밖의 일은 주유에게 물어라.」 — 손책의 유언.</t>
        </is>
      </c>
      <c r="G29" s="4" t="inlineStr">
        <is>
          <t>자객의 화살에 쓰러진 손책은 열여덟 살 아우 손권에게 인수를 넘겼다. 「안의 일은 장소에게, 밖의 일은 주유에게 물어라」 — 손권은 그 두 사람과 함께 강동을 지켜 냈다.</t>
        </is>
      </c>
      <c r="H29" s="2">
        <f>COUNTIF(칸!$A$2:$A$416,A29)</f>
        <v/>
      </c>
      <c r="I29" s="2">
        <f>SUMIF(칸!$A$2:$A$416,A29,칸!$H$2:$H$416)</f>
        <v/>
      </c>
      <c r="J29" s="2">
        <f>INDEX(비용표!$A$13:$A$17,MATCH(I29,비용표!$B$13:$B$17,1))</f>
        <v/>
      </c>
      <c r="K29" s="2">
        <f>INDEX(비용표!$C$13:$C$17,MATCH(I29,비용표!$B$13:$B$17,1))</f>
        <v/>
      </c>
      <c r="L29" s="4" t="inlineStr">
        <is>
          <t>장소 통솔+2</t>
        </is>
      </c>
      <c r="M29" s="2" t="inlineStr">
        <is>
          <t>능력치</t>
        </is>
      </c>
      <c r="N29" s="2" t="inlineStr">
        <is>
          <t>장소</t>
        </is>
      </c>
      <c r="O29" s="2" t="inlineStr">
        <is>
          <t>통솔</t>
        </is>
      </c>
      <c r="P29" s="2" t="n">
        <v>2</v>
      </c>
      <c r="Q29" s="4" t="n"/>
      <c r="R29" s="2" t="n"/>
      <c r="S29" s="2" t="n"/>
      <c r="T29" s="2" t="n"/>
    </row>
    <row r="30" ht="32" customHeight="1">
      <c r="A30" s="2" t="n">
        <v>29</v>
      </c>
      <c r="B30" s="2" t="inlineStr">
        <is>
          <t>② 군웅할거 (192~199)</t>
        </is>
      </c>
      <c r="C30" s="3" t="inlineStr">
        <is>
          <t>완성의 밤</t>
        </is>
      </c>
      <c r="D30" s="2" t="inlineStr">
        <is>
          <t>宛城之夜</t>
        </is>
      </c>
      <c r="E30" s="4">
        <f>INDEX(칸!$I$2:$I$416,MATCH(A30,칸!$A$2:$A$416,1))</f>
        <v/>
      </c>
      <c r="F30" s="4" t="inlineStr">
        <is>
          <t>조조는 이 밤 장자와 조카, 그리고 명마 절영을 잃었다.</t>
        </is>
      </c>
      <c r="G30" s="4" t="inlineStr">
        <is>
          <t>장수의 항복을 받아들인 조조는 완성에서 그 숙모를 취했다. 분노한 장수가 가후의 계책으로 밤에 들이치니, 조조는 장자 조앙과 조카, 맹장 전위, 명마 절영을 잃고 겨우 살아났다.</t>
        </is>
      </c>
      <c r="H30" s="2">
        <f>COUNTIF(칸!$A$2:$A$416,A30)</f>
        <v/>
      </c>
      <c r="I30" s="2">
        <f>SUMIF(칸!$A$2:$A$416,A30,칸!$H$2:$H$416)</f>
        <v/>
      </c>
      <c r="J30" s="2">
        <f>INDEX(비용표!$A$13:$A$17,MATCH(I30,비용표!$B$13:$B$17,1))</f>
        <v/>
      </c>
      <c r="K30" s="2">
        <f>INDEX(비용표!$C$13:$C$17,MATCH(I30,비용표!$B$13:$B$17,1))</f>
        <v/>
      </c>
      <c r="L30" s="4" t="inlineStr">
        <is>
          <t>장수 통솔+2</t>
        </is>
      </c>
      <c r="M30" s="2" t="inlineStr">
        <is>
          <t>능력치</t>
        </is>
      </c>
      <c r="N30" s="2" t="inlineStr">
        <is>
          <t>장수</t>
        </is>
      </c>
      <c r="O30" s="2" t="inlineStr">
        <is>
          <t>통솔</t>
        </is>
      </c>
      <c r="P30" s="2" t="n">
        <v>2</v>
      </c>
      <c r="Q30" s="4" t="n"/>
      <c r="R30" s="2" t="n"/>
      <c r="S30" s="2" t="n"/>
      <c r="T30" s="2" t="n"/>
    </row>
    <row r="31" ht="32" customHeight="1">
      <c r="A31" s="2" t="n">
        <v>30</v>
      </c>
      <c r="B31" s="2" t="inlineStr">
        <is>
          <t>② 군웅할거 (192~199)</t>
        </is>
      </c>
      <c r="C31" s="3" t="inlineStr">
        <is>
          <t>가후의 계책</t>
        </is>
      </c>
      <c r="D31" s="2" t="inlineStr">
        <is>
          <t>賈詡之計</t>
        </is>
      </c>
      <c r="E31" s="4">
        <f>INDEX(칸!$I$2:$I$416,MATCH(A31,칸!$A$2:$A$416,1))</f>
        <v/>
      </c>
      <c r="F31" s="4" t="inlineStr">
        <is>
          <t>추격하지 말라 할 때 추격하고, 추격하라 할 때 물러서게 했다.</t>
        </is>
      </c>
      <c r="G31" s="4" t="inlineStr">
        <is>
          <t>물러나는 조조를 장수가 추격하려 하자 가후가 말렸다. 장수가 듣지 않고 쫓다 지고 오자, 가후는 「이제 다시 쫓으라」 했고 이번에는 크게 이겼다 — 적의 마음을 읽은 계책이었다.</t>
        </is>
      </c>
      <c r="H31" s="2">
        <f>COUNTIF(칸!$A$2:$A$416,A31)</f>
        <v/>
      </c>
      <c r="I31" s="2">
        <f>SUMIF(칸!$A$2:$A$416,A31,칸!$H$2:$H$416)</f>
        <v/>
      </c>
      <c r="J31" s="2">
        <f>INDEX(비용표!$A$13:$A$17,MATCH(I31,비용표!$B$13:$B$17,1))</f>
        <v/>
      </c>
      <c r="K31" s="2">
        <f>INDEX(비용표!$C$13:$C$17,MATCH(I31,비용표!$B$13:$B$17,1))</f>
        <v/>
      </c>
      <c r="L31" s="4" t="inlineStr">
        <is>
          <t>가후 통솔+1</t>
        </is>
      </c>
      <c r="M31" s="2" t="inlineStr">
        <is>
          <t>능력치</t>
        </is>
      </c>
      <c r="N31" s="2" t="inlineStr">
        <is>
          <t>가후</t>
        </is>
      </c>
      <c r="O31" s="2" t="inlineStr">
        <is>
          <t>통솔</t>
        </is>
      </c>
      <c r="P31" s="2" t="n">
        <v>1</v>
      </c>
      <c r="Q31" s="4" t="n"/>
      <c r="R31" s="2" t="n"/>
      <c r="S31" s="2" t="n"/>
      <c r="T31" s="2" t="n"/>
    </row>
    <row r="32" ht="32" customHeight="1">
      <c r="A32" s="2" t="n">
        <v>31</v>
      </c>
      <c r="B32" s="2" t="inlineStr">
        <is>
          <t>② 군웅할거 (192~199)</t>
        </is>
      </c>
      <c r="C32" s="3" t="inlineStr">
        <is>
          <t>청매자주 영웅론</t>
        </is>
      </c>
      <c r="D32" s="2" t="inlineStr">
        <is>
          <t>青梅煮酒論英雄</t>
        </is>
      </c>
      <c r="E32" s="4">
        <f>INDEX(칸!$I$2:$I$416,MATCH(A32,칸!$A$2:$A$416,1))</f>
        <v/>
      </c>
      <c r="F32" s="4" t="inlineStr">
        <is>
          <t>「천하의 영웅은 그대와 나뿐이오」 — 유비는 젓가락을 떨어뜨렸다.</t>
        </is>
      </c>
      <c r="G32" s="4" t="inlineStr">
        <is>
          <t>조조는 유비를 불러 매실을 안주 삼아 술을 데우며 천하의 영웅을 논했다. 「천하의 영웅은 그대와 나뿐」이라는 말에 유비가 젓가락을 떨어뜨리자, 마침 친 천둥소리에 놀란 척 둘러댔다.</t>
        </is>
      </c>
      <c r="H32" s="2">
        <f>COUNTIF(칸!$A$2:$A$416,A32)</f>
        <v/>
      </c>
      <c r="I32" s="2">
        <f>SUMIF(칸!$A$2:$A$416,A32,칸!$H$2:$H$416)</f>
        <v/>
      </c>
      <c r="J32" s="2">
        <f>INDEX(비용표!$A$13:$A$17,MATCH(I32,비용표!$B$13:$B$17,1))</f>
        <v/>
      </c>
      <c r="K32" s="2">
        <f>INDEX(비용표!$C$13:$C$17,MATCH(I32,비용표!$B$13:$B$17,1))</f>
        <v/>
      </c>
      <c r="L32" s="4" t="inlineStr">
        <is>
          <t>적진에 유비 시 조조 지력+2</t>
        </is>
      </c>
      <c r="M32" s="2" t="inlineStr">
        <is>
          <t>능력치</t>
        </is>
      </c>
      <c r="N32" s="2" t="inlineStr">
        <is>
          <t>조조</t>
        </is>
      </c>
      <c r="O32" s="2" t="inlineStr">
        <is>
          <t>지력</t>
        </is>
      </c>
      <c r="P32" s="2" t="n">
        <v>2</v>
      </c>
      <c r="Q32" s="4" t="n"/>
      <c r="R32" s="2" t="n"/>
      <c r="S32" s="2" t="inlineStr">
        <is>
          <t>유비</t>
        </is>
      </c>
      <c r="T32" s="2" t="n"/>
    </row>
    <row r="33" ht="32" customHeight="1">
      <c r="A33" s="2" t="n">
        <v>32</v>
      </c>
      <c r="B33" s="2" t="inlineStr">
        <is>
          <t>② 군웅할거 (192~199)</t>
        </is>
      </c>
      <c r="C33" s="3" t="inlineStr">
        <is>
          <t>의대조</t>
        </is>
      </c>
      <c r="D33" s="2" t="inlineStr">
        <is>
          <t>衣帶詔</t>
        </is>
      </c>
      <c r="E33" s="4">
        <f>INDEX(칸!$I$2:$I$416,MATCH(A33,칸!$A$2:$A$416,1))</f>
        <v/>
      </c>
      <c r="F33" s="4" t="inlineStr">
        <is>
          <t>황제의 옷 띠 속에 조조를 치라는 피의 밀서가 꿰매져 있었다.</t>
        </is>
      </c>
      <c r="G33" s="4" t="inlineStr">
        <is>
          <t>조조의 전횡에 헌제는 피로 쓴 밀조를 옷 띠 속에 꿰매 동승에게 내렸다. 유비 · 마등이 이름을 올렸으나 계획은 탄로 나, 동승의 일족은 몰살되고 유비는 서주로 달아났다.</t>
        </is>
      </c>
      <c r="H33" s="2">
        <f>COUNTIF(칸!$A$2:$A$416,A33)</f>
        <v/>
      </c>
      <c r="I33" s="2">
        <f>SUMIF(칸!$A$2:$A$416,A33,칸!$H$2:$H$416)</f>
        <v/>
      </c>
      <c r="J33" s="2">
        <f>INDEX(비용표!$A$13:$A$17,MATCH(I33,비용표!$B$13:$B$17,1))</f>
        <v/>
      </c>
      <c r="K33" s="2">
        <f>INDEX(비용표!$C$13:$C$17,MATCH(I33,비용표!$B$13:$B$17,1))</f>
        <v/>
      </c>
      <c r="L33" s="4" t="inlineStr">
        <is>
          <t>유비 함께 참전 시 헌제 HP+1</t>
        </is>
      </c>
      <c r="M33" s="2" t="inlineStr">
        <is>
          <t>능력치</t>
        </is>
      </c>
      <c r="N33" s="2" t="inlineStr">
        <is>
          <t>헌제</t>
        </is>
      </c>
      <c r="O33" s="2" t="inlineStr">
        <is>
          <t>HP</t>
        </is>
      </c>
      <c r="P33" s="2" t="n">
        <v>1</v>
      </c>
      <c r="Q33" s="4" t="inlineStr">
        <is>
          <t>유비</t>
        </is>
      </c>
      <c r="R33" s="2" t="n"/>
      <c r="S33" s="2" t="n"/>
      <c r="T33" s="2" t="n"/>
    </row>
    <row r="34" ht="48" customHeight="1">
      <c r="A34" s="2" t="n">
        <v>33</v>
      </c>
      <c r="B34" s="2" t="inlineStr">
        <is>
          <t>③ 관도 (200~207)</t>
        </is>
      </c>
      <c r="C34" s="3" t="inlineStr">
        <is>
          <t>토산의 세 가지 약속</t>
        </is>
      </c>
      <c r="D34" s="2" t="inlineStr">
        <is>
          <t>土山約三事</t>
        </is>
      </c>
      <c r="E34" s="4">
        <f>INDEX(칸!$I$2:$I$416,MATCH(A34,칸!$A$2:$A$416,1))</f>
        <v/>
      </c>
      <c r="F34" s="4" t="inlineStr">
        <is>
          <t>장료의 설득에 관우는 세 가지를 약속받고서야 항복했다.</t>
        </is>
      </c>
      <c r="G34" s="4" t="inlineStr">
        <is>
          <t>하비에서 포위된 관우를 장료가 찾아와 설득했다. 관우는 한에 항복하되 조조에게 항복하지 않는다, 두 형수를 모신다, 유비의 소식을 들으면 떠난다 — 세 가지를 약속받고서야 칼을 내려놓았다.</t>
        </is>
      </c>
      <c r="H34" s="2">
        <f>COUNTIF(칸!$A$2:$A$416,A34)</f>
        <v/>
      </c>
      <c r="I34" s="2">
        <f>SUMIF(칸!$A$2:$A$416,A34,칸!$H$2:$H$416)</f>
        <v/>
      </c>
      <c r="J34" s="2">
        <f>INDEX(비용표!$A$13:$A$17,MATCH(I34,비용표!$B$13:$B$17,1))</f>
        <v/>
      </c>
      <c r="K34" s="2">
        <f>INDEX(비용표!$C$13:$C$17,MATCH(I34,비용표!$B$13:$B$17,1))</f>
        <v/>
      </c>
      <c r="L34" s="4" t="inlineStr">
        <is>
          <t>장료 지력+1</t>
        </is>
      </c>
      <c r="M34" s="2" t="inlineStr">
        <is>
          <t>능력치</t>
        </is>
      </c>
      <c r="N34" s="2" t="inlineStr">
        <is>
          <t>장료</t>
        </is>
      </c>
      <c r="O34" s="2" t="inlineStr">
        <is>
          <t>지력</t>
        </is>
      </c>
      <c r="P34" s="2" t="n">
        <v>1</v>
      </c>
      <c r="Q34" s="4" t="n"/>
      <c r="R34" s="2" t="n"/>
      <c r="S34" s="2" t="n"/>
      <c r="T34" s="2" t="n"/>
    </row>
    <row r="35" ht="32" customHeight="1">
      <c r="A35" s="2" t="n">
        <v>34</v>
      </c>
      <c r="B35" s="2" t="inlineStr">
        <is>
          <t>③ 관도 (200~207)</t>
        </is>
      </c>
      <c r="C35" s="3" t="inlineStr">
        <is>
          <t>십승십패론</t>
        </is>
      </c>
      <c r="D35" s="2" t="inlineStr">
        <is>
          <t>十勝十敗論</t>
        </is>
      </c>
      <c r="E35" s="4">
        <f>INDEX(칸!$I$2:$I$416,MATCH(A35,칸!$A$2:$A$416,1))</f>
        <v/>
      </c>
      <c r="F35" s="4" t="inlineStr">
        <is>
          <t>곽가는 조조가 원소를 이길 열 가지 이유를 들었다.</t>
        </is>
      </c>
      <c r="G35" s="4" t="inlineStr">
        <is>
          <t>원소의 오만한 편지에 조조가 근심하자, 곽가는 조조가 원소를 이길 열 가지와 원소가 질 열 가지를 들었다(『부자』). 도량 · 결단 · 용병 · 덕 — 그 말은 관도대전의 예언이 되었다.</t>
        </is>
      </c>
      <c r="H35" s="2">
        <f>COUNTIF(칸!$A$2:$A$416,A35)</f>
        <v/>
      </c>
      <c r="I35" s="2">
        <f>SUMIF(칸!$A$2:$A$416,A35,칸!$H$2:$H$416)</f>
        <v/>
      </c>
      <c r="J35" s="2">
        <f>INDEX(비용표!$A$13:$A$17,MATCH(I35,비용표!$B$13:$B$17,1))</f>
        <v/>
      </c>
      <c r="K35" s="2">
        <f>INDEX(비용표!$C$13:$C$17,MATCH(I35,비용표!$B$13:$B$17,1))</f>
        <v/>
      </c>
      <c r="L35" s="4" t="inlineStr">
        <is>
          <t>곽가 통솔+2</t>
        </is>
      </c>
      <c r="M35" s="2" t="inlineStr">
        <is>
          <t>능력치</t>
        </is>
      </c>
      <c r="N35" s="2" t="inlineStr">
        <is>
          <t>곽가</t>
        </is>
      </c>
      <c r="O35" s="2" t="inlineStr">
        <is>
          <t>통솔</t>
        </is>
      </c>
      <c r="P35" s="2" t="n">
        <v>2</v>
      </c>
      <c r="Q35" s="4" t="n"/>
      <c r="R35" s="2" t="n"/>
      <c r="S35" s="2" t="n"/>
      <c r="T35" s="2" t="n"/>
    </row>
    <row r="36" ht="32" customHeight="1">
      <c r="A36" s="2" t="n">
        <v>35</v>
      </c>
      <c r="B36" s="2" t="inlineStr">
        <is>
          <t>③ 관도 (200~207)</t>
        </is>
      </c>
      <c r="C36" s="3" t="inlineStr">
        <is>
          <t>왕좌지재</t>
        </is>
      </c>
      <c r="D36" s="2" t="inlineStr">
        <is>
          <t>王佐之才</t>
        </is>
      </c>
      <c r="E36" s="4">
        <f>INDEX(칸!$I$2:$I$416,MATCH(A36,칸!$A$2:$A$416,1))</f>
        <v/>
      </c>
      <c r="F36" s="4" t="inlineStr">
        <is>
          <t>조조는 순욱을 「나의 자방」이라 불렀다.</t>
        </is>
      </c>
      <c r="G36" s="4" t="inlineStr">
        <is>
          <t>조조는 원소를 떠나 찾아온 순욱을 보고 「나의 자방이 왔다」며 기뻐했다. 순욱은 조카 순유와 함께 조조의 모든 큰 결정에 함께했고, 허도를 지키며 천하를 경영했다.</t>
        </is>
      </c>
      <c r="H36" s="2">
        <f>COUNTIF(칸!$A$2:$A$416,A36)</f>
        <v/>
      </c>
      <c r="I36" s="2">
        <f>SUMIF(칸!$A$2:$A$416,A36,칸!$H$2:$H$416)</f>
        <v/>
      </c>
      <c r="J36" s="2">
        <f>INDEX(비용표!$A$13:$A$17,MATCH(I36,비용표!$B$13:$B$17,1))</f>
        <v/>
      </c>
      <c r="K36" s="2">
        <f>INDEX(비용표!$C$13:$C$17,MATCH(I36,비용표!$B$13:$B$17,1))</f>
        <v/>
      </c>
      <c r="L36" s="4" t="inlineStr">
        <is>
          <t>순욱 함께 참전 시 순유 통솔+2</t>
        </is>
      </c>
      <c r="M36" s="2" t="inlineStr">
        <is>
          <t>능력치</t>
        </is>
      </c>
      <c r="N36" s="2" t="inlineStr">
        <is>
          <t>순유</t>
        </is>
      </c>
      <c r="O36" s="2" t="inlineStr">
        <is>
          <t>통솔</t>
        </is>
      </c>
      <c r="P36" s="2" t="n">
        <v>2</v>
      </c>
      <c r="Q36" s="4" t="inlineStr">
        <is>
          <t>순욱</t>
        </is>
      </c>
      <c r="R36" s="2" t="n"/>
      <c r="S36" s="2" t="n"/>
      <c r="T36" s="2" t="n"/>
    </row>
    <row r="37" ht="32" customHeight="1">
      <c r="A37" s="2" t="n">
        <v>36</v>
      </c>
      <c r="B37" s="2" t="inlineStr">
        <is>
          <t>③ 관도 (200~207)</t>
        </is>
      </c>
      <c r="C37" s="3" t="inlineStr">
        <is>
          <t>원소의 모사들</t>
        </is>
      </c>
      <c r="D37" s="2" t="inlineStr">
        <is>
          <t>袁紹謀士</t>
        </is>
      </c>
      <c r="E37" s="4">
        <f>INDEX(칸!$I$2:$I$416,MATCH(A37,칸!$A$2:$A$416,1))</f>
        <v/>
      </c>
      <c r="F37" s="4" t="inlineStr">
        <is>
          <t>책사는 넘쳤으나 주군은 끝내 어느 말도 듣지 않았다.</t>
        </is>
      </c>
      <c r="G37" s="4" t="inlineStr">
        <is>
          <t>원소의 막하에는 전풍 · 저수 · 심배 · 봉기 · 곽도 · 허유가 있었으나 서로를 헐뜯었다. 원소는 옳은 말을 하는 자를 가두고 듣기 좋은 말만 들었으니, 책사는 많아도 계책은 없었다.</t>
        </is>
      </c>
      <c r="H37" s="2">
        <f>COUNTIF(칸!$A$2:$A$416,A37)</f>
        <v/>
      </c>
      <c r="I37" s="2">
        <f>SUMIF(칸!$A$2:$A$416,A37,칸!$H$2:$H$416)</f>
        <v/>
      </c>
      <c r="J37" s="2">
        <f>INDEX(비용표!$A$13:$A$17,MATCH(I37,비용표!$B$13:$B$17,1))</f>
        <v/>
      </c>
      <c r="K37" s="2">
        <f>INDEX(비용표!$C$13:$C$17,MATCH(I37,비용표!$B$13:$B$17,1))</f>
        <v/>
      </c>
      <c r="L37" s="4" t="inlineStr">
        <is>
          <t>전풍·저수 함께 참전 시 전풍·저수 MP+1</t>
        </is>
      </c>
      <c r="M37" s="2" t="inlineStr">
        <is>
          <t>능력치</t>
        </is>
      </c>
      <c r="N37" s="2" t="inlineStr">
        <is>
          <t>전풍·저수</t>
        </is>
      </c>
      <c r="O37" s="2" t="inlineStr">
        <is>
          <t>MP</t>
        </is>
      </c>
      <c r="P37" s="2" t="n">
        <v>1</v>
      </c>
      <c r="Q37" s="4" t="inlineStr">
        <is>
          <t>전풍·저수</t>
        </is>
      </c>
      <c r="R37" s="2" t="n"/>
      <c r="S37" s="2" t="n"/>
      <c r="T37" s="2" t="n"/>
    </row>
    <row r="38" ht="32" customHeight="1">
      <c r="A38" s="2" t="n">
        <v>37</v>
      </c>
      <c r="B38" s="2" t="inlineStr">
        <is>
          <t>③ 관도 (200~207)</t>
        </is>
      </c>
      <c r="C38" s="3" t="inlineStr">
        <is>
          <t>하북의 두 기둥</t>
        </is>
      </c>
      <c r="D38" s="2" t="inlineStr">
        <is>
          <t>河北雙壁</t>
        </is>
      </c>
      <c r="E38" s="4">
        <f>INDEX(칸!$I$2:$I$416,MATCH(A38,칸!$A$2:$A$416,1))</f>
        <v/>
      </c>
      <c r="F38" s="4" t="inlineStr">
        <is>
          <t>원소군 최강의 두 장수. 둘이 함께면 당할 자가 없다 했다.</t>
        </is>
      </c>
      <c r="G38" s="4" t="inlineStr">
        <is>
          <t>안량과 문추는 원소군을 대표하는 맹장으로 하북의 두 기둥이라 불렸다. 그러나 안량은 백마에서 관우에게, 문추는 연진에서 조조군에게 차례로 쓰러져 원소의 사기를 꺾었다.</t>
        </is>
      </c>
      <c r="H38" s="2">
        <f>COUNTIF(칸!$A$2:$A$416,A38)</f>
        <v/>
      </c>
      <c r="I38" s="2">
        <f>SUMIF(칸!$A$2:$A$416,A38,칸!$H$2:$H$416)</f>
        <v/>
      </c>
      <c r="J38" s="2">
        <f>INDEX(비용표!$A$13:$A$17,MATCH(I38,비용표!$B$13:$B$17,1))</f>
        <v/>
      </c>
      <c r="K38" s="2">
        <f>INDEX(비용표!$C$13:$C$17,MATCH(I38,비용표!$B$13:$B$17,1))</f>
        <v/>
      </c>
      <c r="L38" s="4" t="inlineStr">
        <is>
          <t>안량·문추 함께 참전 시 안량·문추 무력+1</t>
        </is>
      </c>
      <c r="M38" s="2" t="inlineStr">
        <is>
          <t>능력치</t>
        </is>
      </c>
      <c r="N38" s="2" t="inlineStr">
        <is>
          <t>안량·문추</t>
        </is>
      </c>
      <c r="O38" s="2" t="inlineStr">
        <is>
          <t>무력</t>
        </is>
      </c>
      <c r="P38" s="2" t="n">
        <v>1</v>
      </c>
      <c r="Q38" s="4" t="inlineStr">
        <is>
          <t>안량·문추</t>
        </is>
      </c>
      <c r="R38" s="2" t="n"/>
      <c r="S38" s="2" t="n"/>
      <c r="T38" s="2" t="n"/>
    </row>
    <row r="39" ht="32" customHeight="1">
      <c r="A39" s="2" t="n">
        <v>38</v>
      </c>
      <c r="B39" s="2" t="inlineStr">
        <is>
          <t>③ 관도 (200~207)</t>
        </is>
      </c>
      <c r="C39" s="3" t="inlineStr">
        <is>
          <t>관도대전</t>
        </is>
      </c>
      <c r="D39" s="2" t="inlineStr">
        <is>
          <t>官渡之戰</t>
        </is>
      </c>
      <c r="E39" s="4">
        <f>INDEX(칸!$I$2:$I$416,MATCH(A39,칸!$A$2:$A$416,1))</f>
        <v/>
      </c>
      <c r="F39" s="4" t="inlineStr">
        <is>
          <t>관우는 안량과 문추를 단숨에 제압하고, 조조와 원소의 대결은 조조의 승리로 막을 내린다.</t>
        </is>
      </c>
      <c r="G39" s="4" t="inlineStr">
        <is>
          <t>서기 200년, 원소의 십만 대군과 조조의 작은 군대가 관도에서 맞섰다. 관우가 백마에서 안량을 베고, 문추가 연진에서 쓰러졌으며, 조조는 끝내 오소를 불태워 북방의 패자가 되었다.</t>
        </is>
      </c>
      <c r="H39" s="2">
        <f>COUNTIF(칸!$A$2:$A$416,A39)</f>
        <v/>
      </c>
      <c r="I39" s="2">
        <f>SUMIF(칸!$A$2:$A$416,A39,칸!$H$2:$H$416)</f>
        <v/>
      </c>
      <c r="J39" s="2">
        <f>INDEX(비용표!$A$13:$A$17,MATCH(I39,비용표!$B$13:$B$17,1))</f>
        <v/>
      </c>
      <c r="K39" s="2">
        <f>INDEX(비용표!$C$13:$C$17,MATCH(I39,비용표!$B$13:$B$17,1))</f>
        <v/>
      </c>
      <c r="L39" s="4" t="inlineStr">
        <is>
          <t>조조·관우 함께 참전, 적진에 안량·문추 시 관우 AT+0.5</t>
        </is>
      </c>
      <c r="M39" s="2" t="inlineStr">
        <is>
          <t>능력치</t>
        </is>
      </c>
      <c r="N39" s="2" t="inlineStr">
        <is>
          <t>관우</t>
        </is>
      </c>
      <c r="O39" s="2" t="inlineStr">
        <is>
          <t>AT</t>
        </is>
      </c>
      <c r="P39" s="2" t="n">
        <v>0.5</v>
      </c>
      <c r="Q39" s="4" t="inlineStr">
        <is>
          <t>조조·관우</t>
        </is>
      </c>
      <c r="R39" s="2" t="n"/>
      <c r="S39" s="2" t="inlineStr">
        <is>
          <t>안량·문추</t>
        </is>
      </c>
      <c r="T39" s="2" t="n"/>
    </row>
    <row r="40" ht="32" customHeight="1">
      <c r="A40" s="2" t="n">
        <v>39</v>
      </c>
      <c r="B40" s="2" t="inlineStr">
        <is>
          <t>③ 관도 (200~207)</t>
        </is>
      </c>
      <c r="C40" s="3" t="inlineStr">
        <is>
          <t>오소 기습</t>
        </is>
      </c>
      <c r="D40" s="2" t="inlineStr">
        <is>
          <t>火燒烏巢</t>
        </is>
      </c>
      <c r="E40" s="4">
        <f>INDEX(칸!$I$2:$I$416,MATCH(A40,칸!$A$2:$A$416,1))</f>
        <v/>
      </c>
      <c r="F40" s="4" t="inlineStr">
        <is>
          <t>허유가 넘어오자 조조는 직접 오소의 군량고를 불태웠다.</t>
        </is>
      </c>
      <c r="G40" s="4" t="inlineStr">
        <is>
          <t>관도의 대치가 길어지자 원소의 책사 허유가 조조에게 넘어와 오소의 군량고를 알렸다. 조조는 직접 오천 기를 이끌고 밤에 오소를 불태웠고, 지키던 순우경은 사로잡혔다.</t>
        </is>
      </c>
      <c r="H40" s="2">
        <f>COUNTIF(칸!$A$2:$A$416,A40)</f>
        <v/>
      </c>
      <c r="I40" s="2">
        <f>SUMIF(칸!$A$2:$A$416,A40,칸!$H$2:$H$416)</f>
        <v/>
      </c>
      <c r="J40" s="2">
        <f>INDEX(비용표!$A$13:$A$17,MATCH(I40,비용표!$B$13:$B$17,1))</f>
        <v/>
      </c>
      <c r="K40" s="2">
        <f>INDEX(비용표!$C$13:$C$17,MATCH(I40,비용표!$B$13:$B$17,1))</f>
        <v/>
      </c>
      <c r="L40" s="4" t="inlineStr">
        <is>
          <t>최대 군량 +2</t>
        </is>
      </c>
      <c r="M40" s="2" t="inlineStr">
        <is>
          <t>도시</t>
        </is>
      </c>
      <c r="N40" s="2" t="n"/>
      <c r="O40" s="2" t="n"/>
      <c r="P40" s="2" t="n">
        <v>2</v>
      </c>
      <c r="Q40" s="4" t="n"/>
      <c r="R40" s="2" t="n"/>
      <c r="S40" s="2" t="n"/>
      <c r="T40" s="2" t="inlineStr">
        <is>
          <t>grainCap</t>
        </is>
      </c>
    </row>
    <row r="41" ht="32" customHeight="1">
      <c r="A41" s="2" t="n">
        <v>40</v>
      </c>
      <c r="B41" s="2" t="inlineStr">
        <is>
          <t>③ 관도 (200~207)</t>
        </is>
      </c>
      <c r="C41" s="3" t="inlineStr">
        <is>
          <t>오관참육장</t>
        </is>
      </c>
      <c r="D41" s="2" t="inlineStr">
        <is>
          <t>過五關斬六將</t>
        </is>
      </c>
      <c r="E41" s="4">
        <f>INDEX(칸!$I$2:$I$416,MATCH(A41,칸!$A$2:$A$416,1))</f>
        <v/>
      </c>
      <c r="F41" s="4" t="inlineStr">
        <is>
          <t>형님을 찾아 다섯 관문을 지나며 여섯 장수를 베었다.</t>
        </is>
      </c>
      <c r="G41" s="4" t="inlineStr">
        <is>
          <t>유비의 소식을 들은 관우는 조조가 내린 재물을 봉해 두고 두 형수를 모셔 길을 떠났다. 통행증 없이 다섯 관문을 지나며 여섯 장수를 베었다 — 연의가 그린 관우의 천리행이다.</t>
        </is>
      </c>
      <c r="H41" s="2">
        <f>COUNTIF(칸!$A$2:$A$416,A41)</f>
        <v/>
      </c>
      <c r="I41" s="2">
        <f>SUMIF(칸!$A$2:$A$416,A41,칸!$H$2:$H$416)</f>
        <v/>
      </c>
      <c r="J41" s="2">
        <f>INDEX(비용표!$A$13:$A$17,MATCH(I41,비용표!$B$13:$B$17,1))</f>
        <v/>
      </c>
      <c r="K41" s="2">
        <f>INDEX(비용표!$C$13:$C$17,MATCH(I41,비용표!$B$13:$B$17,1))</f>
        <v/>
      </c>
      <c r="L41" s="4" t="inlineStr">
        <is>
          <t>관우 통솔+2</t>
        </is>
      </c>
      <c r="M41" s="2" t="inlineStr">
        <is>
          <t>능력치</t>
        </is>
      </c>
      <c r="N41" s="2" t="inlineStr">
        <is>
          <t>관우</t>
        </is>
      </c>
      <c r="O41" s="2" t="inlineStr">
        <is>
          <t>통솔</t>
        </is>
      </c>
      <c r="P41" s="2" t="n">
        <v>2</v>
      </c>
      <c r="Q41" s="4" t="n"/>
      <c r="R41" s="2" t="n"/>
      <c r="S41" s="2" t="n"/>
      <c r="T41" s="2" t="n"/>
    </row>
    <row r="42" ht="32" customHeight="1">
      <c r="A42" s="2" t="n">
        <v>41</v>
      </c>
      <c r="B42" s="2" t="inlineStr">
        <is>
          <t>③ 관도 (200~207)</t>
        </is>
      </c>
      <c r="C42" s="3" t="inlineStr">
        <is>
          <t>고성의 재회</t>
        </is>
      </c>
      <c r="D42" s="2" t="inlineStr">
        <is>
          <t>古城相會</t>
        </is>
      </c>
      <c r="E42" s="4">
        <f>INDEX(칸!$I$2:$I$416,MATCH(A42,칸!$A$2:$A$416,1))</f>
        <v/>
      </c>
      <c r="F42" s="4" t="inlineStr">
        <is>
          <t>흩어졌던 형제와 장수들이 고성에서 다시 모였다.</t>
        </is>
      </c>
      <c r="G42" s="4" t="inlineStr">
        <is>
          <t>여남을 떠돌던 유비, 고성을 차지한 장비, 천리를 달려온 관우가 마침내 고성에서 다시 만났다. 조운 · 주창 · 손건 · 간옹 · 미축도 모여들어, 흩어졌던 유비 집단이 다시 섰다.</t>
        </is>
      </c>
      <c r="H42" s="2">
        <f>COUNTIF(칸!$A$2:$A$416,A42)</f>
        <v/>
      </c>
      <c r="I42" s="2">
        <f>SUMIF(칸!$A$2:$A$416,A42,칸!$H$2:$H$416)</f>
        <v/>
      </c>
      <c r="J42" s="2">
        <f>INDEX(비용표!$A$13:$A$17,MATCH(I42,비용표!$B$13:$B$17,1))</f>
        <v/>
      </c>
      <c r="K42" s="2">
        <f>INDEX(비용표!$C$13:$C$17,MATCH(I42,비용표!$B$13:$B$17,1))</f>
        <v/>
      </c>
      <c r="L42" s="4" t="inlineStr">
        <is>
          <t>관우 함께 참전 시 주창 통솔+2</t>
        </is>
      </c>
      <c r="M42" s="2" t="inlineStr">
        <is>
          <t>능력치</t>
        </is>
      </c>
      <c r="N42" s="2" t="inlineStr">
        <is>
          <t>주창</t>
        </is>
      </c>
      <c r="O42" s="2" t="inlineStr">
        <is>
          <t>통솔</t>
        </is>
      </c>
      <c r="P42" s="2" t="n">
        <v>2</v>
      </c>
      <c r="Q42" s="4" t="inlineStr">
        <is>
          <t>관우</t>
        </is>
      </c>
      <c r="R42" s="2" t="n"/>
      <c r="S42" s="2" t="n"/>
      <c r="T42" s="2" t="n"/>
    </row>
    <row r="43" ht="32" customHeight="1">
      <c r="A43" s="2" t="n">
        <v>42</v>
      </c>
      <c r="B43" s="2" t="inlineStr">
        <is>
          <t>③ 관도 (200~207)</t>
        </is>
      </c>
      <c r="C43" s="3" t="inlineStr">
        <is>
          <t>발시담정</t>
        </is>
      </c>
      <c r="D43" s="2" t="inlineStr">
        <is>
          <t>拔矢啖睛</t>
        </is>
      </c>
      <c r="E43" s="4">
        <f>INDEX(칸!$I$2:$I$416,MATCH(A43,칸!$A$2:$A$416,1))</f>
        <v/>
      </c>
      <c r="F43" s="4" t="inlineStr">
        <is>
          <t>눈에 박힌 화살을 뽑아 「부모의 정혈을 버릴 수 없다」며 삼켰다.</t>
        </is>
      </c>
      <c r="G43" s="4" t="inlineStr">
        <is>
          <t>여포와 싸우던 하후돈은 조성의 화살에 왼눈을 맞았다. 연의는 그가 화살을 뽑으며 딸려 나온 눈알을 「부모의 정혈을 버릴 수 없다」며 삼키고 조성을 찔러 죽였다고 전한다.</t>
        </is>
      </c>
      <c r="H43" s="2">
        <f>COUNTIF(칸!$A$2:$A$416,A43)</f>
        <v/>
      </c>
      <c r="I43" s="2">
        <f>SUMIF(칸!$A$2:$A$416,A43,칸!$H$2:$H$416)</f>
        <v/>
      </c>
      <c r="J43" s="2">
        <f>INDEX(비용표!$A$13:$A$17,MATCH(I43,비용표!$B$13:$B$17,1))</f>
        <v/>
      </c>
      <c r="K43" s="2">
        <f>INDEX(비용표!$C$13:$C$17,MATCH(I43,비용표!$B$13:$B$17,1))</f>
        <v/>
      </c>
      <c r="L43" s="4" t="inlineStr">
        <is>
          <t>하후돈 무력+1</t>
        </is>
      </c>
      <c r="M43" s="2" t="inlineStr">
        <is>
          <t>능력치</t>
        </is>
      </c>
      <c r="N43" s="2" t="inlineStr">
        <is>
          <t>하후돈</t>
        </is>
      </c>
      <c r="O43" s="2" t="inlineStr">
        <is>
          <t>무력</t>
        </is>
      </c>
      <c r="P43" s="2" t="n">
        <v>1</v>
      </c>
      <c r="Q43" s="4" t="n"/>
      <c r="R43" s="2" t="n"/>
      <c r="S43" s="2" t="n"/>
      <c r="T43" s="2" t="n"/>
    </row>
    <row r="44" ht="32" customHeight="1">
      <c r="A44" s="2" t="n">
        <v>43</v>
      </c>
      <c r="B44" s="2" t="inlineStr">
        <is>
          <t>③ 관도 (200~207)</t>
        </is>
      </c>
      <c r="C44" s="3" t="inlineStr">
        <is>
          <t>백랑산</t>
        </is>
      </c>
      <c r="D44" s="2" t="inlineStr">
        <is>
          <t>白狼山</t>
        </is>
      </c>
      <c r="E44" s="4">
        <f>INDEX(칸!$I$2:$I$416,MATCH(A44,칸!$A$2:$A$416,1))</f>
        <v/>
      </c>
      <c r="F44" s="4" t="inlineStr">
        <is>
          <t>먼 북방의 오환을 장료의 선봉이 무너뜨렸다.</t>
        </is>
      </c>
      <c r="G44" s="4" t="inlineStr">
        <is>
          <t>원씨 형제가 오환으로 달아나자 조조는 곽가의 권유로 먼 북방 원정에 나섰다. 백랑산에서 장료가 선봉을 맡아 오환의 선우 답돈을 베고 북방을 평정했다.</t>
        </is>
      </c>
      <c r="H44" s="2">
        <f>COUNTIF(칸!$A$2:$A$416,A44)</f>
        <v/>
      </c>
      <c r="I44" s="2">
        <f>SUMIF(칸!$A$2:$A$416,A44,칸!$H$2:$H$416)</f>
        <v/>
      </c>
      <c r="J44" s="2">
        <f>INDEX(비용표!$A$13:$A$17,MATCH(I44,비용표!$B$13:$B$17,1))</f>
        <v/>
      </c>
      <c r="K44" s="2">
        <f>INDEX(비용표!$C$13:$C$17,MATCH(I44,비용표!$B$13:$B$17,1))</f>
        <v/>
      </c>
      <c r="L44" s="4" t="inlineStr">
        <is>
          <t>장료 HP+1</t>
        </is>
      </c>
      <c r="M44" s="2" t="inlineStr">
        <is>
          <t>능력치</t>
        </is>
      </c>
      <c r="N44" s="2" t="inlineStr">
        <is>
          <t>장료</t>
        </is>
      </c>
      <c r="O44" s="2" t="inlineStr">
        <is>
          <t>HP</t>
        </is>
      </c>
      <c r="P44" s="2" t="n">
        <v>1</v>
      </c>
      <c r="Q44" s="4" t="n"/>
      <c r="R44" s="2" t="n"/>
      <c r="S44" s="2" t="n"/>
      <c r="T44" s="2" t="n"/>
    </row>
    <row r="45" ht="32" customHeight="1">
      <c r="A45" s="2" t="n">
        <v>44</v>
      </c>
      <c r="B45" s="2" t="inlineStr">
        <is>
          <t>④ 형주 · 적벽 (201~209)</t>
        </is>
      </c>
      <c r="C45" s="3" t="inlineStr">
        <is>
          <t>적로의 단계 도약</t>
        </is>
      </c>
      <c r="D45" s="2" t="inlineStr">
        <is>
          <t>躍馬檀溪</t>
        </is>
      </c>
      <c r="E45" s="4">
        <f>INDEX(칸!$I$2:$I$416,MATCH(A45,칸!$A$2:$A$416,1))</f>
        <v/>
      </c>
      <c r="F45" s="4" t="inlineStr">
        <is>
          <t>주인을 해친다는 흉마가 단계를 뛰어넘어 유비를 살렸다.</t>
        </is>
      </c>
      <c r="G45" s="4" t="inlineStr">
        <is>
          <t>형주의 연회에서 채모가 자신을 해치려는 것을 알아챈 유비는 말을 몰아 달아났다. 단계의 급류에 막히자 「적로야, 오늘 나를 해치려느냐」 외쳤고, 적로는 세 길을 뛰어 건넜다.</t>
        </is>
      </c>
      <c r="H45" s="2">
        <f>COUNTIF(칸!$A$2:$A$416,A45)</f>
        <v/>
      </c>
      <c r="I45" s="2">
        <f>SUMIF(칸!$A$2:$A$416,A45,칸!$H$2:$H$416)</f>
        <v/>
      </c>
      <c r="J45" s="2">
        <f>INDEX(비용표!$A$13:$A$17,MATCH(I45,비용표!$B$13:$B$17,1))</f>
        <v/>
      </c>
      <c r="K45" s="2">
        <f>INDEX(비용표!$C$13:$C$17,MATCH(I45,비용표!$B$13:$B$17,1))</f>
        <v/>
      </c>
      <c r="L45" s="4" t="inlineStr">
        <is>
          <t>유비 지력+2</t>
        </is>
      </c>
      <c r="M45" s="2" t="inlineStr">
        <is>
          <t>능력치</t>
        </is>
      </c>
      <c r="N45" s="2" t="inlineStr">
        <is>
          <t>유비</t>
        </is>
      </c>
      <c r="O45" s="2" t="inlineStr">
        <is>
          <t>지력</t>
        </is>
      </c>
      <c r="P45" s="2" t="n">
        <v>2</v>
      </c>
      <c r="Q45" s="4" t="n"/>
      <c r="R45" s="2" t="n"/>
      <c r="S45" s="2" t="n"/>
      <c r="T45" s="2" t="n"/>
    </row>
    <row r="46" ht="32" customHeight="1">
      <c r="A46" s="2" t="n">
        <v>45</v>
      </c>
      <c r="B46" s="2" t="inlineStr">
        <is>
          <t>④ 형주 · 적벽 (201~209)</t>
        </is>
      </c>
      <c r="C46" s="3" t="inlineStr">
        <is>
          <t>팔문금쇄진</t>
        </is>
      </c>
      <c r="D46" s="2" t="inlineStr">
        <is>
          <t>八門金鎖陣</t>
        </is>
      </c>
      <c r="E46" s="4">
        <f>INDEX(칸!$I$2:$I$416,MATCH(A46,칸!$A$2:$A$416,1))</f>
        <v/>
      </c>
      <c r="F46" s="4" t="inlineStr">
        <is>
          <t>서서는 조인의 진법을 한눈에 꿰뚫었다.</t>
        </is>
      </c>
      <c r="G46" s="4" t="inlineStr">
        <is>
          <t>신야를 친 조인이 팔문금쇄진을 펼쳤으나 유비의 군사 서서가 한눈에 꿰뚫었다. 생문으로 들어가 경문으로 나오게 하니 진은 무너지고, 조인은 크게 패했다.</t>
        </is>
      </c>
      <c r="H46" s="2">
        <f>COUNTIF(칸!$A$2:$A$416,A46)</f>
        <v/>
      </c>
      <c r="I46" s="2">
        <f>SUMIF(칸!$A$2:$A$416,A46,칸!$H$2:$H$416)</f>
        <v/>
      </c>
      <c r="J46" s="2">
        <f>INDEX(비용표!$A$13:$A$17,MATCH(I46,비용표!$B$13:$B$17,1))</f>
        <v/>
      </c>
      <c r="K46" s="2">
        <f>INDEX(비용표!$C$13:$C$17,MATCH(I46,비용표!$B$13:$B$17,1))</f>
        <v/>
      </c>
      <c r="L46" s="4" t="inlineStr">
        <is>
          <t>적진에 조인 시 서서 통솔+2</t>
        </is>
      </c>
      <c r="M46" s="2" t="inlineStr">
        <is>
          <t>능력치</t>
        </is>
      </c>
      <c r="N46" s="2" t="inlineStr">
        <is>
          <t>서서</t>
        </is>
      </c>
      <c r="O46" s="2" t="inlineStr">
        <is>
          <t>통솔</t>
        </is>
      </c>
      <c r="P46" s="2" t="n">
        <v>2</v>
      </c>
      <c r="Q46" s="4" t="n"/>
      <c r="R46" s="2" t="n"/>
      <c r="S46" s="2" t="inlineStr">
        <is>
          <t>조인</t>
        </is>
      </c>
      <c r="T46" s="2" t="n"/>
    </row>
    <row r="47" ht="32" customHeight="1">
      <c r="A47" s="2" t="n">
        <v>46</v>
      </c>
      <c r="B47" s="2" t="inlineStr">
        <is>
          <t>④ 형주 · 적벽 (201~209)</t>
        </is>
      </c>
      <c r="C47" s="3" t="inlineStr">
        <is>
          <t>서서의 어머니</t>
        </is>
      </c>
      <c r="D47" s="2" t="inlineStr">
        <is>
          <t>徐母之書</t>
        </is>
      </c>
      <c r="E47" s="4">
        <f>INDEX(칸!$I$2:$I$416,MATCH(A47,칸!$A$2:$A$416,1))</f>
        <v/>
      </c>
      <c r="F47" s="4" t="inlineStr">
        <is>
          <t>거짓 편지 한 통에 서서는 유비를 떠났고 평생 계책을 내지 않았다.</t>
        </is>
      </c>
      <c r="G47" s="4" t="inlineStr">
        <is>
          <t>조조는 서서를 얻으려고 그 어머니를 잡아 두었다. 연의에서는 정욱이 어머니의 필적을 흉내 낸 가짜 편지를 보냈고, 서서는 떠나며 제갈량을 천거하고 평생 조조에게 계책을 내지 않았다.</t>
        </is>
      </c>
      <c r="H47" s="2">
        <f>COUNTIF(칸!$A$2:$A$416,A47)</f>
        <v/>
      </c>
      <c r="I47" s="2">
        <f>SUMIF(칸!$A$2:$A$416,A47,칸!$H$2:$H$416)</f>
        <v/>
      </c>
      <c r="J47" s="2">
        <f>INDEX(비용표!$A$13:$A$17,MATCH(I47,비용표!$B$13:$B$17,1))</f>
        <v/>
      </c>
      <c r="K47" s="2">
        <f>INDEX(비용표!$C$13:$C$17,MATCH(I47,비용표!$B$13:$B$17,1))</f>
        <v/>
      </c>
      <c r="L47" s="4" t="inlineStr">
        <is>
          <t>정욱 MP+1</t>
        </is>
      </c>
      <c r="M47" s="2" t="inlineStr">
        <is>
          <t>능력치</t>
        </is>
      </c>
      <c r="N47" s="2" t="inlineStr">
        <is>
          <t>정욱</t>
        </is>
      </c>
      <c r="O47" s="2" t="inlineStr">
        <is>
          <t>MP</t>
        </is>
      </c>
      <c r="P47" s="2" t="n">
        <v>1</v>
      </c>
      <c r="Q47" s="4" t="n"/>
      <c r="R47" s="2" t="n"/>
      <c r="S47" s="2" t="n"/>
      <c r="T47" s="2" t="n"/>
    </row>
    <row r="48" ht="32" customHeight="1">
      <c r="A48" s="2" t="n">
        <v>47</v>
      </c>
      <c r="B48" s="2" t="inlineStr">
        <is>
          <t>④ 형주 · 적벽 (201~209)</t>
        </is>
      </c>
      <c r="C48" s="3" t="inlineStr">
        <is>
          <t>삼고초려</t>
        </is>
      </c>
      <c r="D48" s="2" t="inlineStr">
        <is>
          <t>三顧草廬</t>
        </is>
      </c>
      <c r="E48" s="4">
        <f>INDEX(칸!$I$2:$I$416,MATCH(A48,칸!$A$2:$A$416,1))</f>
        <v/>
      </c>
      <c r="F48" s="4" t="inlineStr">
        <is>
          <t>세 번 찾아간 끝에 와룡이 융중을 나섰다.</t>
        </is>
      </c>
      <c r="G48" s="4" t="inlineStr">
        <is>
          <t>서서의 천거로 유비는 관우 · 장비와 함께 융중의 초가를 찾았다. 두 번 허탕을 치고 눈보라 속에 세 번째 찾아가서야 제갈량을 만났고, 와룡은 비로소 산을 나섰다.</t>
        </is>
      </c>
      <c r="H48" s="2">
        <f>COUNTIF(칸!$A$2:$A$416,A48)</f>
        <v/>
      </c>
      <c r="I48" s="2">
        <f>SUMIF(칸!$A$2:$A$416,A48,칸!$H$2:$H$416)</f>
        <v/>
      </c>
      <c r="J48" s="2">
        <f>INDEX(비용표!$A$13:$A$17,MATCH(I48,비용표!$B$13:$B$17,1))</f>
        <v/>
      </c>
      <c r="K48" s="2">
        <f>INDEX(비용표!$C$13:$C$17,MATCH(I48,비용표!$B$13:$B$17,1))</f>
        <v/>
      </c>
      <c r="L48" s="4" t="inlineStr">
        <is>
          <t>유비의 「삼고초려」 SP 6 → 5</t>
        </is>
      </c>
      <c r="M48" s="2" t="inlineStr">
        <is>
          <t>고유기술SP</t>
        </is>
      </c>
      <c r="N48" s="2" t="inlineStr">
        <is>
          <t>유비</t>
        </is>
      </c>
      <c r="O48" s="2" t="n"/>
      <c r="P48" s="2" t="n">
        <v>-1</v>
      </c>
      <c r="Q48" s="4" t="n"/>
      <c r="R48" s="2" t="n"/>
      <c r="S48" s="2" t="n"/>
      <c r="T48" s="2" t="n"/>
    </row>
    <row r="49" ht="32" customHeight="1">
      <c r="A49" s="2" t="n">
        <v>48</v>
      </c>
      <c r="B49" s="2" t="inlineStr">
        <is>
          <t>④ 형주 · 적벽 (201~209)</t>
        </is>
      </c>
      <c r="C49" s="3" t="inlineStr">
        <is>
          <t>박망파의 불</t>
        </is>
      </c>
      <c r="D49" s="2" t="inlineStr">
        <is>
          <t>火燒博望坡</t>
        </is>
      </c>
      <c r="E49" s="4">
        <f>INDEX(칸!$I$2:$I$416,MATCH(A49,칸!$A$2:$A$416,1))</f>
        <v/>
      </c>
      <c r="F49" s="4" t="inlineStr">
        <is>
          <t>출사 후 첫 계책. 박망파의 갈대숲이 불타올랐다.</t>
        </is>
      </c>
      <c r="G49" s="4" t="inlineStr">
        <is>
          <t>하후돈이 신야로 쳐들어오자, 출사 직후의 제갈량이 박망파의 갈대숲에 불을 놓았다. 관우 · 장비 · 조운이 길목을 끊으니 하후돈은 크게 패했고, 관우 · 장비는 그제야 제갈량을 믿었다.</t>
        </is>
      </c>
      <c r="H49" s="2">
        <f>COUNTIF(칸!$A$2:$A$416,A49)</f>
        <v/>
      </c>
      <c r="I49" s="2">
        <f>SUMIF(칸!$A$2:$A$416,A49,칸!$H$2:$H$416)</f>
        <v/>
      </c>
      <c r="J49" s="2">
        <f>INDEX(비용표!$A$13:$A$17,MATCH(I49,비용표!$B$13:$B$17,1))</f>
        <v/>
      </c>
      <c r="K49" s="2">
        <f>INDEX(비용표!$C$13:$C$17,MATCH(I49,비용표!$B$13:$B$17,1))</f>
        <v/>
      </c>
      <c r="L49" s="4" t="inlineStr">
        <is>
          <t>제갈량 MP+1</t>
        </is>
      </c>
      <c r="M49" s="2" t="inlineStr">
        <is>
          <t>능력치</t>
        </is>
      </c>
      <c r="N49" s="2" t="inlineStr">
        <is>
          <t>제갈량</t>
        </is>
      </c>
      <c r="O49" s="2" t="inlineStr">
        <is>
          <t>MP</t>
        </is>
      </c>
      <c r="P49" s="2" t="n">
        <v>1</v>
      </c>
      <c r="Q49" s="4" t="n"/>
      <c r="R49" s="2" t="n"/>
      <c r="S49" s="2" t="n"/>
      <c r="T49" s="2" t="n"/>
    </row>
    <row r="50" ht="32" customHeight="1">
      <c r="A50" s="2" t="n">
        <v>49</v>
      </c>
      <c r="B50" s="2" t="inlineStr">
        <is>
          <t>④ 형주 · 적벽 (201~209)</t>
        </is>
      </c>
      <c r="C50" s="3" t="inlineStr">
        <is>
          <t>형주의 항복</t>
        </is>
      </c>
      <c r="D50" s="2" t="inlineStr">
        <is>
          <t>荊州投降</t>
        </is>
      </c>
      <c r="E50" s="4">
        <f>INDEX(칸!$I$2:$I$416,MATCH(A50,칸!$A$2:$A$416,1))</f>
        <v/>
      </c>
      <c r="F50" s="4" t="inlineStr">
        <is>
          <t>유표가 죽자 채모는 어린 유종을 앞세워 형주를 조조에게 바쳤다.</t>
        </is>
      </c>
      <c r="G50" s="4" t="inlineStr">
        <is>
          <t>유표가 죽자 채모와 괴월은 어린 유종을 세우고 형주를 조조에게 바쳤다. 싸우지 않고 형주를 얻은 조조는 유비를 쫓아 남으로 내려왔다.</t>
        </is>
      </c>
      <c r="H50" s="2">
        <f>COUNTIF(칸!$A$2:$A$416,A50)</f>
        <v/>
      </c>
      <c r="I50" s="2">
        <f>SUMIF(칸!$A$2:$A$416,A50,칸!$H$2:$H$416)</f>
        <v/>
      </c>
      <c r="J50" s="2">
        <f>INDEX(비용표!$A$13:$A$17,MATCH(I50,비용표!$B$13:$B$17,1))</f>
        <v/>
      </c>
      <c r="K50" s="2">
        <f>INDEX(비용표!$C$13:$C$17,MATCH(I50,비용표!$B$13:$B$17,1))</f>
        <v/>
      </c>
      <c r="L50" s="4" t="inlineStr">
        <is>
          <t>채모 지력+1</t>
        </is>
      </c>
      <c r="M50" s="2" t="inlineStr">
        <is>
          <t>능력치</t>
        </is>
      </c>
      <c r="N50" s="2" t="inlineStr">
        <is>
          <t>채모</t>
        </is>
      </c>
      <c r="O50" s="2" t="inlineStr">
        <is>
          <t>지력</t>
        </is>
      </c>
      <c r="P50" s="2" t="n">
        <v>1</v>
      </c>
      <c r="Q50" s="4" t="n"/>
      <c r="R50" s="2" t="n"/>
      <c r="S50" s="2" t="n"/>
      <c r="T50" s="2" t="n"/>
    </row>
    <row r="51" ht="32" customHeight="1">
      <c r="A51" s="2" t="n">
        <v>50</v>
      </c>
      <c r="B51" s="2" t="inlineStr">
        <is>
          <t>④ 형주 · 적벽 (201~209)</t>
        </is>
      </c>
      <c r="C51" s="3" t="inlineStr">
        <is>
          <t>장판파 단기구주</t>
        </is>
      </c>
      <c r="D51" s="2" t="inlineStr">
        <is>
          <t>長坂坡單騎救主</t>
        </is>
      </c>
      <c r="E51" s="4">
        <f>INDEX(칸!$I$2:$I$416,MATCH(A51,칸!$A$2:$A$416,1))</f>
        <v/>
      </c>
      <c r="F51" s="4" t="inlineStr">
        <is>
          <t>조운은 아두를 품고 조조의 백만 대군 사이를 홀로 지났다.</t>
        </is>
      </c>
      <c r="G51" s="4" t="inlineStr">
        <is>
          <t>장판에서 조조군에 따라잡혀 유비의 가솔이 흩어졌다. 조운은 홀로 적진을 오가며 어린 아두를 품에 안고 빠져나왔고, 그 길에 하후은의 청강검을 빼앗았다.</t>
        </is>
      </c>
      <c r="H51" s="2">
        <f>COUNTIF(칸!$A$2:$A$416,A51)</f>
        <v/>
      </c>
      <c r="I51" s="2">
        <f>SUMIF(칸!$A$2:$A$416,A51,칸!$H$2:$H$416)</f>
        <v/>
      </c>
      <c r="J51" s="2">
        <f>INDEX(비용표!$A$13:$A$17,MATCH(I51,비용표!$B$13:$B$17,1))</f>
        <v/>
      </c>
      <c r="K51" s="2">
        <f>INDEX(비용표!$C$13:$C$17,MATCH(I51,비용표!$B$13:$B$17,1))</f>
        <v/>
      </c>
      <c r="L51" s="4" t="inlineStr">
        <is>
          <t>조운 통솔+2</t>
        </is>
      </c>
      <c r="M51" s="2" t="inlineStr">
        <is>
          <t>능력치</t>
        </is>
      </c>
      <c r="N51" s="2" t="inlineStr">
        <is>
          <t>조운</t>
        </is>
      </c>
      <c r="O51" s="2" t="inlineStr">
        <is>
          <t>통솔</t>
        </is>
      </c>
      <c r="P51" s="2" t="n">
        <v>2</v>
      </c>
      <c r="Q51" s="4" t="n"/>
      <c r="R51" s="2" t="n"/>
      <c r="S51" s="2" t="n"/>
      <c r="T51" s="2" t="n"/>
    </row>
    <row r="52" ht="32" customHeight="1">
      <c r="A52" s="2" t="n">
        <v>51</v>
      </c>
      <c r="B52" s="2" t="inlineStr">
        <is>
          <t>④ 형주 · 적벽 (201~209)</t>
        </is>
      </c>
      <c r="C52" s="3" t="inlineStr">
        <is>
          <t>장판교의 일갈</t>
        </is>
      </c>
      <c r="D52" s="2" t="inlineStr">
        <is>
          <t>長坂橋喝</t>
        </is>
      </c>
      <c r="E52" s="4">
        <f>INDEX(칸!$I$2:$I$416,MATCH(A52,칸!$A$2:$A$416,1))</f>
        <v/>
      </c>
      <c r="F52" s="4" t="inlineStr">
        <is>
          <t>「내가 연인 장익덕이다!」 — 하후걸은 그 소리에 말에서 떨어졌다.</t>
        </is>
      </c>
      <c r="G52" s="4" t="inlineStr">
        <is>
          <t>장판교에 홀로 선 장비가 장팔사모를 비껴들고 「내가 연인 장익덕이다!」 외쳤다. 하후걸이 놀라 말에서 떨어지자 조조군은 다리 앞에서 물러났고, 장비는 다리를 끊고 돌아갔다.</t>
        </is>
      </c>
      <c r="H52" s="2">
        <f>COUNTIF(칸!$A$2:$A$416,A52)</f>
        <v/>
      </c>
      <c r="I52" s="2">
        <f>SUMIF(칸!$A$2:$A$416,A52,칸!$H$2:$H$416)</f>
        <v/>
      </c>
      <c r="J52" s="2">
        <f>INDEX(비용표!$A$13:$A$17,MATCH(I52,비용표!$B$13:$B$17,1))</f>
        <v/>
      </c>
      <c r="K52" s="2">
        <f>INDEX(비용표!$C$13:$C$17,MATCH(I52,비용표!$B$13:$B$17,1))</f>
        <v/>
      </c>
      <c r="L52" s="4" t="inlineStr">
        <is>
          <t>장비의 「장판하뢰」 SP 6 → 5</t>
        </is>
      </c>
      <c r="M52" s="2" t="inlineStr">
        <is>
          <t>고유기술SP</t>
        </is>
      </c>
      <c r="N52" s="2" t="inlineStr">
        <is>
          <t>장비</t>
        </is>
      </c>
      <c r="O52" s="2" t="n"/>
      <c r="P52" s="2" t="n">
        <v>-1</v>
      </c>
      <c r="Q52" s="4" t="n"/>
      <c r="R52" s="2" t="n"/>
      <c r="S52" s="2" t="n"/>
      <c r="T52" s="2" t="n"/>
    </row>
    <row r="53" ht="32" customHeight="1">
      <c r="A53" s="2" t="n">
        <v>52</v>
      </c>
      <c r="B53" s="2" t="inlineStr">
        <is>
          <t>④ 형주 · 적벽 (201~209)</t>
        </is>
      </c>
      <c r="C53" s="3" t="inlineStr">
        <is>
          <t>상옥추제</t>
        </is>
      </c>
      <c r="D53" s="2" t="inlineStr">
        <is>
          <t>上屋抽梯</t>
        </is>
      </c>
      <c r="E53" s="4">
        <f>INDEX(칸!$I$2:$I$416,MATCH(A53,칸!$A$2:$A$416,1))</f>
        <v/>
      </c>
      <c r="F53" s="4" t="inlineStr">
        <is>
          <t>누각에 오르자 사다리가 치워졌다. 유기는 그제야 살 길을 물었다.</t>
        </is>
      </c>
      <c r="G53" s="4" t="inlineStr">
        <is>
          <t>계모 채씨의 견제에 목숨이 위태롭던 유표의 장자 유기는 제갈량을 누각으로 이끌고 사다리를 치웠다. 그제야 제갈량은 「밖으로 나가 강하를 지키라」는 계책을 일러 주었다.</t>
        </is>
      </c>
      <c r="H53" s="2">
        <f>COUNTIF(칸!$A$2:$A$416,A53)</f>
        <v/>
      </c>
      <c r="I53" s="2">
        <f>SUMIF(칸!$A$2:$A$416,A53,칸!$H$2:$H$416)</f>
        <v/>
      </c>
      <c r="J53" s="2">
        <f>INDEX(비용표!$A$13:$A$17,MATCH(I53,비용표!$B$13:$B$17,1))</f>
        <v/>
      </c>
      <c r="K53" s="2">
        <f>INDEX(비용표!$C$13:$C$17,MATCH(I53,비용표!$B$13:$B$17,1))</f>
        <v/>
      </c>
      <c r="L53" s="4" t="inlineStr">
        <is>
          <t>유기 HP+1</t>
        </is>
      </c>
      <c r="M53" s="2" t="inlineStr">
        <is>
          <t>능력치</t>
        </is>
      </c>
      <c r="N53" s="2" t="inlineStr">
        <is>
          <t>유기</t>
        </is>
      </c>
      <c r="O53" s="2" t="inlineStr">
        <is>
          <t>HP</t>
        </is>
      </c>
      <c r="P53" s="2" t="n">
        <v>1</v>
      </c>
      <c r="Q53" s="4" t="n"/>
      <c r="R53" s="2" t="n"/>
      <c r="S53" s="2" t="n"/>
      <c r="T53" s="2" t="n"/>
    </row>
    <row r="54" ht="32" customHeight="1">
      <c r="A54" s="2" t="n">
        <v>53</v>
      </c>
      <c r="B54" s="2" t="inlineStr">
        <is>
          <t>④ 형주 · 적벽 (201~209)</t>
        </is>
      </c>
      <c r="C54" s="3" t="inlineStr">
        <is>
          <t>노숙의 합종</t>
        </is>
      </c>
      <c r="D54" s="2" t="inlineStr">
        <is>
          <t>魯肅聯劉</t>
        </is>
      </c>
      <c r="E54" s="4">
        <f>INDEX(칸!$I$2:$I$416,MATCH(A54,칸!$A$2:$A$416,1))</f>
        <v/>
      </c>
      <c r="F54" s="4" t="inlineStr">
        <is>
          <t>조문을 핑계로 형주에 온 노숙은 유비와 손을 잡자 했다.</t>
        </is>
      </c>
      <c r="G54" s="4" t="inlineStr">
        <is>
          <t>유표의 조문을 핑계로 형주에 온 노숙은 장판에서 쫓기던 유비를 만나 손권과 손을 잡자 했다. 그 길로 제갈량이 노숙을 따라 강동으로 건너가니, 적벽의 동맹이 여기서 시작되었다.</t>
        </is>
      </c>
      <c r="H54" s="2">
        <f>COUNTIF(칸!$A$2:$A$416,A54)</f>
        <v/>
      </c>
      <c r="I54" s="2">
        <f>SUMIF(칸!$A$2:$A$416,A54,칸!$H$2:$H$416)</f>
        <v/>
      </c>
      <c r="J54" s="2">
        <f>INDEX(비용표!$A$13:$A$17,MATCH(I54,비용표!$B$13:$B$17,1))</f>
        <v/>
      </c>
      <c r="K54" s="2">
        <f>INDEX(비용표!$C$13:$C$17,MATCH(I54,비용표!$B$13:$B$17,1))</f>
        <v/>
      </c>
      <c r="L54" s="4" t="inlineStr">
        <is>
          <t>노숙 지력+1</t>
        </is>
      </c>
      <c r="M54" s="2" t="inlineStr">
        <is>
          <t>능력치</t>
        </is>
      </c>
      <c r="N54" s="2" t="inlineStr">
        <is>
          <t>노숙</t>
        </is>
      </c>
      <c r="O54" s="2" t="inlineStr">
        <is>
          <t>지력</t>
        </is>
      </c>
      <c r="P54" s="2" t="n">
        <v>1</v>
      </c>
      <c r="Q54" s="4" t="n"/>
      <c r="R54" s="2" t="n"/>
      <c r="S54" s="2" t="n"/>
      <c r="T54" s="2" t="n"/>
    </row>
    <row r="55" ht="32" customHeight="1">
      <c r="A55" s="2" t="n">
        <v>54</v>
      </c>
      <c r="B55" s="2" t="inlineStr">
        <is>
          <t>④ 형주 · 적벽 (201~209)</t>
        </is>
      </c>
      <c r="C55" s="3" t="inlineStr">
        <is>
          <t>설전군유</t>
        </is>
      </c>
      <c r="D55" s="2" t="inlineStr">
        <is>
          <t>舌戰群儒</t>
        </is>
      </c>
      <c r="E55" s="4">
        <f>INDEX(칸!$I$2:$I$416,MATCH(A55,칸!$A$2:$A$416,1))</f>
        <v/>
      </c>
      <c r="F55" s="4" t="inlineStr">
        <is>
          <t>항복을 주장하는 강동의 선비들을 제갈량이 말로 꺾었다.</t>
        </is>
      </c>
      <c r="G55" s="4" t="inlineStr">
        <is>
          <t>항복을 주장하는 강동의 선비들이 시상에 온 제갈량을 둘러싸고 따져 물었다. 장소 · 우번 · 보즐 · 설종 · 육적 · 엄준이 차례로 나섰으나, 제갈량은 하나하나 말로 꺾었다.</t>
        </is>
      </c>
      <c r="H55" s="2">
        <f>COUNTIF(칸!$A$2:$A$416,A55)</f>
        <v/>
      </c>
      <c r="I55" s="2">
        <f>SUMIF(칸!$A$2:$A$416,A55,칸!$H$2:$H$416)</f>
        <v/>
      </c>
      <c r="J55" s="2">
        <f>INDEX(비용표!$A$13:$A$17,MATCH(I55,비용표!$B$13:$B$17,1))</f>
        <v/>
      </c>
      <c r="K55" s="2">
        <f>INDEX(비용표!$C$13:$C$17,MATCH(I55,비용표!$B$13:$B$17,1))</f>
        <v/>
      </c>
      <c r="L55" s="4" t="inlineStr">
        <is>
          <t>태학 연구 시간 −5%</t>
        </is>
      </c>
      <c r="M55" s="2" t="inlineStr">
        <is>
          <t>도시</t>
        </is>
      </c>
      <c r="N55" s="2" t="n"/>
      <c r="O55" s="2" t="n"/>
      <c r="P55" s="2" t="n">
        <v>5</v>
      </c>
      <c r="Q55" s="4" t="n"/>
      <c r="R55" s="2" t="n"/>
      <c r="S55" s="2" t="n"/>
      <c r="T55" s="2" t="inlineStr">
        <is>
          <t>research</t>
        </is>
      </c>
    </row>
    <row r="56" ht="32" customHeight="1">
      <c r="A56" s="2" t="n">
        <v>55</v>
      </c>
      <c r="B56" s="2" t="inlineStr">
        <is>
          <t>④ 형주 · 적벽 (201~209)</t>
        </is>
      </c>
      <c r="C56" s="3" t="inlineStr">
        <is>
          <t>책상을 베다</t>
        </is>
      </c>
      <c r="D56" s="2" t="inlineStr">
        <is>
          <t>斫案決戰</t>
        </is>
      </c>
      <c r="E56" s="4">
        <f>INDEX(칸!$I$2:$I$416,MATCH(A56,칸!$A$2:$A$416,1))</f>
        <v/>
      </c>
      <c r="F56" s="4" t="inlineStr">
        <is>
          <t>「다시 항복을 말하는 자는 이 책상과 같으리라.」</t>
        </is>
      </c>
      <c r="G56" s="4" t="inlineStr">
        <is>
          <t>조조의 대군 앞에서 조정이 항복론으로 기울자, 손권은 칼을 뽑아 책상 모서리를 베었다. 「다시 항복을 말하는 자는 이 책상과 같으리라」 — 강동은 싸우기로 했다.</t>
        </is>
      </c>
      <c r="H56" s="2">
        <f>COUNTIF(칸!$A$2:$A$416,A56)</f>
        <v/>
      </c>
      <c r="I56" s="2">
        <f>SUMIF(칸!$A$2:$A$416,A56,칸!$H$2:$H$416)</f>
        <v/>
      </c>
      <c r="J56" s="2">
        <f>INDEX(비용표!$A$13:$A$17,MATCH(I56,비용표!$B$13:$B$17,1))</f>
        <v/>
      </c>
      <c r="K56" s="2">
        <f>INDEX(비용표!$C$13:$C$17,MATCH(I56,비용표!$B$13:$B$17,1))</f>
        <v/>
      </c>
      <c r="L56" s="4" t="inlineStr">
        <is>
          <t>손권 지력+1</t>
        </is>
      </c>
      <c r="M56" s="2" t="inlineStr">
        <is>
          <t>능력치</t>
        </is>
      </c>
      <c r="N56" s="2" t="inlineStr">
        <is>
          <t>손권</t>
        </is>
      </c>
      <c r="O56" s="2" t="inlineStr">
        <is>
          <t>지력</t>
        </is>
      </c>
      <c r="P56" s="2" t="n">
        <v>1</v>
      </c>
      <c r="Q56" s="4" t="n"/>
      <c r="R56" s="2" t="n"/>
      <c r="S56" s="2" t="n"/>
      <c r="T56" s="2" t="n"/>
    </row>
    <row r="57" ht="32" customHeight="1">
      <c r="A57" s="2" t="n">
        <v>56</v>
      </c>
      <c r="B57" s="2" t="inlineStr">
        <is>
          <t>④ 형주 · 적벽 (201~209)</t>
        </is>
      </c>
      <c r="C57" s="3" t="inlineStr">
        <is>
          <t>군영회</t>
        </is>
      </c>
      <c r="D57" s="2" t="inlineStr">
        <is>
          <t>群英會</t>
        </is>
      </c>
      <c r="E57" s="4">
        <f>INDEX(칸!$I$2:$I$416,MATCH(A57,칸!$A$2:$A$416,1))</f>
        <v/>
      </c>
      <c r="F57" s="4" t="inlineStr">
        <is>
          <t>술 취한 척 흘린 가짜 편지 한 통에 수군 도독 둘이 목을 잃었다.</t>
        </is>
      </c>
      <c r="G57" s="4" t="inlineStr">
        <is>
          <t>조조의 사자로 온 옛 친구 장간을 주유는 반갑게 맞아 군영회를 열었다. 취한 척 잠든 주유 곁에서 장간은 채모 · 장윤의 가짜 내통 편지를 훔쳐 갔고, 조조는 수군 도독 둘을 베었다.</t>
        </is>
      </c>
      <c r="H57" s="2">
        <f>COUNTIF(칸!$A$2:$A$416,A57)</f>
        <v/>
      </c>
      <c r="I57" s="2">
        <f>SUMIF(칸!$A$2:$A$416,A57,칸!$H$2:$H$416)</f>
        <v/>
      </c>
      <c r="J57" s="2">
        <f>INDEX(비용표!$A$13:$A$17,MATCH(I57,비용표!$B$13:$B$17,1))</f>
        <v/>
      </c>
      <c r="K57" s="2">
        <f>INDEX(비용표!$C$13:$C$17,MATCH(I57,비용표!$B$13:$B$17,1))</f>
        <v/>
      </c>
      <c r="L57" s="4" t="inlineStr">
        <is>
          <t>주유 통솔+1</t>
        </is>
      </c>
      <c r="M57" s="2" t="inlineStr">
        <is>
          <t>능력치</t>
        </is>
      </c>
      <c r="N57" s="2" t="inlineStr">
        <is>
          <t>주유</t>
        </is>
      </c>
      <c r="O57" s="2" t="inlineStr">
        <is>
          <t>통솔</t>
        </is>
      </c>
      <c r="P57" s="2" t="n">
        <v>1</v>
      </c>
      <c r="Q57" s="4" t="n"/>
      <c r="R57" s="2" t="n"/>
      <c r="S57" s="2" t="n"/>
      <c r="T57" s="2" t="n"/>
    </row>
    <row r="58" ht="32" customHeight="1">
      <c r="A58" s="2" t="n">
        <v>57</v>
      </c>
      <c r="B58" s="2" t="inlineStr">
        <is>
          <t>④ 형주 · 적벽 (201~209)</t>
        </is>
      </c>
      <c r="C58" s="3" t="inlineStr">
        <is>
          <t>초선차전</t>
        </is>
      </c>
      <c r="D58" s="2" t="inlineStr">
        <is>
          <t>草船借箭</t>
        </is>
      </c>
      <c r="E58" s="4">
        <f>INDEX(칸!$I$2:$I$416,MATCH(A58,칸!$A$2:$A$416,1))</f>
        <v/>
      </c>
      <c r="F58" s="4" t="inlineStr">
        <is>
          <t>안개 낀 강에 풀배를 띄워 사흘 만에 화살 십만 개를 얻었다.</t>
        </is>
      </c>
      <c r="G58" s="4" t="inlineStr">
        <is>
          <t>주유가 열흘 안에 화살 십만 개를 만들라 하자 제갈량은 사흘이면 된다고 했다. 안개 낀 밤 짚단을 세운 배 스무 척으로 조조의 수채에 다가가 북을 울리니, 화살이 배마다 가득 꽂혔다.</t>
        </is>
      </c>
      <c r="H58" s="2">
        <f>COUNTIF(칸!$A$2:$A$416,A58)</f>
        <v/>
      </c>
      <c r="I58" s="2">
        <f>SUMIF(칸!$A$2:$A$416,A58,칸!$H$2:$H$416)</f>
        <v/>
      </c>
      <c r="J58" s="2">
        <f>INDEX(비용표!$A$13:$A$17,MATCH(I58,비용표!$B$13:$B$17,1))</f>
        <v/>
      </c>
      <c r="K58" s="2">
        <f>INDEX(비용표!$C$13:$C$17,MATCH(I58,비용표!$B$13:$B$17,1))</f>
        <v/>
      </c>
      <c r="L58" s="4" t="inlineStr">
        <is>
          <t>대장간 제조 시간 −10%</t>
        </is>
      </c>
      <c r="M58" s="2" t="inlineStr">
        <is>
          <t>도시</t>
        </is>
      </c>
      <c r="N58" s="2" t="n"/>
      <c r="O58" s="2" t="n"/>
      <c r="P58" s="2" t="n">
        <v>10</v>
      </c>
      <c r="Q58" s="4" t="n"/>
      <c r="R58" s="2" t="n"/>
      <c r="S58" s="2" t="n"/>
      <c r="T58" s="2" t="inlineStr">
        <is>
          <t>forge</t>
        </is>
      </c>
    </row>
    <row r="59" ht="32" customHeight="1">
      <c r="A59" s="2" t="n">
        <v>58</v>
      </c>
      <c r="B59" s="2" t="inlineStr">
        <is>
          <t>④ 형주 · 적벽 (201~209)</t>
        </is>
      </c>
      <c r="C59" s="3" t="inlineStr">
        <is>
          <t>고육지책</t>
        </is>
      </c>
      <c r="D59" s="2" t="inlineStr">
        <is>
          <t>苦肉計</t>
        </is>
      </c>
      <c r="E59" s="4">
        <f>INDEX(칸!$I$2:$I$416,MATCH(A59,칸!$A$2:$A$416,1))</f>
        <v/>
      </c>
      <c r="F59" s="4" t="inlineStr">
        <is>
          <t>때리는 자와 맞는 자가 짜고 친 계책. 감택이 항서를 날랐다.</t>
        </is>
      </c>
      <c r="G59" s="4" t="inlineStr">
        <is>
          <t>조조를 속이려고 주유와 황개가 짜고 군령을 어긴 황개를 곤장으로 쳤다. 살이 터진 황개의 항서를 감택이 들고 가 조조를 믿게 했다 — 제 몸을 해쳐 적을 속인 계책이다.</t>
        </is>
      </c>
      <c r="H59" s="2">
        <f>COUNTIF(칸!$A$2:$A$416,A59)</f>
        <v/>
      </c>
      <c r="I59" s="2">
        <f>SUMIF(칸!$A$2:$A$416,A59,칸!$H$2:$H$416)</f>
        <v/>
      </c>
      <c r="J59" s="2">
        <f>INDEX(비용표!$A$13:$A$17,MATCH(I59,비용표!$B$13:$B$17,1))</f>
        <v/>
      </c>
      <c r="K59" s="2">
        <f>INDEX(비용표!$C$13:$C$17,MATCH(I59,비용표!$B$13:$B$17,1))</f>
        <v/>
      </c>
      <c r="L59" s="4" t="inlineStr">
        <is>
          <t>주유 함께 참전 시 황개 HP+2</t>
        </is>
      </c>
      <c r="M59" s="2" t="inlineStr">
        <is>
          <t>능력치</t>
        </is>
      </c>
      <c r="N59" s="2" t="inlineStr">
        <is>
          <t>황개</t>
        </is>
      </c>
      <c r="O59" s="2" t="inlineStr">
        <is>
          <t>HP</t>
        </is>
      </c>
      <c r="P59" s="2" t="n">
        <v>2</v>
      </c>
      <c r="Q59" s="4" t="inlineStr">
        <is>
          <t>주유</t>
        </is>
      </c>
      <c r="R59" s="2" t="n"/>
      <c r="S59" s="2" t="n"/>
      <c r="T59" s="2" t="n"/>
    </row>
    <row r="60" ht="32" customHeight="1">
      <c r="A60" s="2" t="n">
        <v>59</v>
      </c>
      <c r="B60" s="2" t="inlineStr">
        <is>
          <t>④ 형주 · 적벽 (201~209)</t>
        </is>
      </c>
      <c r="C60" s="3" t="inlineStr">
        <is>
          <t>방통의 연환계</t>
        </is>
      </c>
      <c r="D60" s="2" t="inlineStr">
        <is>
          <t>連環計</t>
        </is>
      </c>
      <c r="E60" s="4">
        <f>INDEX(칸!$I$2:$I$416,MATCH(A60,칸!$A$2:$A$416,1))</f>
        <v/>
      </c>
      <c r="F60" s="4" t="inlineStr">
        <is>
          <t>배를 쇠사슬로 묶으면 뱃멀미가 없다 — 그리고 불도 피할 수 없다.</t>
        </is>
      </c>
      <c r="G60" s="4" t="inlineStr">
        <is>
          <t>배멀미로 고생하는 조조에게 방통이 찾아와 배를 쇠사슬로 묶으라 권했다. 배는 땅처럼 단단해졌으나 불이 붙으면 피할 길이 없었다 — 적벽의 불은 여기서 이미 준비되었다.</t>
        </is>
      </c>
      <c r="H60" s="2">
        <f>COUNTIF(칸!$A$2:$A$416,A60)</f>
        <v/>
      </c>
      <c r="I60" s="2">
        <f>SUMIF(칸!$A$2:$A$416,A60,칸!$H$2:$H$416)</f>
        <v/>
      </c>
      <c r="J60" s="2">
        <f>INDEX(비용표!$A$13:$A$17,MATCH(I60,비용표!$B$13:$B$17,1))</f>
        <v/>
      </c>
      <c r="K60" s="2">
        <f>INDEX(비용표!$C$13:$C$17,MATCH(I60,비용표!$B$13:$B$17,1))</f>
        <v/>
      </c>
      <c r="L60" s="4" t="inlineStr">
        <is>
          <t>방통 MP+1</t>
        </is>
      </c>
      <c r="M60" s="2" t="inlineStr">
        <is>
          <t>능력치</t>
        </is>
      </c>
      <c r="N60" s="2" t="inlineStr">
        <is>
          <t>방통</t>
        </is>
      </c>
      <c r="O60" s="2" t="inlineStr">
        <is>
          <t>MP</t>
        </is>
      </c>
      <c r="P60" s="2" t="n">
        <v>1</v>
      </c>
      <c r="Q60" s="4" t="n"/>
      <c r="R60" s="2" t="n"/>
      <c r="S60" s="2" t="n"/>
      <c r="T60" s="2" t="n"/>
    </row>
    <row r="61" ht="32" customHeight="1">
      <c r="A61" s="2" t="n">
        <v>60</v>
      </c>
      <c r="B61" s="2" t="inlineStr">
        <is>
          <t>④ 형주 · 적벽 (201~209)</t>
        </is>
      </c>
      <c r="C61" s="3" t="inlineStr">
        <is>
          <t>칠성단의 동남풍</t>
        </is>
      </c>
      <c r="D61" s="2" t="inlineStr">
        <is>
          <t>七星壇祭風</t>
        </is>
      </c>
      <c r="E61" s="4">
        <f>INDEX(칸!$I$2:$I$416,MATCH(A61,칸!$A$2:$A$416,1))</f>
        <v/>
      </c>
      <c r="F61" s="4" t="inlineStr">
        <is>
          <t>깃털 부채를 든 제갈량이 칠성단에서 동남풍을 빌렸다. 바람이 일자 주유는 정봉과 서성을 보내 그를 쫓았다.</t>
        </is>
      </c>
      <c r="G61" s="4" t="inlineStr">
        <is>
          <t>화공을 쓰려면 동남풍이 필요했다. 제갈량은 칠성단을 쌓고 바람을 빌었고, 겨울 강에 바람이 돌자 주유는 그를 두려워해 정봉 · 서성을 보냈으나 제갈량은 이미 배를 타고 떠난 뒤였다.</t>
        </is>
      </c>
      <c r="H61" s="2">
        <f>COUNTIF(칸!$A$2:$A$416,A61)</f>
        <v/>
      </c>
      <c r="I61" s="2">
        <f>SUMIF(칸!$A$2:$A$416,A61,칸!$H$2:$H$416)</f>
        <v/>
      </c>
      <c r="J61" s="2">
        <f>INDEX(비용표!$A$13:$A$17,MATCH(I61,비용표!$B$13:$B$17,1))</f>
        <v/>
      </c>
      <c r="K61" s="2">
        <f>INDEX(비용표!$C$13:$C$17,MATCH(I61,비용표!$B$13:$B$17,1))</f>
        <v/>
      </c>
      <c r="L61" s="4" t="inlineStr">
        <is>
          <t>제갈량의 「차동풍」 SP 6 → 5</t>
        </is>
      </c>
      <c r="M61" s="2" t="inlineStr">
        <is>
          <t>고유기술SP</t>
        </is>
      </c>
      <c r="N61" s="2" t="inlineStr">
        <is>
          <t>제갈량</t>
        </is>
      </c>
      <c r="O61" s="2" t="n"/>
      <c r="P61" s="2" t="n">
        <v>-1</v>
      </c>
      <c r="Q61" s="4" t="n"/>
      <c r="R61" s="2" t="n"/>
      <c r="S61" s="2" t="n"/>
      <c r="T61" s="2" t="n"/>
    </row>
    <row r="62" ht="32" customHeight="1">
      <c r="A62" s="2" t="n">
        <v>61</v>
      </c>
      <c r="B62" s="2" t="inlineStr">
        <is>
          <t>④ 형주 · 적벽 (201~209)</t>
        </is>
      </c>
      <c r="C62" s="3" t="inlineStr">
        <is>
          <t>적벽대전</t>
        </is>
      </c>
      <c r="D62" s="2" t="inlineStr">
        <is>
          <t>赤壁大戰</t>
        </is>
      </c>
      <c r="E62" s="4">
        <f>INDEX(칸!$I$2:$I$416,MATCH(A62,칸!$A$2:$A$416,1))</f>
        <v/>
      </c>
      <c r="F62" s="4" t="inlineStr">
        <is>
          <t>동남풍을 탄 불배가 조조의 대함대를 삼켰다.</t>
        </is>
      </c>
      <c r="G62" s="4" t="inlineStr">
        <is>
          <t>서기 208년, 동남풍을 탄 황개의 불배가 쇠사슬에 묶인 조조의 함대를 들이받았다. 불길은 강북의 진영까지 번졌고, 백만을 일컫던 조조군은 화용도로 달아났다.</t>
        </is>
      </c>
      <c r="H62" s="2">
        <f>COUNTIF(칸!$A$2:$A$416,A62)</f>
        <v/>
      </c>
      <c r="I62" s="2">
        <f>SUMIF(칸!$A$2:$A$416,A62,칸!$H$2:$H$416)</f>
        <v/>
      </c>
      <c r="J62" s="2">
        <f>INDEX(비용표!$A$13:$A$17,MATCH(I62,비용표!$B$13:$B$17,1))</f>
        <v/>
      </c>
      <c r="K62" s="2">
        <f>INDEX(비용표!$C$13:$C$17,MATCH(I62,비용표!$B$13:$B$17,1))</f>
        <v/>
      </c>
      <c r="L62" s="4" t="inlineStr">
        <is>
          <t>주유·제갈량 함께 참전 시 진영 SP +1로 시작</t>
        </is>
      </c>
      <c r="M62" s="2" t="inlineStr">
        <is>
          <t>진영SP</t>
        </is>
      </c>
      <c r="N62" s="2" t="n"/>
      <c r="O62" s="2" t="n"/>
      <c r="P62" s="2" t="n">
        <v>1</v>
      </c>
      <c r="Q62" s="4" t="inlineStr">
        <is>
          <t>주유·제갈량</t>
        </is>
      </c>
      <c r="R62" s="2" t="n"/>
      <c r="S62" s="2" t="n"/>
      <c r="T62" s="2" t="n"/>
    </row>
    <row r="63" ht="32" customHeight="1">
      <c r="A63" s="2" t="n">
        <v>62</v>
      </c>
      <c r="B63" s="2" t="inlineStr">
        <is>
          <t>④ 형주 · 적벽 (201~209)</t>
        </is>
      </c>
      <c r="C63" s="3" t="inlineStr">
        <is>
          <t>화용도</t>
        </is>
      </c>
      <c r="D63" s="2" t="inlineStr">
        <is>
          <t>華容道</t>
        </is>
      </c>
      <c r="E63" s="4">
        <f>INDEX(칸!$I$2:$I$416,MATCH(A63,칸!$A$2:$A$416,1))</f>
        <v/>
      </c>
      <c r="F63" s="4" t="inlineStr">
        <is>
          <t>옛 은혜를 잊지 못한 관우는 화용도에서 길을 열었다.</t>
        </is>
      </c>
      <c r="G63" s="4" t="inlineStr">
        <is>
          <t>적벽에서 진 조조가 화용도의 진흙길로 달아나자 관우가 길을 막았다. 옛 은혜를 말하는 조조 앞에서 관우는 차마 칼을 들지 못하고 말머리를 돌렸다고 연의는 전한다.</t>
        </is>
      </c>
      <c r="H63" s="2">
        <f>COUNTIF(칸!$A$2:$A$416,A63)</f>
        <v/>
      </c>
      <c r="I63" s="2">
        <f>SUMIF(칸!$A$2:$A$416,A63,칸!$H$2:$H$416)</f>
        <v/>
      </c>
      <c r="J63" s="2">
        <f>INDEX(비용표!$A$13:$A$17,MATCH(I63,비용표!$B$13:$B$17,1))</f>
        <v/>
      </c>
      <c r="K63" s="2">
        <f>INDEX(비용표!$C$13:$C$17,MATCH(I63,비용표!$B$13:$B$17,1))</f>
        <v/>
      </c>
      <c r="L63" s="4" t="inlineStr">
        <is>
          <t>적진에 관우 시 조조 HP+1</t>
        </is>
      </c>
      <c r="M63" s="2" t="inlineStr">
        <is>
          <t>능력치</t>
        </is>
      </c>
      <c r="N63" s="2" t="inlineStr">
        <is>
          <t>조조</t>
        </is>
      </c>
      <c r="O63" s="2" t="inlineStr">
        <is>
          <t>HP</t>
        </is>
      </c>
      <c r="P63" s="2" t="n">
        <v>1</v>
      </c>
      <c r="Q63" s="4" t="n"/>
      <c r="R63" s="2" t="n"/>
      <c r="S63" s="2" t="inlineStr">
        <is>
          <t>관우</t>
        </is>
      </c>
      <c r="T63" s="2" t="n"/>
    </row>
    <row r="64" ht="32" customHeight="1">
      <c r="A64" s="2" t="n">
        <v>63</v>
      </c>
      <c r="B64" s="2" t="inlineStr">
        <is>
          <t>④ 형주 · 적벽 (201~209)</t>
        </is>
      </c>
      <c r="C64" s="3" t="inlineStr">
        <is>
          <t>남군 공방</t>
        </is>
      </c>
      <c r="D64" s="2" t="inlineStr">
        <is>
          <t>南郡攻防</t>
        </is>
      </c>
      <c r="E64" s="4">
        <f>INDEX(칸!$I$2:$I$416,MATCH(A64,칸!$A$2:$A$416,1))</f>
        <v/>
      </c>
      <c r="F64" s="4" t="inlineStr">
        <is>
          <t>조인은 주유의 공세를 버텼고, 주유는 이 싸움에서 화살을 맞았다.</t>
        </is>
      </c>
      <c r="G64" s="4" t="inlineStr">
        <is>
          <t>적벽 뒤 주유는 조인이 지키는 남군을 일 년 넘게 공격했다. 조인은 끝까지 버티다 물러났고, 주유는 이 싸움에서 맞은 화살의 상처를 끝내 낫지 못했다.</t>
        </is>
      </c>
      <c r="H64" s="2">
        <f>COUNTIF(칸!$A$2:$A$416,A64)</f>
        <v/>
      </c>
      <c r="I64" s="2">
        <f>SUMIF(칸!$A$2:$A$416,A64,칸!$H$2:$H$416)</f>
        <v/>
      </c>
      <c r="J64" s="2">
        <f>INDEX(비용표!$A$13:$A$17,MATCH(I64,비용표!$B$13:$B$17,1))</f>
        <v/>
      </c>
      <c r="K64" s="2">
        <f>INDEX(비용표!$C$13:$C$17,MATCH(I64,비용표!$B$13:$B$17,1))</f>
        <v/>
      </c>
      <c r="L64" s="4" t="inlineStr">
        <is>
          <t>조인 통솔+2</t>
        </is>
      </c>
      <c r="M64" s="2" t="inlineStr">
        <is>
          <t>능력치</t>
        </is>
      </c>
      <c r="N64" s="2" t="inlineStr">
        <is>
          <t>조인</t>
        </is>
      </c>
      <c r="O64" s="2" t="inlineStr">
        <is>
          <t>통솔</t>
        </is>
      </c>
      <c r="P64" s="2" t="n">
        <v>2</v>
      </c>
      <c r="Q64" s="4" t="n"/>
      <c r="R64" s="2" t="n"/>
      <c r="S64" s="2" t="n"/>
      <c r="T64" s="2" t="n"/>
    </row>
    <row r="65" ht="48" customHeight="1">
      <c r="A65" s="2" t="n">
        <v>64</v>
      </c>
      <c r="B65" s="2" t="inlineStr">
        <is>
          <t>④ 형주 · 적벽 (201~209)</t>
        </is>
      </c>
      <c r="C65" s="3" t="inlineStr">
        <is>
          <t>삼기주유</t>
        </is>
      </c>
      <c r="D65" s="2" t="inlineStr">
        <is>
          <t>三氣周瑜</t>
        </is>
      </c>
      <c r="E65" s="4">
        <f>INDEX(칸!$I$2:$I$416,MATCH(A65,칸!$A$2:$A$416,1))</f>
        <v/>
      </c>
      <c r="F65" s="4" t="inlineStr">
        <is>
          <t>「既生瑜 何生亮」 — 하늘은 주유를 낳고 어찌 제갈량을 또 낳았는가. 세 번 꾀에 넘어간 주유가 숨을 거두며 남긴 말.</t>
        </is>
      </c>
      <c r="G65" s="4" t="inlineStr">
        <is>
          <t>연의에서 주유는 제갈량의 꾀에 세 번 넘어가 분을 이기지 못했다. 마지막 화살 상처가 터진 주유는 「既生瑜 何生亮」 — 하늘은 주유를 낳고 어찌 제갈량을 또 낳았는가 — 탄식하며 숨을 거두었다.</t>
        </is>
      </c>
      <c r="H65" s="2">
        <f>COUNTIF(칸!$A$2:$A$416,A65)</f>
        <v/>
      </c>
      <c r="I65" s="2">
        <f>SUMIF(칸!$A$2:$A$416,A65,칸!$H$2:$H$416)</f>
        <v/>
      </c>
      <c r="J65" s="2">
        <f>INDEX(비용표!$A$13:$A$17,MATCH(I65,비용표!$B$13:$B$17,1))</f>
        <v/>
      </c>
      <c r="K65" s="2">
        <f>INDEX(비용표!$C$13:$C$17,MATCH(I65,비용표!$B$13:$B$17,1))</f>
        <v/>
      </c>
      <c r="L65" s="4" t="inlineStr">
        <is>
          <t>적진에 제갈량 시 주유 HP+1</t>
        </is>
      </c>
      <c r="M65" s="2" t="inlineStr">
        <is>
          <t>능력치</t>
        </is>
      </c>
      <c r="N65" s="2" t="inlineStr">
        <is>
          <t>주유</t>
        </is>
      </c>
      <c r="O65" s="2" t="inlineStr">
        <is>
          <t>HP</t>
        </is>
      </c>
      <c r="P65" s="2" t="n">
        <v>1</v>
      </c>
      <c r="Q65" s="4" t="n"/>
      <c r="R65" s="2" t="n"/>
      <c r="S65" s="2" t="inlineStr">
        <is>
          <t>제갈량</t>
        </is>
      </c>
      <c r="T65" s="2" t="n"/>
    </row>
    <row r="66" ht="48" customHeight="1">
      <c r="A66" s="2" t="n">
        <v>65</v>
      </c>
      <c r="B66" s="2" t="inlineStr">
        <is>
          <t>⑤ 삼국 정립 (209~219)</t>
        </is>
      </c>
      <c r="C66" s="3" t="inlineStr">
        <is>
          <t>장사의 노장</t>
        </is>
      </c>
      <c r="D66" s="2" t="inlineStr">
        <is>
          <t>長沙老將</t>
        </is>
      </c>
      <c r="E66" s="4">
        <f>INDEX(칸!$I$2:$I$416,MATCH(A66,칸!$A$2:$A$416,1))</f>
        <v/>
      </c>
      <c r="F66" s="4" t="inlineStr">
        <is>
          <t>예순의 황충은 관우와 겨뤄 우열을 가리지 못했다.</t>
        </is>
      </c>
      <c r="G66" s="4" t="inlineStr">
        <is>
          <t>장사를 치러 온 관우 앞에 예순의 노장 황충이 나섰다. 백 합을 겨뤄도 승부가 나지 않았다. 말이 넘어진 황충을 관우가 베지 않자, 이튿날 황충은 화살로 관우의 투구 끈만 맞혀 은혜를 갚았다.</t>
        </is>
      </c>
      <c r="H66" s="2">
        <f>COUNTIF(칸!$A$2:$A$416,A66)</f>
        <v/>
      </c>
      <c r="I66" s="2">
        <f>SUMIF(칸!$A$2:$A$416,A66,칸!$H$2:$H$416)</f>
        <v/>
      </c>
      <c r="J66" s="2">
        <f>INDEX(비용표!$A$13:$A$17,MATCH(I66,비용표!$B$13:$B$17,1))</f>
        <v/>
      </c>
      <c r="K66" s="2">
        <f>INDEX(비용표!$C$13:$C$17,MATCH(I66,비용표!$B$13:$B$17,1))</f>
        <v/>
      </c>
      <c r="L66" s="4" t="inlineStr">
        <is>
          <t>적진에 관우 시 황충 무력+2</t>
        </is>
      </c>
      <c r="M66" s="2" t="inlineStr">
        <is>
          <t>능력치</t>
        </is>
      </c>
      <c r="N66" s="2" t="inlineStr">
        <is>
          <t>황충</t>
        </is>
      </c>
      <c r="O66" s="2" t="inlineStr">
        <is>
          <t>무력</t>
        </is>
      </c>
      <c r="P66" s="2" t="n">
        <v>2</v>
      </c>
      <c r="Q66" s="4" t="n"/>
      <c r="R66" s="2" t="n"/>
      <c r="S66" s="2" t="inlineStr">
        <is>
          <t>관우</t>
        </is>
      </c>
      <c r="T66" s="2" t="n"/>
    </row>
    <row r="67" ht="32" customHeight="1">
      <c r="A67" s="2" t="n">
        <v>66</v>
      </c>
      <c r="B67" s="2" t="inlineStr">
        <is>
          <t>⑤ 삼국 정립 (209~219)</t>
        </is>
      </c>
      <c r="C67" s="3" t="inlineStr">
        <is>
          <t>감로사</t>
        </is>
      </c>
      <c r="D67" s="2" t="inlineStr">
        <is>
          <t>甘露寺</t>
        </is>
      </c>
      <c r="E67" s="4">
        <f>INDEX(칸!$I$2:$I$416,MATCH(A67,칸!$A$2:$A$416,1))</f>
        <v/>
      </c>
      <c r="F67" s="4" t="inlineStr">
        <is>
          <t>미인계로 붙잡으려던 혼인이 진짜 혼인이 되었다.</t>
        </is>
      </c>
      <c r="G67" s="4" t="inlineStr">
        <is>
          <t>주유는 손권의 누이와의 혼인을 미끼로 유비를 오에 붙잡아 두려 했다. 그러나 감로사에서 유비를 본 손권의 모친 오국태가 마음에 들어 해, 거짓 혼인은 진짜 혼인이 되었다.</t>
        </is>
      </c>
      <c r="H67" s="2">
        <f>COUNTIF(칸!$A$2:$A$416,A67)</f>
        <v/>
      </c>
      <c r="I67" s="2">
        <f>SUMIF(칸!$A$2:$A$416,A67,칸!$H$2:$H$416)</f>
        <v/>
      </c>
      <c r="J67" s="2">
        <f>INDEX(비용표!$A$13:$A$17,MATCH(I67,비용표!$B$13:$B$17,1))</f>
        <v/>
      </c>
      <c r="K67" s="2">
        <f>INDEX(비용표!$C$13:$C$17,MATCH(I67,비용표!$B$13:$B$17,1))</f>
        <v/>
      </c>
      <c r="L67" s="4" t="inlineStr">
        <is>
          <t>유비 함께 참전 시 손권 HP+1</t>
        </is>
      </c>
      <c r="M67" s="2" t="inlineStr">
        <is>
          <t>능력치</t>
        </is>
      </c>
      <c r="N67" s="2" t="inlineStr">
        <is>
          <t>손권</t>
        </is>
      </c>
      <c r="O67" s="2" t="inlineStr">
        <is>
          <t>HP</t>
        </is>
      </c>
      <c r="P67" s="2" t="n">
        <v>1</v>
      </c>
      <c r="Q67" s="4" t="inlineStr">
        <is>
          <t>유비</t>
        </is>
      </c>
      <c r="R67" s="2" t="n"/>
      <c r="S67" s="2" t="n"/>
      <c r="T67" s="2" t="n"/>
    </row>
    <row r="68" ht="32" customHeight="1">
      <c r="A68" s="2" t="n">
        <v>67</v>
      </c>
      <c r="B68" s="2" t="inlineStr">
        <is>
          <t>⑤ 삼국 정립 (209~219)</t>
        </is>
      </c>
      <c r="C68" s="3" t="inlineStr">
        <is>
          <t>동작대부</t>
        </is>
      </c>
      <c r="D68" s="2" t="inlineStr">
        <is>
          <t>銅雀臺賦</t>
        </is>
      </c>
      <c r="E68" s="4">
        <f>INDEX(칸!$I$2:$I$416,MATCH(A68,칸!$A$2:$A$416,1))</f>
        <v/>
      </c>
      <c r="F68" s="4" t="inlineStr">
        <is>
          <t>붓을 들면 그대로 문장이 되었다는 조식의 노래.</t>
        </is>
      </c>
      <c r="G68" s="4" t="inlineStr">
        <is>
          <t>조조가 업에 동작대를 세우고 아들들에게 부를 짓게 하자 조식이 붓을 들어 단숨에 써 내려갔다. 그 재주에 조조는 조식을 후계자로 생각할 만큼 아꼈다.</t>
        </is>
      </c>
      <c r="H68" s="2">
        <f>COUNTIF(칸!$A$2:$A$416,A68)</f>
        <v/>
      </c>
      <c r="I68" s="2">
        <f>SUMIF(칸!$A$2:$A$416,A68,칸!$H$2:$H$416)</f>
        <v/>
      </c>
      <c r="J68" s="2">
        <f>INDEX(비용표!$A$13:$A$17,MATCH(I68,비용표!$B$13:$B$17,1))</f>
        <v/>
      </c>
      <c r="K68" s="2">
        <f>INDEX(비용표!$C$13:$C$17,MATCH(I68,비용표!$B$13:$B$17,1))</f>
        <v/>
      </c>
      <c r="L68" s="4" t="inlineStr">
        <is>
          <t>조식 지력+2</t>
        </is>
      </c>
      <c r="M68" s="2" t="inlineStr">
        <is>
          <t>능력치</t>
        </is>
      </c>
      <c r="N68" s="2" t="inlineStr">
        <is>
          <t>조식</t>
        </is>
      </c>
      <c r="O68" s="2" t="inlineStr">
        <is>
          <t>지력</t>
        </is>
      </c>
      <c r="P68" s="2" t="n">
        <v>2</v>
      </c>
      <c r="Q68" s="4" t="n"/>
      <c r="R68" s="2" t="n"/>
      <c r="S68" s="2" t="n"/>
      <c r="T68" s="2" t="n"/>
    </row>
    <row r="69" ht="32" customHeight="1">
      <c r="A69" s="2" t="n">
        <v>68</v>
      </c>
      <c r="B69" s="2" t="inlineStr">
        <is>
          <t>⑤ 삼국 정립 (209~219)</t>
        </is>
      </c>
      <c r="C69" s="3" t="inlineStr">
        <is>
          <t>동관의 마초</t>
        </is>
      </c>
      <c r="D69" s="2" t="inlineStr">
        <is>
          <t>潼關馬超</t>
        </is>
      </c>
      <c r="E69" s="4">
        <f>INDEX(칸!$I$2:$I$416,MATCH(A69,칸!$A$2:$A$416,1))</f>
        <v/>
      </c>
      <c r="F69" s="4" t="inlineStr">
        <is>
          <t>아비의 원수를 갚으러 온 마초 앞에서 조조는 수염을 잘라 도망쳤다.</t>
        </is>
      </c>
      <c r="G69" s="4" t="inlineStr">
        <is>
          <t>아버지 마등을 죽인 조조에게 복수하러 마초가 동관을 쳤다. 마초에게 쫓긴 조조는 붉은 전포를 벗고 수염까지 잘라 도망쳤고, 허저가 배를 저어 겨우 강을 건넜다.</t>
        </is>
      </c>
      <c r="H69" s="2">
        <f>COUNTIF(칸!$A$2:$A$416,A69)</f>
        <v/>
      </c>
      <c r="I69" s="2">
        <f>SUMIF(칸!$A$2:$A$416,A69,칸!$H$2:$H$416)</f>
        <v/>
      </c>
      <c r="J69" s="2">
        <f>INDEX(비용표!$A$13:$A$17,MATCH(I69,비용표!$B$13:$B$17,1))</f>
        <v/>
      </c>
      <c r="K69" s="2">
        <f>INDEX(비용표!$C$13:$C$17,MATCH(I69,비용표!$B$13:$B$17,1))</f>
        <v/>
      </c>
      <c r="L69" s="4" t="inlineStr">
        <is>
          <t>마대 함께 참전 시 마초 HP+2</t>
        </is>
      </c>
      <c r="M69" s="2" t="inlineStr">
        <is>
          <t>능력치</t>
        </is>
      </c>
      <c r="N69" s="2" t="inlineStr">
        <is>
          <t>마초</t>
        </is>
      </c>
      <c r="O69" s="2" t="inlineStr">
        <is>
          <t>HP</t>
        </is>
      </c>
      <c r="P69" s="2" t="n">
        <v>2</v>
      </c>
      <c r="Q69" s="4" t="inlineStr">
        <is>
          <t>마대</t>
        </is>
      </c>
      <c r="R69" s="2" t="n"/>
      <c r="S69" s="2" t="n"/>
      <c r="T69" s="2" t="n"/>
    </row>
    <row r="70" ht="32" customHeight="1">
      <c r="A70" s="2" t="n">
        <v>69</v>
      </c>
      <c r="B70" s="2" t="inlineStr">
        <is>
          <t>⑤ 삼국 정립 (209~219)</t>
        </is>
      </c>
      <c r="C70" s="3" t="inlineStr">
        <is>
          <t>서천 지도</t>
        </is>
      </c>
      <c r="D70" s="2" t="inlineStr">
        <is>
          <t>西川地圖</t>
        </is>
      </c>
      <c r="E70" s="4">
        <f>INDEX(칸!$I$2:$I$416,MATCH(A70,칸!$A$2:$A$416,1))</f>
        <v/>
      </c>
      <c r="F70" s="4" t="inlineStr">
        <is>
          <t>장송이 바친 지도 한 장에 익주의 길이 모두 그려져 있었다.</t>
        </is>
      </c>
      <c r="G70" s="4" t="inlineStr">
        <is>
          <t>익주의 별가 장송은 조조에게 홀대받고 돌아오는 길에 유비를 만났다. 그는 익주의 산천과 관문을 그린 지도를 바치며 법정 · 맹달과 함께 유비를 익주로 맞으려 했다.</t>
        </is>
      </c>
      <c r="H70" s="2">
        <f>COUNTIF(칸!$A$2:$A$416,A70)</f>
        <v/>
      </c>
      <c r="I70" s="2">
        <f>SUMIF(칸!$A$2:$A$416,A70,칸!$H$2:$H$416)</f>
        <v/>
      </c>
      <c r="J70" s="2">
        <f>INDEX(비용표!$A$13:$A$17,MATCH(I70,비용표!$B$13:$B$17,1))</f>
        <v/>
      </c>
      <c r="K70" s="2">
        <f>INDEX(비용표!$C$13:$C$17,MATCH(I70,비용표!$B$13:$B$17,1))</f>
        <v/>
      </c>
      <c r="L70" s="4" t="inlineStr">
        <is>
          <t>도적떼 응전 시간 +1분</t>
        </is>
      </c>
      <c r="M70" s="2" t="inlineStr">
        <is>
          <t>도시</t>
        </is>
      </c>
      <c r="N70" s="2" t="n"/>
      <c r="O70" s="2" t="n"/>
      <c r="P70" s="2" t="n">
        <v>1</v>
      </c>
      <c r="Q70" s="4" t="n"/>
      <c r="R70" s="2" t="n"/>
      <c r="S70" s="2" t="n"/>
      <c r="T70" s="2" t="inlineStr">
        <is>
          <t>raidResp</t>
        </is>
      </c>
    </row>
    <row r="71" ht="32" customHeight="1">
      <c r="A71" s="2" t="n">
        <v>70</v>
      </c>
      <c r="B71" s="2" t="inlineStr">
        <is>
          <t>⑤ 삼국 정립 (209~219)</t>
        </is>
      </c>
      <c r="C71" s="3" t="inlineStr">
        <is>
          <t>낙봉파</t>
        </is>
      </c>
      <c r="D71" s="2" t="inlineStr">
        <is>
          <t>落鳳坡</t>
        </is>
      </c>
      <c r="E71" s="4">
        <f>INDEX(칸!$I$2:$I$416,MATCH(A71,칸!$A$2:$A$416,1))</f>
        <v/>
      </c>
      <c r="F71" s="4" t="inlineStr">
        <is>
          <t>유비의 흰 말을 빌려 탄 봉추는 장임의 화살에 쓰러졌다.</t>
        </is>
      </c>
      <c r="G71" s="4" t="inlineStr">
        <is>
          <t>익주로 진군하던 방통은 낙봉파의 좁은 골짜기를 지났다. 유비에게 빌린 흰 말을 탄 그를 장임의 복병이 유비로 알고 화살을 퍼부으니, 봉추는 서른여섯에 쓰러졌다.</t>
        </is>
      </c>
      <c r="H71" s="2">
        <f>COUNTIF(칸!$A$2:$A$416,A71)</f>
        <v/>
      </c>
      <c r="I71" s="2">
        <f>SUMIF(칸!$A$2:$A$416,A71,칸!$H$2:$H$416)</f>
        <v/>
      </c>
      <c r="J71" s="2">
        <f>INDEX(비용표!$A$13:$A$17,MATCH(I71,비용표!$B$13:$B$17,1))</f>
        <v/>
      </c>
      <c r="K71" s="2">
        <f>INDEX(비용표!$C$13:$C$17,MATCH(I71,비용표!$B$13:$B$17,1))</f>
        <v/>
      </c>
      <c r="L71" s="4" t="inlineStr">
        <is>
          <t>적진에 방통 시 장임 무력+2</t>
        </is>
      </c>
      <c r="M71" s="2" t="inlineStr">
        <is>
          <t>능력치</t>
        </is>
      </c>
      <c r="N71" s="2" t="inlineStr">
        <is>
          <t>장임</t>
        </is>
      </c>
      <c r="O71" s="2" t="inlineStr">
        <is>
          <t>무력</t>
        </is>
      </c>
      <c r="P71" s="2" t="n">
        <v>2</v>
      </c>
      <c r="Q71" s="4" t="n"/>
      <c r="R71" s="2" t="n"/>
      <c r="S71" s="2" t="inlineStr">
        <is>
          <t>방통</t>
        </is>
      </c>
      <c r="T71" s="2" t="n"/>
    </row>
    <row r="72" ht="32" customHeight="1">
      <c r="A72" s="2" t="n">
        <v>71</v>
      </c>
      <c r="B72" s="2" t="inlineStr">
        <is>
          <t>⑤ 삼국 정립 (209~219)</t>
        </is>
      </c>
      <c r="C72" s="3" t="inlineStr">
        <is>
          <t>의석 엄안</t>
        </is>
      </c>
      <c r="D72" s="2" t="inlineStr">
        <is>
          <t>義釋嚴顏</t>
        </is>
      </c>
      <c r="E72" s="4">
        <f>INDEX(칸!$I$2:$I$416,MATCH(A72,칸!$A$2:$A$416,1))</f>
        <v/>
      </c>
      <c r="F72" s="4" t="inlineStr">
        <is>
          <t>「목을 칠 장군은 있어도 항복할 장군은 없다」 — 장비는 그 앞에 무릎을 꿇었다.</t>
        </is>
      </c>
      <c r="G72" s="4" t="inlineStr">
        <is>
          <t>파군을 친 장비에게 사로잡힌 노장 엄안은 「목을 칠 장군은 있어도 항복할 장군은 없다」고 꾸짖었다. 장비는 그 기개에 감복해 몸소 포승을 풀고 윗자리에 앉혔다.</t>
        </is>
      </c>
      <c r="H72" s="2">
        <f>COUNTIF(칸!$A$2:$A$416,A72)</f>
        <v/>
      </c>
      <c r="I72" s="2">
        <f>SUMIF(칸!$A$2:$A$416,A72,칸!$H$2:$H$416)</f>
        <v/>
      </c>
      <c r="J72" s="2">
        <f>INDEX(비용표!$A$13:$A$17,MATCH(I72,비용표!$B$13:$B$17,1))</f>
        <v/>
      </c>
      <c r="K72" s="2">
        <f>INDEX(비용표!$C$13:$C$17,MATCH(I72,비용표!$B$13:$B$17,1))</f>
        <v/>
      </c>
      <c r="L72" s="4" t="inlineStr">
        <is>
          <t>장비 함께 참전 시 엄안 HP+2</t>
        </is>
      </c>
      <c r="M72" s="2" t="inlineStr">
        <is>
          <t>능력치</t>
        </is>
      </c>
      <c r="N72" s="2" t="inlineStr">
        <is>
          <t>엄안</t>
        </is>
      </c>
      <c r="O72" s="2" t="inlineStr">
        <is>
          <t>HP</t>
        </is>
      </c>
      <c r="P72" s="2" t="n">
        <v>2</v>
      </c>
      <c r="Q72" s="4" t="inlineStr">
        <is>
          <t>장비</t>
        </is>
      </c>
      <c r="R72" s="2" t="n"/>
      <c r="S72" s="2" t="n"/>
      <c r="T72" s="2" t="n"/>
    </row>
    <row r="73" ht="32" customHeight="1">
      <c r="A73" s="2" t="n">
        <v>72</v>
      </c>
      <c r="B73" s="2" t="inlineStr">
        <is>
          <t>⑤ 삼국 정립 (209~219)</t>
        </is>
      </c>
      <c r="C73" s="3" t="inlineStr">
        <is>
          <t>가맹관 야전</t>
        </is>
      </c>
      <c r="D73" s="2" t="inlineStr">
        <is>
          <t>葭萌關夜戰</t>
        </is>
      </c>
      <c r="E73" s="4">
        <f>INDEX(칸!$I$2:$I$416,MATCH(A73,칸!$A$2:$A$416,1))</f>
        <v/>
      </c>
      <c r="F73" s="4" t="inlineStr">
        <is>
          <t>횃불을 밝히고 밤새 싸웠으나 장비와 마초는 승부를 내지 못했다.</t>
        </is>
      </c>
      <c r="G73" s="4" t="inlineStr">
        <is>
          <t>가맹관에서 장비와 마초가 맞붙었다. 해가 지자 횃불을 밝히고 밤새 싸웠으나 승부가 나지 않았고, 마초는 얼마 뒤 유비에게 귀순했다.</t>
        </is>
      </c>
      <c r="H73" s="2">
        <f>COUNTIF(칸!$A$2:$A$416,A73)</f>
        <v/>
      </c>
      <c r="I73" s="2">
        <f>SUMIF(칸!$A$2:$A$416,A73,칸!$H$2:$H$416)</f>
        <v/>
      </c>
      <c r="J73" s="2">
        <f>INDEX(비용표!$A$13:$A$17,MATCH(I73,비용표!$B$13:$B$17,1))</f>
        <v/>
      </c>
      <c r="K73" s="2">
        <f>INDEX(비용표!$C$13:$C$17,MATCH(I73,비용표!$B$13:$B$17,1))</f>
        <v/>
      </c>
      <c r="L73" s="4" t="inlineStr">
        <is>
          <t>적진에 장비 시 마초 무력+1</t>
        </is>
      </c>
      <c r="M73" s="2" t="inlineStr">
        <is>
          <t>능력치</t>
        </is>
      </c>
      <c r="N73" s="2" t="inlineStr">
        <is>
          <t>마초</t>
        </is>
      </c>
      <c r="O73" s="2" t="inlineStr">
        <is>
          <t>무력</t>
        </is>
      </c>
      <c r="P73" s="2" t="n">
        <v>1</v>
      </c>
      <c r="Q73" s="4" t="n"/>
      <c r="R73" s="2" t="n"/>
      <c r="S73" s="2" t="inlineStr">
        <is>
          <t>장비</t>
        </is>
      </c>
      <c r="T73" s="2" t="n"/>
    </row>
    <row r="74" ht="32" customHeight="1">
      <c r="A74" s="2" t="n">
        <v>73</v>
      </c>
      <c r="B74" s="2" t="inlineStr">
        <is>
          <t>⑤ 삼국 정립 (209~219)</t>
        </is>
      </c>
      <c r="C74" s="3" t="inlineStr">
        <is>
          <t>익주의 유장</t>
        </is>
      </c>
      <c r="D74" s="2" t="inlineStr">
        <is>
          <t>益州劉璋</t>
        </is>
      </c>
      <c r="E74" s="4">
        <f>INDEX(칸!$I$2:$I$416,MATCH(A74,칸!$A$2:$A$416,1))</f>
        <v/>
      </c>
      <c r="F74" s="4" t="inlineStr">
        <is>
          <t>어진 주인이었으나 난세를 지킬 그릇은 아니었다.</t>
        </is>
      </c>
      <c r="G74" s="4" t="inlineStr">
        <is>
          <t>유장은 아버지 유언에게서 익주를 물려받은 어진 주인이었으나, 장로를 막으려 유비를 불러들였다. 황권 · 왕루가 목숨을 걸고 말렸지만 듣지 않았고, 결국 익주를 잃었다.</t>
        </is>
      </c>
      <c r="H74" s="2">
        <f>COUNTIF(칸!$A$2:$A$416,A74)</f>
        <v/>
      </c>
      <c r="I74" s="2">
        <f>SUMIF(칸!$A$2:$A$416,A74,칸!$H$2:$H$416)</f>
        <v/>
      </c>
      <c r="J74" s="2">
        <f>INDEX(비용표!$A$13:$A$17,MATCH(I74,비용표!$B$13:$B$17,1))</f>
        <v/>
      </c>
      <c r="K74" s="2">
        <f>INDEX(비용표!$C$13:$C$17,MATCH(I74,비용표!$B$13:$B$17,1))</f>
        <v/>
      </c>
      <c r="L74" s="4" t="inlineStr">
        <is>
          <t>황권 통솔+1</t>
        </is>
      </c>
      <c r="M74" s="2" t="inlineStr">
        <is>
          <t>능력치</t>
        </is>
      </c>
      <c r="N74" s="2" t="inlineStr">
        <is>
          <t>황권</t>
        </is>
      </c>
      <c r="O74" s="2" t="inlineStr">
        <is>
          <t>통솔</t>
        </is>
      </c>
      <c r="P74" s="2" t="n">
        <v>1</v>
      </c>
      <c r="Q74" s="4" t="n"/>
      <c r="R74" s="2" t="n"/>
      <c r="S74" s="2" t="n"/>
      <c r="T74" s="2" t="n"/>
    </row>
    <row r="75" ht="32" customHeight="1">
      <c r="A75" s="2" t="n">
        <v>74</v>
      </c>
      <c r="B75" s="2" t="inlineStr">
        <is>
          <t>⑤ 삼국 정립 (209~219)</t>
        </is>
      </c>
      <c r="C75" s="3" t="inlineStr">
        <is>
          <t>단도부회</t>
        </is>
      </c>
      <c r="D75" s="2" t="inlineStr">
        <is>
          <t>單刀赴會</t>
        </is>
      </c>
      <c r="E75" s="4">
        <f>INDEX(칸!$I$2:$I$416,MATCH(A75,칸!$A$2:$A$416,1))</f>
        <v/>
      </c>
      <c r="F75" s="4" t="inlineStr">
        <is>
          <t>칼 한 자루만 들고 적진의 연회에 나간 관우.</t>
        </is>
      </c>
      <c r="G75" s="4" t="inlineStr">
        <is>
          <t>형주를 돌려 달라는 노숙의 초대에 관우는 칼 한 자루와 주창만 데리고 육구의 연회에 나갔다. 노숙의 손을 잡고 배까지 걸어 나오니, 매복한 군사들이 손을 쓰지 못했다.</t>
        </is>
      </c>
      <c r="H75" s="2">
        <f>COUNTIF(칸!$A$2:$A$416,A75)</f>
        <v/>
      </c>
      <c r="I75" s="2">
        <f>SUMIF(칸!$A$2:$A$416,A75,칸!$H$2:$H$416)</f>
        <v/>
      </c>
      <c r="J75" s="2">
        <f>INDEX(비용표!$A$13:$A$17,MATCH(I75,비용표!$B$13:$B$17,1))</f>
        <v/>
      </c>
      <c r="K75" s="2">
        <f>INDEX(비용표!$C$13:$C$17,MATCH(I75,비용표!$B$13:$B$17,1))</f>
        <v/>
      </c>
      <c r="L75" s="4" t="inlineStr">
        <is>
          <t>적진에 관우 시 노숙 통솔+2</t>
        </is>
      </c>
      <c r="M75" s="2" t="inlineStr">
        <is>
          <t>능력치</t>
        </is>
      </c>
      <c r="N75" s="2" t="inlineStr">
        <is>
          <t>노숙</t>
        </is>
      </c>
      <c r="O75" s="2" t="inlineStr">
        <is>
          <t>통솔</t>
        </is>
      </c>
      <c r="P75" s="2" t="n">
        <v>2</v>
      </c>
      <c r="Q75" s="4" t="n"/>
      <c r="R75" s="2" t="n"/>
      <c r="S75" s="2" t="inlineStr">
        <is>
          <t>관우</t>
        </is>
      </c>
      <c r="T75" s="2" t="n"/>
    </row>
    <row r="76" ht="32" customHeight="1">
      <c r="A76" s="2" t="n">
        <v>75</v>
      </c>
      <c r="B76" s="2" t="inlineStr">
        <is>
          <t>⑤ 삼국 정립 (209~219)</t>
        </is>
      </c>
      <c r="C76" s="3" t="inlineStr">
        <is>
          <t>유수구</t>
        </is>
      </c>
      <c r="D76" s="2" t="inlineStr">
        <is>
          <t>濡須口</t>
        </is>
      </c>
      <c r="E76" s="4">
        <f>INDEX(칸!$I$2:$I$416,MATCH(A76,칸!$A$2:$A$416,1))</f>
        <v/>
      </c>
      <c r="F76" s="4" t="inlineStr">
        <is>
          <t>「자식을 낳으려면 손중모 같아야 한다.」</t>
        </is>
      </c>
      <c r="G76" s="4" t="inlineStr">
        <is>
          <t>유수구에서 손권과 대치한 조조는 오군의 정연한 진영을 보고 탄식했다. 「자식을 낳으려면 손중모 같아야 한다. 유경승의 아들은 개돼지일 뿐이다.」</t>
        </is>
      </c>
      <c r="H76" s="2">
        <f>COUNTIF(칸!$A$2:$A$416,A76)</f>
        <v/>
      </c>
      <c r="I76" s="2">
        <f>SUMIF(칸!$A$2:$A$416,A76,칸!$H$2:$H$416)</f>
        <v/>
      </c>
      <c r="J76" s="2">
        <f>INDEX(비용표!$A$13:$A$17,MATCH(I76,비용표!$B$13:$B$17,1))</f>
        <v/>
      </c>
      <c r="K76" s="2">
        <f>INDEX(비용표!$C$13:$C$17,MATCH(I76,비용표!$B$13:$B$17,1))</f>
        <v/>
      </c>
      <c r="L76" s="4" t="inlineStr">
        <is>
          <t>손권 통솔+2</t>
        </is>
      </c>
      <c r="M76" s="2" t="inlineStr">
        <is>
          <t>능력치</t>
        </is>
      </c>
      <c r="N76" s="2" t="inlineStr">
        <is>
          <t>손권</t>
        </is>
      </c>
      <c r="O76" s="2" t="inlineStr">
        <is>
          <t>통솔</t>
        </is>
      </c>
      <c r="P76" s="2" t="n">
        <v>2</v>
      </c>
      <c r="Q76" s="4" t="n"/>
      <c r="R76" s="2" t="n"/>
      <c r="S76" s="2" t="n"/>
      <c r="T76" s="2" t="n"/>
    </row>
    <row r="77" ht="32" customHeight="1">
      <c r="A77" s="2" t="n">
        <v>76</v>
      </c>
      <c r="B77" s="2" t="inlineStr">
        <is>
          <t>⑤ 삼국 정립 (209~219)</t>
        </is>
      </c>
      <c r="C77" s="3" t="inlineStr">
        <is>
          <t>빈 찬합</t>
        </is>
      </c>
      <c r="D77" s="2" t="inlineStr">
        <is>
          <t>空食盒</t>
        </is>
      </c>
      <c r="E77" s="4">
        <f>INDEX(칸!$I$2:$I$416,MATCH(A77,칸!$A$2:$A$416,1))</f>
        <v/>
      </c>
      <c r="F77" s="4" t="inlineStr">
        <is>
          <t>조조가 보낸 찬합은 비어 있었다. 순욱은 그날 밤 약을 마셨다.</t>
        </is>
      </c>
      <c r="G77" s="4" t="inlineStr">
        <is>
          <t>조조가 위공의 자리에 오르려 하자 순욱은 반대했다. 얼마 뒤 조조가 보낸 찬합을 열어 보니 텅 비어 있었고, 순욱은 그 뜻을 알고 약을 마셨다고 전한다.</t>
        </is>
      </c>
      <c r="H77" s="2">
        <f>COUNTIF(칸!$A$2:$A$416,A77)</f>
        <v/>
      </c>
      <c r="I77" s="2">
        <f>SUMIF(칸!$A$2:$A$416,A77,칸!$H$2:$H$416)</f>
        <v/>
      </c>
      <c r="J77" s="2">
        <f>INDEX(비용표!$A$13:$A$17,MATCH(I77,비용표!$B$13:$B$17,1))</f>
        <v/>
      </c>
      <c r="K77" s="2">
        <f>INDEX(비용표!$C$13:$C$17,MATCH(I77,비용표!$B$13:$B$17,1))</f>
        <v/>
      </c>
      <c r="L77" s="4" t="inlineStr">
        <is>
          <t>순욱 통솔+1</t>
        </is>
      </c>
      <c r="M77" s="2" t="inlineStr">
        <is>
          <t>능력치</t>
        </is>
      </c>
      <c r="N77" s="2" t="inlineStr">
        <is>
          <t>순욱</t>
        </is>
      </c>
      <c r="O77" s="2" t="inlineStr">
        <is>
          <t>통솔</t>
        </is>
      </c>
      <c r="P77" s="2" t="n">
        <v>1</v>
      </c>
      <c r="Q77" s="4" t="n"/>
      <c r="R77" s="2" t="n"/>
      <c r="S77" s="2" t="n"/>
      <c r="T77" s="2" t="n"/>
    </row>
    <row r="78" ht="32" customHeight="1">
      <c r="A78" s="2" t="n">
        <v>77</v>
      </c>
      <c r="B78" s="2" t="inlineStr">
        <is>
          <t>⑤ 삼국 정립 (209~219)</t>
        </is>
      </c>
      <c r="C78" s="3" t="inlineStr">
        <is>
          <t>백기겁위영</t>
        </is>
      </c>
      <c r="D78" s="2" t="inlineStr">
        <is>
          <t>百騎劫魏營</t>
        </is>
      </c>
      <c r="E78" s="4">
        <f>INDEX(칸!$I$2:$I$416,MATCH(A78,칸!$A$2:$A$416,1))</f>
        <v/>
      </c>
      <c r="F78" s="4" t="inlineStr">
        <is>
          <t>기병 백 명으로 조조의 진영을 휘젓고 한 명도 잃지 않았다.</t>
        </is>
      </c>
      <c r="G78" s="4" t="inlineStr">
        <is>
          <t>유수구에서 감녕은 기병 백 명을 이끌고 밤에 조조의 진영을 휘저었다. 한 사람도 잃지 않고 돌아오자 손권은 「맹덕에게 장료가 있다면 내게는 감녕이 있다」고 했다.</t>
        </is>
      </c>
      <c r="H78" s="2">
        <f>COUNTIF(칸!$A$2:$A$416,A78)</f>
        <v/>
      </c>
      <c r="I78" s="2">
        <f>SUMIF(칸!$A$2:$A$416,A78,칸!$H$2:$H$416)</f>
        <v/>
      </c>
      <c r="J78" s="2">
        <f>INDEX(비용표!$A$13:$A$17,MATCH(I78,비용표!$B$13:$B$17,1))</f>
        <v/>
      </c>
      <c r="K78" s="2">
        <f>INDEX(비용표!$C$13:$C$17,MATCH(I78,비용표!$B$13:$B$17,1))</f>
        <v/>
      </c>
      <c r="L78" s="4" t="inlineStr">
        <is>
          <t>감녕 통솔+2</t>
        </is>
      </c>
      <c r="M78" s="2" t="inlineStr">
        <is>
          <t>능력치</t>
        </is>
      </c>
      <c r="N78" s="2" t="inlineStr">
        <is>
          <t>감녕</t>
        </is>
      </c>
      <c r="O78" s="2" t="inlineStr">
        <is>
          <t>통솔</t>
        </is>
      </c>
      <c r="P78" s="2" t="n">
        <v>2</v>
      </c>
      <c r="Q78" s="4" t="n"/>
      <c r="R78" s="2" t="n"/>
      <c r="S78" s="2" t="n"/>
      <c r="T78" s="2" t="n"/>
    </row>
    <row r="79" ht="32" customHeight="1">
      <c r="A79" s="2" t="n">
        <v>78</v>
      </c>
      <c r="B79" s="2" t="inlineStr">
        <is>
          <t>⑤ 삼국 정립 (209~219)</t>
        </is>
      </c>
      <c r="C79" s="3" t="inlineStr">
        <is>
          <t>합비 소요진</t>
        </is>
      </c>
      <c r="D79" s="2" t="inlineStr">
        <is>
          <t>逍遙津</t>
        </is>
      </c>
      <c r="E79" s="4">
        <f>INDEX(칸!$I$2:$I$416,MATCH(A79,칸!$A$2:$A$416,1))</f>
        <v/>
      </c>
      <c r="F79" s="4" t="inlineStr">
        <is>
          <t>팔백 기로 십만을 꺾었다. 강동의 아이들은 그 이름에 울음을 그쳤다.</t>
        </is>
      </c>
      <c r="G79" s="4" t="inlineStr">
        <is>
          <t>손권이 십만으로 합비를 치자 장료는 팔백 명을 뽑아 새벽에 돌격했다. 소요진에서 손권은 다리가 끊겨 말을 뛰어 겨우 달아났고, 강동의 아이들은 장료의 이름만 들어도 울음을 그쳤다.</t>
        </is>
      </c>
      <c r="H79" s="2">
        <f>COUNTIF(칸!$A$2:$A$416,A79)</f>
        <v/>
      </c>
      <c r="I79" s="2">
        <f>SUMIF(칸!$A$2:$A$416,A79,칸!$H$2:$H$416)</f>
        <v/>
      </c>
      <c r="J79" s="2">
        <f>INDEX(비용표!$A$13:$A$17,MATCH(I79,비용표!$B$13:$B$17,1))</f>
        <v/>
      </c>
      <c r="K79" s="2">
        <f>INDEX(비용표!$C$13:$C$17,MATCH(I79,비용표!$B$13:$B$17,1))</f>
        <v/>
      </c>
      <c r="L79" s="4" t="inlineStr">
        <is>
          <t>장료의 「장료지제」 SP 6 → 5</t>
        </is>
      </c>
      <c r="M79" s="2" t="inlineStr">
        <is>
          <t>고유기술SP</t>
        </is>
      </c>
      <c r="N79" s="2" t="inlineStr">
        <is>
          <t>장료</t>
        </is>
      </c>
      <c r="O79" s="2" t="n"/>
      <c r="P79" s="2" t="n">
        <v>-1</v>
      </c>
      <c r="Q79" s="4" t="n"/>
      <c r="R79" s="2" t="n"/>
      <c r="S79" s="2" t="n"/>
      <c r="T79" s="2" t="n"/>
    </row>
    <row r="80" ht="32" customHeight="1">
      <c r="A80" s="2" t="n">
        <v>79</v>
      </c>
      <c r="B80" s="2" t="inlineStr">
        <is>
          <t>⑤ 삼국 정립 (209~219)</t>
        </is>
      </c>
      <c r="C80" s="3" t="inlineStr">
        <is>
          <t>괄목상대</t>
        </is>
      </c>
      <c r="D80" s="2" t="inlineStr">
        <is>
          <t>刮目相待</t>
        </is>
      </c>
      <c r="E80" s="4">
        <f>INDEX(칸!$I$2:$I$416,MATCH(A80,칸!$A$2:$A$416,1))</f>
        <v/>
      </c>
      <c r="F80" s="4" t="inlineStr">
        <is>
          <t>「선비는 사흘을 떨어져 있으면 눈을 비비고 다시 보아야 한다.」</t>
        </is>
      </c>
      <c r="G80" s="4" t="inlineStr">
        <is>
          <t>무예만 알던 여몽은 손권의 권유로 책을 읽기 시작했다. 훗날 노숙이 그와 이야기하고 놀라자 여몽은 「선비는 사흘을 떨어져 있으면 눈을 비비고 다시 보아야 한다」고 답했다.</t>
        </is>
      </c>
      <c r="H80" s="2">
        <f>COUNTIF(칸!$A$2:$A$416,A80)</f>
        <v/>
      </c>
      <c r="I80" s="2">
        <f>SUMIF(칸!$A$2:$A$416,A80,칸!$H$2:$H$416)</f>
        <v/>
      </c>
      <c r="J80" s="2">
        <f>INDEX(비용표!$A$13:$A$17,MATCH(I80,비용표!$B$13:$B$17,1))</f>
        <v/>
      </c>
      <c r="K80" s="2">
        <f>INDEX(비용표!$C$13:$C$17,MATCH(I80,비용표!$B$13:$B$17,1))</f>
        <v/>
      </c>
      <c r="L80" s="4" t="inlineStr">
        <is>
          <t>여몽 지력+1</t>
        </is>
      </c>
      <c r="M80" s="2" t="inlineStr">
        <is>
          <t>능력치</t>
        </is>
      </c>
      <c r="N80" s="2" t="inlineStr">
        <is>
          <t>여몽</t>
        </is>
      </c>
      <c r="O80" s="2" t="inlineStr">
        <is>
          <t>지력</t>
        </is>
      </c>
      <c r="P80" s="2" t="n">
        <v>1</v>
      </c>
      <c r="Q80" s="4" t="n"/>
      <c r="R80" s="2" t="n"/>
      <c r="S80" s="2" t="n"/>
      <c r="T80" s="2" t="n"/>
    </row>
    <row r="81" ht="32" customHeight="1">
      <c r="A81" s="2" t="n">
        <v>80</v>
      </c>
      <c r="B81" s="2" t="inlineStr">
        <is>
          <t>⑤ 삼국 정립 (209~219)</t>
        </is>
      </c>
      <c r="C81" s="3" t="inlineStr">
        <is>
          <t>정군산</t>
        </is>
      </c>
      <c r="D81" s="2" t="inlineStr">
        <is>
          <t>定軍山</t>
        </is>
      </c>
      <c r="E81" s="4">
        <f>INDEX(칸!$I$2:$I$416,MATCH(A81,칸!$A$2:$A$416,1))</f>
        <v/>
      </c>
      <c r="F81" s="4" t="inlineStr">
        <is>
          <t>법정이 깃발을 흔들자 황충이 산을 내려와 하후연을 베었다.</t>
        </is>
      </c>
      <c r="G81" s="4" t="inlineStr">
        <is>
          <t>한중을 두고 다툰 정군산에서 법정이 산 위에서 깃발을 흔들자, 노장 황충이 북을 울리며 내려와 하후연을 베었다. 이 싸움으로 유비는 한중을 얻었다.</t>
        </is>
      </c>
      <c r="H81" s="2">
        <f>COUNTIF(칸!$A$2:$A$416,A81)</f>
        <v/>
      </c>
      <c r="I81" s="2">
        <f>SUMIF(칸!$A$2:$A$416,A81,칸!$H$2:$H$416)</f>
        <v/>
      </c>
      <c r="J81" s="2">
        <f>INDEX(비용표!$A$13:$A$17,MATCH(I81,비용표!$B$13:$B$17,1))</f>
        <v/>
      </c>
      <c r="K81" s="2">
        <f>INDEX(비용표!$C$13:$C$17,MATCH(I81,비용표!$B$13:$B$17,1))</f>
        <v/>
      </c>
      <c r="L81" s="4" t="inlineStr">
        <is>
          <t>황충의 「백보천양」 SP 6 → 5</t>
        </is>
      </c>
      <c r="M81" s="2" t="inlineStr">
        <is>
          <t>고유기술SP</t>
        </is>
      </c>
      <c r="N81" s="2" t="inlineStr">
        <is>
          <t>황충</t>
        </is>
      </c>
      <c r="O81" s="2" t="n"/>
      <c r="P81" s="2" t="n">
        <v>-1</v>
      </c>
      <c r="Q81" s="4" t="n"/>
      <c r="R81" s="2" t="n"/>
      <c r="S81" s="2" t="n"/>
      <c r="T81" s="2" t="n"/>
    </row>
    <row r="82" ht="48" customHeight="1">
      <c r="A82" s="2" t="n">
        <v>81</v>
      </c>
      <c r="B82" s="2" t="inlineStr">
        <is>
          <t>⑤ 삼국 정립 (209~219)</t>
        </is>
      </c>
      <c r="C82" s="3" t="inlineStr">
        <is>
          <t>계륵</t>
        </is>
      </c>
      <c r="D82" s="2" t="inlineStr">
        <is>
          <t>鷄肋</t>
        </is>
      </c>
      <c r="E82" s="4">
        <f>INDEX(칸!$I$2:$I$416,MATCH(A82,칸!$A$2:$A$416,1))</f>
        <v/>
      </c>
      <c r="F82" s="4" t="inlineStr">
        <is>
          <t>「계륵이다.」 — 그 암호를 듣고 짐을 싼 양수는 조조의 속을 너무 잘 알았다.</t>
        </is>
      </c>
      <c r="G82" s="4" t="inlineStr">
        <is>
          <t>한중에서 나아가지도 물러나지도 못하던 조조가 그날 밤 암호를 「계륵」이라 했다. 양수가 「먹을 것은 없으나 버리기는 아깝다는 뜻」이라며 짐을 싸자, 조조는 군심을 어지럽혔다며 그를 베었다.</t>
        </is>
      </c>
      <c r="H82" s="2">
        <f>COUNTIF(칸!$A$2:$A$416,A82)</f>
        <v/>
      </c>
      <c r="I82" s="2">
        <f>SUMIF(칸!$A$2:$A$416,A82,칸!$H$2:$H$416)</f>
        <v/>
      </c>
      <c r="J82" s="2">
        <f>INDEX(비용표!$A$13:$A$17,MATCH(I82,비용표!$B$13:$B$17,1))</f>
        <v/>
      </c>
      <c r="K82" s="2">
        <f>INDEX(비용표!$C$13:$C$17,MATCH(I82,비용표!$B$13:$B$17,1))</f>
        <v/>
      </c>
      <c r="L82" s="4" t="inlineStr">
        <is>
          <t>양수 지력+2</t>
        </is>
      </c>
      <c r="M82" s="2" t="inlineStr">
        <is>
          <t>능력치</t>
        </is>
      </c>
      <c r="N82" s="2" t="inlineStr">
        <is>
          <t>양수</t>
        </is>
      </c>
      <c r="O82" s="2" t="inlineStr">
        <is>
          <t>지력</t>
        </is>
      </c>
      <c r="P82" s="2" t="n">
        <v>2</v>
      </c>
      <c r="Q82" s="4" t="n"/>
      <c r="R82" s="2" t="n"/>
      <c r="S82" s="2" t="n"/>
      <c r="T82" s="2" t="n"/>
    </row>
    <row r="83" ht="32" customHeight="1">
      <c r="A83" s="2" t="n">
        <v>82</v>
      </c>
      <c r="B83" s="2" t="inlineStr">
        <is>
          <t>⑤ 삼국 정립 (209~219)</t>
        </is>
      </c>
      <c r="C83" s="3" t="inlineStr">
        <is>
          <t>수엄칠군</t>
        </is>
      </c>
      <c r="D83" s="2" t="inlineStr">
        <is>
          <t>水淹七軍</t>
        </is>
      </c>
      <c r="E83" s="4">
        <f>INDEX(칸!$I$2:$I$416,MATCH(A83,칸!$A$2:$A$416,1))</f>
        <v/>
      </c>
      <c r="F83" s="4" t="inlineStr">
        <is>
          <t>불어난 한수가 우금의 일곱 군을 삼켰다.</t>
        </is>
      </c>
      <c r="G83" s="4" t="inlineStr">
        <is>
          <t>관우가 번성을 포위하자 조조는 우금에게 칠군을 주어 구원하게 했다. 때마침 큰비로 한수가 넘치자 관우는 배를 타고 들이쳐 우금을 사로잡았다. 관우의 위엄이 천하를 떨게 했다.</t>
        </is>
      </c>
      <c r="H83" s="2">
        <f>COUNTIF(칸!$A$2:$A$416,A83)</f>
        <v/>
      </c>
      <c r="I83" s="2">
        <f>SUMIF(칸!$A$2:$A$416,A83,칸!$H$2:$H$416)</f>
        <v/>
      </c>
      <c r="J83" s="2">
        <f>INDEX(비용표!$A$13:$A$17,MATCH(I83,비용표!$B$13:$B$17,1))</f>
        <v/>
      </c>
      <c r="K83" s="2">
        <f>INDEX(비용표!$C$13:$C$17,MATCH(I83,비용표!$B$13:$B$17,1))</f>
        <v/>
      </c>
      <c r="L83" s="4" t="inlineStr">
        <is>
          <t>관우 지력+2</t>
        </is>
      </c>
      <c r="M83" s="2" t="inlineStr">
        <is>
          <t>능력치</t>
        </is>
      </c>
      <c r="N83" s="2" t="inlineStr">
        <is>
          <t>관우</t>
        </is>
      </c>
      <c r="O83" s="2" t="inlineStr">
        <is>
          <t>지력</t>
        </is>
      </c>
      <c r="P83" s="2" t="n">
        <v>2</v>
      </c>
      <c r="Q83" s="4" t="n"/>
      <c r="R83" s="2" t="n"/>
      <c r="S83" s="2" t="n"/>
      <c r="T83" s="2" t="n"/>
    </row>
    <row r="84" ht="32" customHeight="1">
      <c r="A84" s="2" t="n">
        <v>83</v>
      </c>
      <c r="B84" s="2" t="inlineStr">
        <is>
          <t>⑤ 삼국 정립 (209~219)</t>
        </is>
      </c>
      <c r="C84" s="3" t="inlineStr">
        <is>
          <t>관을 멘 방덕</t>
        </is>
      </c>
      <c r="D84" s="2" t="inlineStr">
        <is>
          <t>抬櫬決戰</t>
        </is>
      </c>
      <c r="E84" s="4">
        <f>INDEX(칸!$I$2:$I$416,MATCH(A84,칸!$A$2:$A$416,1))</f>
        <v/>
      </c>
      <c r="F84" s="4" t="inlineStr">
        <is>
          <t>관을 짊어지고 나선 방덕은 끝내 무릎 꿇지 않았다.</t>
        </is>
      </c>
      <c r="G84" s="4" t="inlineStr">
        <is>
          <t>방덕은 관우와 싸우러 나서며 관을 짊어지고 가 죽기를 각오했다. 관우와 백 합을 겨뤘으나 칠군이 물에 잠긴 뒤 사로잡혔고, 끝내 무릎 꿇지 않고 죽었다.</t>
        </is>
      </c>
      <c r="H84" s="2">
        <f>COUNTIF(칸!$A$2:$A$416,A84)</f>
        <v/>
      </c>
      <c r="I84" s="2">
        <f>SUMIF(칸!$A$2:$A$416,A84,칸!$H$2:$H$416)</f>
        <v/>
      </c>
      <c r="J84" s="2">
        <f>INDEX(비용표!$A$13:$A$17,MATCH(I84,비용표!$B$13:$B$17,1))</f>
        <v/>
      </c>
      <c r="K84" s="2">
        <f>INDEX(비용표!$C$13:$C$17,MATCH(I84,비용표!$B$13:$B$17,1))</f>
        <v/>
      </c>
      <c r="L84" s="4" t="inlineStr">
        <is>
          <t>적진에 관우 시 방덕 HP+2</t>
        </is>
      </c>
      <c r="M84" s="2" t="inlineStr">
        <is>
          <t>능력치</t>
        </is>
      </c>
      <c r="N84" s="2" t="inlineStr">
        <is>
          <t>방덕</t>
        </is>
      </c>
      <c r="O84" s="2" t="inlineStr">
        <is>
          <t>HP</t>
        </is>
      </c>
      <c r="P84" s="2" t="n">
        <v>2</v>
      </c>
      <c r="Q84" s="4" t="n"/>
      <c r="R84" s="2" t="n"/>
      <c r="S84" s="2" t="inlineStr">
        <is>
          <t>관우</t>
        </is>
      </c>
      <c r="T84" s="2" t="n"/>
    </row>
    <row r="85" ht="32" customHeight="1">
      <c r="A85" s="2" t="n">
        <v>84</v>
      </c>
      <c r="B85" s="2" t="inlineStr">
        <is>
          <t>⑤ 삼국 정립 (209~219)</t>
        </is>
      </c>
      <c r="C85" s="3" t="inlineStr">
        <is>
          <t>백의도강</t>
        </is>
      </c>
      <c r="D85" s="2" t="inlineStr">
        <is>
          <t>白衣渡江</t>
        </is>
      </c>
      <c r="E85" s="4">
        <f>INDEX(칸!$I$2:$I$416,MATCH(A85,칸!$A$2:$A$416,1))</f>
        <v/>
      </c>
      <c r="F85" s="4" t="inlineStr">
        <is>
          <t>흰옷의 상인으로 꾸민 병사들이 강을 건너 형주를 빼앗았다.</t>
        </is>
      </c>
      <c r="G85" s="4" t="inlineStr">
        <is>
          <t>여몽은 병을 핑계로 물러나 육손에게 자리를 넘겼다. 관우가 방심하자 병사들을 흰옷의 상인으로 꾸며 강을 건너게 했고, 봉화대를 소리 없이 장악해 형주를 빼앗았다.</t>
        </is>
      </c>
      <c r="H85" s="2">
        <f>COUNTIF(칸!$A$2:$A$416,A85)</f>
        <v/>
      </c>
      <c r="I85" s="2">
        <f>SUMIF(칸!$A$2:$A$416,A85,칸!$H$2:$H$416)</f>
        <v/>
      </c>
      <c r="J85" s="2">
        <f>INDEX(비용표!$A$13:$A$17,MATCH(I85,비용표!$B$13:$B$17,1))</f>
        <v/>
      </c>
      <c r="K85" s="2">
        <f>INDEX(비용표!$C$13:$C$17,MATCH(I85,비용표!$B$13:$B$17,1))</f>
        <v/>
      </c>
      <c r="L85" s="4" t="inlineStr">
        <is>
          <t>여몽의 「백의도강」 SP 6 → 5</t>
        </is>
      </c>
      <c r="M85" s="2" t="inlineStr">
        <is>
          <t>고유기술SP</t>
        </is>
      </c>
      <c r="N85" s="2" t="inlineStr">
        <is>
          <t>여몽</t>
        </is>
      </c>
      <c r="O85" s="2" t="n"/>
      <c r="P85" s="2" t="n">
        <v>-1</v>
      </c>
      <c r="Q85" s="4" t="n"/>
      <c r="R85" s="2" t="n"/>
      <c r="S85" s="2" t="n"/>
      <c r="T85" s="2" t="n"/>
    </row>
    <row r="86" ht="32" customHeight="1">
      <c r="A86" s="2" t="n">
        <v>85</v>
      </c>
      <c r="B86" s="2" t="inlineStr">
        <is>
          <t>⑤ 삼국 정립 (209~219)</t>
        </is>
      </c>
      <c r="C86" s="3" t="inlineStr">
        <is>
          <t>맥성</t>
        </is>
      </c>
      <c r="D86" s="2" t="inlineStr">
        <is>
          <t>走麥城</t>
        </is>
      </c>
      <c r="E86" s="4">
        <f>INDEX(칸!$I$2:$I$416,MATCH(A86,칸!$A$2:$A$416,1))</f>
        <v/>
      </c>
      <c r="F86" s="4" t="inlineStr">
        <is>
          <t>구원은 오지 않았고 관우 부자는 맥성을 빠져나가지 못했다.</t>
        </is>
      </c>
      <c r="G86" s="4" t="inlineStr">
        <is>
          <t>형주를 잃은 관우는 맥성으로 몰렸다. 요화가 상용의 유봉 · 맹달에게 구원을 청했으나 그들은 오지 않았다. 관우 부자는 성을 빠져나가다 임저에서 사로잡혔다.</t>
        </is>
      </c>
      <c r="H86" s="2">
        <f>COUNTIF(칸!$A$2:$A$416,A86)</f>
        <v/>
      </c>
      <c r="I86" s="2">
        <f>SUMIF(칸!$A$2:$A$416,A86,칸!$H$2:$H$416)</f>
        <v/>
      </c>
      <c r="J86" s="2">
        <f>INDEX(비용표!$A$13:$A$17,MATCH(I86,비용표!$B$13:$B$17,1))</f>
        <v/>
      </c>
      <c r="K86" s="2">
        <f>INDEX(비용표!$C$13:$C$17,MATCH(I86,비용표!$B$13:$B$17,1))</f>
        <v/>
      </c>
      <c r="L86" s="4" t="inlineStr">
        <is>
          <t>관우 함께 참전 시 관평·주창 HP+1</t>
        </is>
      </c>
      <c r="M86" s="2" t="inlineStr">
        <is>
          <t>능력치</t>
        </is>
      </c>
      <c r="N86" s="2" t="inlineStr">
        <is>
          <t>관평·주창</t>
        </is>
      </c>
      <c r="O86" s="2" t="inlineStr">
        <is>
          <t>HP</t>
        </is>
      </c>
      <c r="P86" s="2" t="n">
        <v>1</v>
      </c>
      <c r="Q86" s="4" t="inlineStr">
        <is>
          <t>관우</t>
        </is>
      </c>
      <c r="R86" s="2" t="n"/>
      <c r="S86" s="2" t="n"/>
      <c r="T86" s="2" t="n"/>
    </row>
    <row r="87" ht="32" customHeight="1">
      <c r="A87" s="2" t="n">
        <v>86</v>
      </c>
      <c r="B87" s="2" t="inlineStr">
        <is>
          <t>⑥ 이릉 · 남정 (220~225)</t>
        </is>
      </c>
      <c r="C87" s="3" t="inlineStr">
        <is>
          <t>수선대</t>
        </is>
      </c>
      <c r="D87" s="2" t="inlineStr">
        <is>
          <t>受禪臺</t>
        </is>
      </c>
      <c r="E87" s="4">
        <f>INDEX(칸!$I$2:$I$416,MATCH(A87,칸!$A$2:$A$416,1))</f>
        <v/>
      </c>
      <c r="F87" s="4" t="inlineStr">
        <is>
          <t>사백 년 한나라가 수선대 위에서 끝났다.</t>
        </is>
      </c>
      <c r="G87" s="4" t="inlineStr">
        <is>
          <t>조조가 죽자 아들 조비는 헌제를 압박해 수선대에서 제위를 넘겨받았다. 사백 년 한나라가 끝나고 위가 섰다.</t>
        </is>
      </c>
      <c r="H87" s="2">
        <f>COUNTIF(칸!$A$2:$A$416,A87)</f>
        <v/>
      </c>
      <c r="I87" s="2">
        <f>SUMIF(칸!$A$2:$A$416,A87,칸!$H$2:$H$416)</f>
        <v/>
      </c>
      <c r="J87" s="2">
        <f>INDEX(비용표!$A$13:$A$17,MATCH(I87,비용표!$B$13:$B$17,1))</f>
        <v/>
      </c>
      <c r="K87" s="2">
        <f>INDEX(비용표!$C$13:$C$17,MATCH(I87,비용표!$B$13:$B$17,1))</f>
        <v/>
      </c>
      <c r="L87" s="4" t="inlineStr">
        <is>
          <t>조비 지력+2</t>
        </is>
      </c>
      <c r="M87" s="2" t="inlineStr">
        <is>
          <t>능력치</t>
        </is>
      </c>
      <c r="N87" s="2" t="inlineStr">
        <is>
          <t>조비</t>
        </is>
      </c>
      <c r="O87" s="2" t="inlineStr">
        <is>
          <t>지력</t>
        </is>
      </c>
      <c r="P87" s="2" t="n">
        <v>2</v>
      </c>
      <c r="Q87" s="4" t="n"/>
      <c r="R87" s="2" t="n"/>
      <c r="S87" s="2" t="n"/>
      <c r="T87" s="2" t="n"/>
    </row>
    <row r="88" ht="32" customHeight="1">
      <c r="A88" s="2" t="n">
        <v>87</v>
      </c>
      <c r="B88" s="2" t="inlineStr">
        <is>
          <t>⑥ 이릉 · 남정 (220~225)</t>
        </is>
      </c>
      <c r="C88" s="3" t="inlineStr">
        <is>
          <t>칠보시</t>
        </is>
      </c>
      <c r="D88" s="2" t="inlineStr">
        <is>
          <t>七步詩</t>
        </is>
      </c>
      <c r="E88" s="4">
        <f>INDEX(칸!$I$2:$I$416,MATCH(A88,칸!$A$2:$A$416,1))</f>
        <v/>
      </c>
      <c r="F88" s="4" t="inlineStr">
        <is>
          <t>「콩깍지를 태워 콩을 삶으니」 — 일곱 걸음 안에 지은 시.</t>
        </is>
      </c>
      <c r="G88" s="4" t="inlineStr">
        <is>
          <t>조비는 아우 조식을 시기해, 일곱 걸음 안에 시를 짓지 못하면 죽이겠다고 했다. 조식이 「콩깍지를 태워 콩을 삶으니」라고 읊자 조비는 부끄러워 그를 놓아주었다.</t>
        </is>
      </c>
      <c r="H88" s="2">
        <f>COUNTIF(칸!$A$2:$A$416,A88)</f>
        <v/>
      </c>
      <c r="I88" s="2">
        <f>SUMIF(칸!$A$2:$A$416,A88,칸!$H$2:$H$416)</f>
        <v/>
      </c>
      <c r="J88" s="2">
        <f>INDEX(비용표!$A$13:$A$17,MATCH(I88,비용표!$B$13:$B$17,1))</f>
        <v/>
      </c>
      <c r="K88" s="2">
        <f>INDEX(비용표!$C$13:$C$17,MATCH(I88,비용표!$B$13:$B$17,1))</f>
        <v/>
      </c>
      <c r="L88" s="4" t="inlineStr">
        <is>
          <t>적진에 조비 시 조식 HP+2</t>
        </is>
      </c>
      <c r="M88" s="2" t="inlineStr">
        <is>
          <t>능력치</t>
        </is>
      </c>
      <c r="N88" s="2" t="inlineStr">
        <is>
          <t>조식</t>
        </is>
      </c>
      <c r="O88" s="2" t="inlineStr">
        <is>
          <t>HP</t>
        </is>
      </c>
      <c r="P88" s="2" t="n">
        <v>2</v>
      </c>
      <c r="Q88" s="4" t="n"/>
      <c r="R88" s="2" t="n"/>
      <c r="S88" s="2" t="inlineStr">
        <is>
          <t>조비</t>
        </is>
      </c>
      <c r="T88" s="2" t="n"/>
    </row>
    <row r="89" ht="32" customHeight="1">
      <c r="A89" s="2" t="n">
        <v>88</v>
      </c>
      <c r="B89" s="2" t="inlineStr">
        <is>
          <t>⑥ 이릉 · 남정 (220~225)</t>
        </is>
      </c>
      <c r="C89" s="3" t="inlineStr">
        <is>
          <t>아버지의 원수</t>
        </is>
      </c>
      <c r="D89" s="2" t="inlineStr">
        <is>
          <t>關興張苞</t>
        </is>
      </c>
      <c r="E89" s="4">
        <f>INDEX(칸!$I$2:$I$416,MATCH(A89,칸!$A$2:$A$416,1))</f>
        <v/>
      </c>
      <c r="F89" s="4" t="inlineStr">
        <is>
          <t>관우와 장비의 아들들은 의형제의 맹세까지 물려받았다.</t>
        </is>
      </c>
      <c r="G89" s="4" t="inlineStr">
        <is>
          <t>관우와 장비가 죽은 뒤, 두 사람의 아들 관흥과 장포는 아버지들처럼 의형제를 맺었다. 둘은 이릉으로 가는 유비를 따라 아버지의 원수를 갚으러 나섰다.</t>
        </is>
      </c>
      <c r="H89" s="2">
        <f>COUNTIF(칸!$A$2:$A$416,A89)</f>
        <v/>
      </c>
      <c r="I89" s="2">
        <f>SUMIF(칸!$A$2:$A$416,A89,칸!$H$2:$H$416)</f>
        <v/>
      </c>
      <c r="J89" s="2">
        <f>INDEX(비용표!$A$13:$A$17,MATCH(I89,비용표!$B$13:$B$17,1))</f>
        <v/>
      </c>
      <c r="K89" s="2">
        <f>INDEX(비용표!$C$13:$C$17,MATCH(I89,비용표!$B$13:$B$17,1))</f>
        <v/>
      </c>
      <c r="L89" s="4" t="inlineStr">
        <is>
          <t>관흥·장포 함께 참전 시 관흥·장포 무력+1</t>
        </is>
      </c>
      <c r="M89" s="2" t="inlineStr">
        <is>
          <t>능력치</t>
        </is>
      </c>
      <c r="N89" s="2" t="inlineStr">
        <is>
          <t>관흥·장포</t>
        </is>
      </c>
      <c r="O89" s="2" t="inlineStr">
        <is>
          <t>무력</t>
        </is>
      </c>
      <c r="P89" s="2" t="n">
        <v>1</v>
      </c>
      <c r="Q89" s="4" t="inlineStr">
        <is>
          <t>관흥·장포</t>
        </is>
      </c>
      <c r="R89" s="2" t="n"/>
      <c r="S89" s="2" t="n"/>
      <c r="T89" s="2" t="n"/>
    </row>
    <row r="90" ht="32" customHeight="1">
      <c r="A90" s="2" t="n">
        <v>89</v>
      </c>
      <c r="B90" s="2" t="inlineStr">
        <is>
          <t>⑥ 이릉 · 남정 (220~225)</t>
        </is>
      </c>
      <c r="C90" s="3" t="inlineStr">
        <is>
          <t>오계의 만왕</t>
        </is>
      </c>
      <c r="D90" s="2" t="inlineStr">
        <is>
          <t>沙摩柯</t>
        </is>
      </c>
      <c r="E90" s="4">
        <f>INDEX(칸!$I$2:$I$416,MATCH(A90,칸!$A$2:$A$416,1))</f>
        <v/>
      </c>
      <c r="F90" s="4" t="inlineStr">
        <is>
          <t>이릉의 길에서 사마가의 화살이 감녕을 쓰러뜨렸다.</t>
        </is>
      </c>
      <c r="G90" s="4" t="inlineStr">
        <is>
          <t>유비의 동정에 무릉의 오계만왕 사마가가 군사를 이끌고 합류했다. 연의는 그의 화살이 오의 맹장 감녕을 쓰러뜨렸다고 전한다.</t>
        </is>
      </c>
      <c r="H90" s="2">
        <f>COUNTIF(칸!$A$2:$A$416,A90)</f>
        <v/>
      </c>
      <c r="I90" s="2">
        <f>SUMIF(칸!$A$2:$A$416,A90,칸!$H$2:$H$416)</f>
        <v/>
      </c>
      <c r="J90" s="2">
        <f>INDEX(비용표!$A$13:$A$17,MATCH(I90,비용표!$B$13:$B$17,1))</f>
        <v/>
      </c>
      <c r="K90" s="2">
        <f>INDEX(비용표!$C$13:$C$17,MATCH(I90,비용표!$B$13:$B$17,1))</f>
        <v/>
      </c>
      <c r="L90" s="4" t="inlineStr">
        <is>
          <t>적진에 감녕 시 사마가 무력+2</t>
        </is>
      </c>
      <c r="M90" s="2" t="inlineStr">
        <is>
          <t>능력치</t>
        </is>
      </c>
      <c r="N90" s="2" t="inlineStr">
        <is>
          <t>사마가</t>
        </is>
      </c>
      <c r="O90" s="2" t="inlineStr">
        <is>
          <t>무력</t>
        </is>
      </c>
      <c r="P90" s="2" t="n">
        <v>2</v>
      </c>
      <c r="Q90" s="4" t="n"/>
      <c r="R90" s="2" t="n"/>
      <c r="S90" s="2" t="inlineStr">
        <is>
          <t>감녕</t>
        </is>
      </c>
      <c r="T90" s="2" t="n"/>
    </row>
    <row r="91" ht="32" customHeight="1">
      <c r="A91" s="2" t="n">
        <v>90</v>
      </c>
      <c r="B91" s="2" t="inlineStr">
        <is>
          <t>⑥ 이릉 · 남정 (220~225)</t>
        </is>
      </c>
      <c r="C91" s="3" t="inlineStr">
        <is>
          <t>이릉대전</t>
        </is>
      </c>
      <c r="D91" s="2" t="inlineStr">
        <is>
          <t>夷陵之戰</t>
        </is>
      </c>
      <c r="E91" s="4">
        <f>INDEX(칸!$I$2:$I$416,MATCH(A91,칸!$A$2:$A$416,1))</f>
        <v/>
      </c>
      <c r="F91" s="4" t="inlineStr">
        <is>
          <t>칠백 리 연영이 하룻밤 불길에 사라졌다.</t>
        </is>
      </c>
      <c r="G91" s="4" t="inlineStr">
        <is>
          <t>관우의 원수를 갚으려 유비는 대군을 이끌고 오를 쳤다. 육손은 맞서지 않고 버티다가, 무더위에 숲속에 칠백 리로 늘어선 촉의 진영에 일제히 불을 질렀다.</t>
        </is>
      </c>
      <c r="H91" s="2">
        <f>COUNTIF(칸!$A$2:$A$416,A91)</f>
        <v/>
      </c>
      <c r="I91" s="2">
        <f>SUMIF(칸!$A$2:$A$416,A91,칸!$H$2:$H$416)</f>
        <v/>
      </c>
      <c r="J91" s="2">
        <f>INDEX(비용표!$A$13:$A$17,MATCH(I91,비용표!$B$13:$B$17,1))</f>
        <v/>
      </c>
      <c r="K91" s="2">
        <f>INDEX(비용표!$C$13:$C$17,MATCH(I91,비용표!$B$13:$B$17,1))</f>
        <v/>
      </c>
      <c r="L91" s="4" t="inlineStr">
        <is>
          <t>육손의 「화소연영」 SP 6 → 5</t>
        </is>
      </c>
      <c r="M91" s="2" t="inlineStr">
        <is>
          <t>고유기술SP</t>
        </is>
      </c>
      <c r="N91" s="2" t="inlineStr">
        <is>
          <t>육손</t>
        </is>
      </c>
      <c r="O91" s="2" t="n"/>
      <c r="P91" s="2" t="n">
        <v>-1</v>
      </c>
      <c r="Q91" s="4" t="n"/>
      <c r="R91" s="2" t="n"/>
      <c r="S91" s="2" t="n"/>
      <c r="T91" s="2" t="n"/>
    </row>
    <row r="92" ht="32" customHeight="1">
      <c r="A92" s="2" t="n">
        <v>91</v>
      </c>
      <c r="B92" s="2" t="inlineStr">
        <is>
          <t>⑥ 이릉 · 남정 (220~225)</t>
        </is>
      </c>
      <c r="C92" s="3" t="inlineStr">
        <is>
          <t>백제성 탁고</t>
        </is>
      </c>
      <c r="D92" s="2" t="inlineStr">
        <is>
          <t>白帝城託孤</t>
        </is>
      </c>
      <c r="E92" s="4">
        <f>INDEX(칸!$I$2:$I$416,MATCH(A92,칸!$A$2:$A$416,1))</f>
        <v/>
      </c>
      <c r="F92" s="4" t="inlineStr">
        <is>
          <t>「그대의 재주가 조비의 열 배다. 아들이 모자라면 그대가 취하라.」</t>
        </is>
      </c>
      <c r="G92" s="4" t="inlineStr">
        <is>
          <t>이릉에서 진 유비는 백제성에서 병들어 제갈량을 불렀다. 「아들이 보좌할 만하면 돕고, 그렇지 못하면 그대가 취하라.」 제갈량은 울며 죽을 때까지 충성하겠다고 답했다.</t>
        </is>
      </c>
      <c r="H92" s="2">
        <f>COUNTIF(칸!$A$2:$A$416,A92)</f>
        <v/>
      </c>
      <c r="I92" s="2">
        <f>SUMIF(칸!$A$2:$A$416,A92,칸!$H$2:$H$416)</f>
        <v/>
      </c>
      <c r="J92" s="2">
        <f>INDEX(비용표!$A$13:$A$17,MATCH(I92,비용표!$B$13:$B$17,1))</f>
        <v/>
      </c>
      <c r="K92" s="2">
        <f>INDEX(비용표!$C$13:$C$17,MATCH(I92,비용표!$B$13:$B$17,1))</f>
        <v/>
      </c>
      <c r="L92" s="4" t="inlineStr">
        <is>
          <t>제갈량 함께 참전 시 유선 HP+2</t>
        </is>
      </c>
      <c r="M92" s="2" t="inlineStr">
        <is>
          <t>능력치</t>
        </is>
      </c>
      <c r="N92" s="2" t="inlineStr">
        <is>
          <t>유선</t>
        </is>
      </c>
      <c r="O92" s="2" t="inlineStr">
        <is>
          <t>HP</t>
        </is>
      </c>
      <c r="P92" s="2" t="n">
        <v>2</v>
      </c>
      <c r="Q92" s="4" t="inlineStr">
        <is>
          <t>제갈량</t>
        </is>
      </c>
      <c r="R92" s="2" t="n"/>
      <c r="S92" s="2" t="n"/>
      <c r="T92" s="2" t="n"/>
    </row>
    <row r="93" ht="32" customHeight="1">
      <c r="A93" s="2" t="n">
        <v>92</v>
      </c>
      <c r="B93" s="2" t="inlineStr">
        <is>
          <t>⑥ 이릉 · 남정 (220~225)</t>
        </is>
      </c>
      <c r="C93" s="3" t="inlineStr">
        <is>
          <t>서성의 가짜 성벽</t>
        </is>
      </c>
      <c r="D93" s="2" t="inlineStr">
        <is>
          <t>徐盛疑城</t>
        </is>
      </c>
      <c r="E93" s="4">
        <f>INDEX(칸!$I$2:$I$416,MATCH(A93,칸!$A$2:$A$416,1))</f>
        <v/>
      </c>
      <c r="F93" s="4" t="inlineStr">
        <is>
          <t>하룻밤 새 세운 갈대 성벽에 조비의 대군이 물러갔다.</t>
        </is>
      </c>
      <c r="G93" s="4" t="inlineStr">
        <is>
          <t>조비가 대군으로 광릉에 이르자, 서성은 강가에 갈대와 나무로 수백 리의 가짜 성벽을 하룻밤에 세웠다. 조비는 그 위용에 놀라 「위에 무사가 천 명 있어도 쓸 데가 없다」며 물러났다.</t>
        </is>
      </c>
      <c r="H93" s="2">
        <f>COUNTIF(칸!$A$2:$A$416,A93)</f>
        <v/>
      </c>
      <c r="I93" s="2">
        <f>SUMIF(칸!$A$2:$A$416,A93,칸!$H$2:$H$416)</f>
        <v/>
      </c>
      <c r="J93" s="2">
        <f>INDEX(비용표!$A$13:$A$17,MATCH(I93,비용표!$B$13:$B$17,1))</f>
        <v/>
      </c>
      <c r="K93" s="2">
        <f>INDEX(비용표!$C$13:$C$17,MATCH(I93,비용표!$B$13:$B$17,1))</f>
        <v/>
      </c>
      <c r="L93" s="4" t="inlineStr">
        <is>
          <t>서성 지력+1</t>
        </is>
      </c>
      <c r="M93" s="2" t="inlineStr">
        <is>
          <t>능력치</t>
        </is>
      </c>
      <c r="N93" s="2" t="inlineStr">
        <is>
          <t>서성</t>
        </is>
      </c>
      <c r="O93" s="2" t="inlineStr">
        <is>
          <t>지력</t>
        </is>
      </c>
      <c r="P93" s="2" t="n">
        <v>1</v>
      </c>
      <c r="Q93" s="4" t="n"/>
      <c r="R93" s="2" t="n"/>
      <c r="S93" s="2" t="n"/>
      <c r="T93" s="2" t="n"/>
    </row>
    <row r="94" ht="32" customHeight="1">
      <c r="A94" s="2" t="n">
        <v>93</v>
      </c>
      <c r="B94" s="2" t="inlineStr">
        <is>
          <t>⑥ 이릉 · 남정 (220~225)</t>
        </is>
      </c>
      <c r="C94" s="3" t="inlineStr">
        <is>
          <t>칠종칠금</t>
        </is>
      </c>
      <c r="D94" s="2" t="inlineStr">
        <is>
          <t>七縱七擒</t>
        </is>
      </c>
      <c r="E94" s="4">
        <f>INDEX(칸!$I$2:$I$416,MATCH(A94,칸!$A$2:$A$416,1))</f>
        <v/>
      </c>
      <c r="F94" s="4" t="inlineStr">
        <is>
          <t>일곱 번 잡고 일곱 번 놓아주니 남만이 마음으로 복종했다.</t>
        </is>
      </c>
      <c r="G94" s="4" t="inlineStr">
        <is>
          <t>남만의 맹획이 반란을 일으키자 제갈량은 직접 남정에 나섰다. 일곱 번 사로잡고 일곱 번 놓아주니, 맹획은 마침내 마음으로 복종했다. 연의에서는 축융 부인과 오란도 나선다.</t>
        </is>
      </c>
      <c r="H94" s="2">
        <f>COUNTIF(칸!$A$2:$A$416,A94)</f>
        <v/>
      </c>
      <c r="I94" s="2">
        <f>SUMIF(칸!$A$2:$A$416,A94,칸!$H$2:$H$416)</f>
        <v/>
      </c>
      <c r="J94" s="2">
        <f>INDEX(비용표!$A$13:$A$17,MATCH(I94,비용표!$B$13:$B$17,1))</f>
        <v/>
      </c>
      <c r="K94" s="2">
        <f>INDEX(비용표!$C$13:$C$17,MATCH(I94,비용표!$B$13:$B$17,1))</f>
        <v/>
      </c>
      <c r="L94" s="4" t="inlineStr">
        <is>
          <t>축융·오란 함께 참전 시 축융·오란 통솔+1</t>
        </is>
      </c>
      <c r="M94" s="2" t="inlineStr">
        <is>
          <t>능력치</t>
        </is>
      </c>
      <c r="N94" s="2" t="inlineStr">
        <is>
          <t>축융·오란</t>
        </is>
      </c>
      <c r="O94" s="2" t="inlineStr">
        <is>
          <t>통솔</t>
        </is>
      </c>
      <c r="P94" s="2" t="n">
        <v>1</v>
      </c>
      <c r="Q94" s="4" t="inlineStr">
        <is>
          <t>축융·오란</t>
        </is>
      </c>
      <c r="R94" s="2" t="n"/>
      <c r="S94" s="2" t="n"/>
      <c r="T94" s="2" t="n"/>
    </row>
    <row r="95" ht="32" customHeight="1">
      <c r="A95" s="2" t="n">
        <v>94</v>
      </c>
      <c r="B95" s="2" t="inlineStr">
        <is>
          <t>⑥ 이릉 · 남정 (220~225)</t>
        </is>
      </c>
      <c r="C95" s="3" t="inlineStr">
        <is>
          <t>출사표</t>
        </is>
      </c>
      <c r="D95" s="2" t="inlineStr">
        <is>
          <t>出師表</t>
        </is>
      </c>
      <c r="E95" s="4">
        <f>INDEX(칸!$I$2:$I$416,MATCH(A95,칸!$A$2:$A$416,1))</f>
        <v/>
      </c>
      <c r="F95" s="4" t="inlineStr">
        <is>
          <t>「신은 본래 포의로서 남양에서 몸소 밭을 갈았습니다.」</t>
        </is>
      </c>
      <c r="G95" s="4" t="inlineStr">
        <is>
          <t>남만을 평정한 제갈량은 북벌을 앞두고 어린 황제 유선에게 표문을 올렸다. 「신은 본래 포의로서 남양에서 몸소 밭을 갈았습니다」로 시작하는 출사표는 충신의 글로 천 년을 전해졌다.</t>
        </is>
      </c>
      <c r="H95" s="2">
        <f>COUNTIF(칸!$A$2:$A$416,A95)</f>
        <v/>
      </c>
      <c r="I95" s="2">
        <f>SUMIF(칸!$A$2:$A$416,A95,칸!$H$2:$H$416)</f>
        <v/>
      </c>
      <c r="J95" s="2">
        <f>INDEX(비용표!$A$13:$A$17,MATCH(I95,비용표!$B$13:$B$17,1))</f>
        <v/>
      </c>
      <c r="K95" s="2">
        <f>INDEX(비용표!$C$13:$C$17,MATCH(I95,비용표!$B$13:$B$17,1))</f>
        <v/>
      </c>
      <c r="L95" s="4" t="inlineStr">
        <is>
          <t>군량 충전 속도 +5%</t>
        </is>
      </c>
      <c r="M95" s="2" t="inlineStr">
        <is>
          <t>도시</t>
        </is>
      </c>
      <c r="N95" s="2" t="n"/>
      <c r="O95" s="2" t="n"/>
      <c r="P95" s="2" t="n">
        <v>5</v>
      </c>
      <c r="Q95" s="4" t="n"/>
      <c r="R95" s="2" t="n"/>
      <c r="S95" s="2" t="n"/>
      <c r="T95" s="2" t="inlineStr">
        <is>
          <t>grainRate</t>
        </is>
      </c>
    </row>
    <row r="96" ht="48" customHeight="1">
      <c r="A96" s="2" t="n">
        <v>95</v>
      </c>
      <c r="B96" s="2" t="inlineStr">
        <is>
          <t>⑥ 이릉 · 남정 (220~225)</t>
        </is>
      </c>
      <c r="C96" s="3" t="inlineStr">
        <is>
          <t>오두미도</t>
        </is>
      </c>
      <c r="D96" s="2" t="inlineStr">
        <is>
          <t>五斗米道</t>
        </is>
      </c>
      <c r="E96" s="4">
        <f>INDEX(칸!$I$2:$I$416,MATCH(A96,칸!$A$2:$A$416,1))</f>
        <v/>
      </c>
      <c r="F96" s="4" t="inlineStr">
        <is>
          <t>쌀 다섯 말을 바치면 병을 고쳐 준다던 한중의 교단.</t>
        </is>
      </c>
      <c r="G96" s="4" t="inlineStr">
        <is>
          <t>장로는 한중에서 오두미도를 이끌었다. 병든 자를 고치고 쌀 다섯 말을 받았으며, 길가에 의사(義舍)를 세워 나그네에게 쌀과 고기를 내주었다. 조조에게 항복할 때도 창고를 봉하고 떠났다.</t>
        </is>
      </c>
      <c r="H96" s="2">
        <f>COUNTIF(칸!$A$2:$A$416,A96)</f>
        <v/>
      </c>
      <c r="I96" s="2">
        <f>SUMIF(칸!$A$2:$A$416,A96,칸!$H$2:$H$416)</f>
        <v/>
      </c>
      <c r="J96" s="2">
        <f>INDEX(비용표!$A$13:$A$17,MATCH(I96,비용표!$B$13:$B$17,1))</f>
        <v/>
      </c>
      <c r="K96" s="2">
        <f>INDEX(비용표!$C$13:$C$17,MATCH(I96,비용표!$B$13:$B$17,1))</f>
        <v/>
      </c>
      <c r="L96" s="4" t="inlineStr">
        <is>
          <t>병원 치료 시간 −5%</t>
        </is>
      </c>
      <c r="M96" s="2" t="inlineStr">
        <is>
          <t>도시</t>
        </is>
      </c>
      <c r="N96" s="2" t="n"/>
      <c r="O96" s="2" t="n"/>
      <c r="P96" s="2" t="n">
        <v>5</v>
      </c>
      <c r="Q96" s="4" t="n"/>
      <c r="R96" s="2" t="n"/>
      <c r="S96" s="2" t="n"/>
      <c r="T96" s="2" t="inlineStr">
        <is>
          <t>heal</t>
        </is>
      </c>
    </row>
    <row r="97" ht="32" customHeight="1">
      <c r="A97" s="2" t="n">
        <v>96</v>
      </c>
      <c r="B97" s="2" t="inlineStr">
        <is>
          <t>⑦ 북벌 (227~234)</t>
        </is>
      </c>
      <c r="C97" s="3" t="inlineStr">
        <is>
          <t>천수의 강유</t>
        </is>
      </c>
      <c r="D97" s="2" t="inlineStr">
        <is>
          <t>天水姜維</t>
        </is>
      </c>
      <c r="E97" s="4">
        <f>INDEX(칸!$I$2:$I$416,MATCH(A97,칸!$A$2:$A$416,1))</f>
        <v/>
      </c>
      <c r="F97" s="4" t="inlineStr">
        <is>
          <t>제갈량의 계략을 꿰뚫은 젊은 장수는 그대로 그의 제자가 되었다.</t>
        </is>
      </c>
      <c r="G97" s="4" t="inlineStr">
        <is>
          <t>첫 북벌에서 제갈량의 계략을 꿰뚫은 천수의 젊은 장수가 있었다. 제갈량은 그 재주를 아껴 계책으로 그를 얻었고, 강유는 그대로 제갈량의 제자가 되었다.</t>
        </is>
      </c>
      <c r="H97" s="2">
        <f>COUNTIF(칸!$A$2:$A$416,A97)</f>
        <v/>
      </c>
      <c r="I97" s="2">
        <f>SUMIF(칸!$A$2:$A$416,A97,칸!$H$2:$H$416)</f>
        <v/>
      </c>
      <c r="J97" s="2">
        <f>INDEX(비용표!$A$13:$A$17,MATCH(I97,비용표!$B$13:$B$17,1))</f>
        <v/>
      </c>
      <c r="K97" s="2">
        <f>INDEX(비용표!$C$13:$C$17,MATCH(I97,비용표!$B$13:$B$17,1))</f>
        <v/>
      </c>
      <c r="L97" s="4" t="inlineStr">
        <is>
          <t>강유 통솔+2</t>
        </is>
      </c>
      <c r="M97" s="2" t="inlineStr">
        <is>
          <t>능력치</t>
        </is>
      </c>
      <c r="N97" s="2" t="inlineStr">
        <is>
          <t>강유</t>
        </is>
      </c>
      <c r="O97" s="2" t="inlineStr">
        <is>
          <t>통솔</t>
        </is>
      </c>
      <c r="P97" s="2" t="n">
        <v>2</v>
      </c>
      <c r="Q97" s="4" t="n"/>
      <c r="R97" s="2" t="n"/>
      <c r="S97" s="2" t="n"/>
      <c r="T97" s="2" t="n"/>
    </row>
    <row r="98" ht="32" customHeight="1">
      <c r="A98" s="2" t="n">
        <v>97</v>
      </c>
      <c r="B98" s="2" t="inlineStr">
        <is>
          <t>⑦ 북벌 (227~234)</t>
        </is>
      </c>
      <c r="C98" s="3" t="inlineStr">
        <is>
          <t>가정</t>
        </is>
      </c>
      <c r="D98" s="2" t="inlineStr">
        <is>
          <t>街亭</t>
        </is>
      </c>
      <c r="E98" s="4">
        <f>INDEX(칸!$I$2:$I$416,MATCH(A98,칸!$A$2:$A$416,1))</f>
        <v/>
      </c>
      <c r="F98" s="4" t="inlineStr">
        <is>
          <t>왕평은 산 위에 진을 치지 말라 했다.</t>
        </is>
      </c>
      <c r="G98" s="4" t="inlineStr">
        <is>
          <t>제갈량은 가정을 지키는 중임을 마속에게 맡겼다. 마속은 「산 위에 진을 치지 말라」는 왕평의 말을 듣지 않았고, 장합에게 물길을 끊겨 대패했다. 첫 북벌은 여기서 무너졌다.</t>
        </is>
      </c>
      <c r="H98" s="2">
        <f>COUNTIF(칸!$A$2:$A$416,A98)</f>
        <v/>
      </c>
      <c r="I98" s="2">
        <f>SUMIF(칸!$A$2:$A$416,A98,칸!$H$2:$H$416)</f>
        <v/>
      </c>
      <c r="J98" s="2">
        <f>INDEX(비용표!$A$13:$A$17,MATCH(I98,비용표!$B$13:$B$17,1))</f>
        <v/>
      </c>
      <c r="K98" s="2">
        <f>INDEX(비용표!$C$13:$C$17,MATCH(I98,비용표!$B$13:$B$17,1))</f>
        <v/>
      </c>
      <c r="L98" s="4" t="inlineStr">
        <is>
          <t>마속 함께 참전 시 왕평 지력+2</t>
        </is>
      </c>
      <c r="M98" s="2" t="inlineStr">
        <is>
          <t>능력치</t>
        </is>
      </c>
      <c r="N98" s="2" t="inlineStr">
        <is>
          <t>왕평</t>
        </is>
      </c>
      <c r="O98" s="2" t="inlineStr">
        <is>
          <t>지력</t>
        </is>
      </c>
      <c r="P98" s="2" t="n">
        <v>2</v>
      </c>
      <c r="Q98" s="4" t="inlineStr">
        <is>
          <t>마속</t>
        </is>
      </c>
      <c r="R98" s="2" t="n"/>
      <c r="S98" s="2" t="n"/>
      <c r="T98" s="2" t="n"/>
    </row>
    <row r="99" ht="32" customHeight="1">
      <c r="A99" s="2" t="n">
        <v>98</v>
      </c>
      <c r="B99" s="2" t="inlineStr">
        <is>
          <t>⑦ 북벌 (227~234)</t>
        </is>
      </c>
      <c r="C99" s="3" t="inlineStr">
        <is>
          <t>공성계</t>
        </is>
      </c>
      <c r="D99" s="2" t="inlineStr">
        <is>
          <t>空城計</t>
        </is>
      </c>
      <c r="E99" s="4">
        <f>INDEX(칸!$I$2:$I$416,MATCH(A99,칸!$A$2:$A$416,1))</f>
        <v/>
      </c>
      <c r="F99" s="4" t="inlineStr">
        <is>
          <t>성문을 활짝 열고 성루에서 거문고를 탔다.</t>
        </is>
      </c>
      <c r="G99" s="4" t="inlineStr">
        <is>
          <t>가정을 잃고 서성에 남은 제갈량에게 사마의의 대군이 몰려왔다. 제갈량은 성문을 활짝 열고 성루에서 거문고를 탔고, 복병을 의심한 사마의는 물러났다고 연의는 전한다.</t>
        </is>
      </c>
      <c r="H99" s="2">
        <f>COUNTIF(칸!$A$2:$A$416,A99)</f>
        <v/>
      </c>
      <c r="I99" s="2">
        <f>SUMIF(칸!$A$2:$A$416,A99,칸!$H$2:$H$416)</f>
        <v/>
      </c>
      <c r="J99" s="2">
        <f>INDEX(비용표!$A$13:$A$17,MATCH(I99,비용표!$B$13:$B$17,1))</f>
        <v/>
      </c>
      <c r="K99" s="2">
        <f>INDEX(비용표!$C$13:$C$17,MATCH(I99,비용표!$B$13:$B$17,1))</f>
        <v/>
      </c>
      <c r="L99" s="4" t="inlineStr">
        <is>
          <t>적진에 사마의 시 제갈량 HP+1</t>
        </is>
      </c>
      <c r="M99" s="2" t="inlineStr">
        <is>
          <t>능력치</t>
        </is>
      </c>
      <c r="N99" s="2" t="inlineStr">
        <is>
          <t>제갈량</t>
        </is>
      </c>
      <c r="O99" s="2" t="inlineStr">
        <is>
          <t>HP</t>
        </is>
      </c>
      <c r="P99" s="2" t="n">
        <v>1</v>
      </c>
      <c r="Q99" s="4" t="n"/>
      <c r="R99" s="2" t="n"/>
      <c r="S99" s="2" t="inlineStr">
        <is>
          <t>사마의</t>
        </is>
      </c>
      <c r="T99" s="2" t="n"/>
    </row>
    <row r="100" ht="32" customHeight="1">
      <c r="A100" s="2" t="n">
        <v>99</v>
      </c>
      <c r="B100" s="2" t="inlineStr">
        <is>
          <t>⑦ 북벌 (227~234)</t>
        </is>
      </c>
      <c r="C100" s="3" t="inlineStr">
        <is>
          <t>진창 수성</t>
        </is>
      </c>
      <c r="D100" s="2" t="inlineStr">
        <is>
          <t>陳倉守城</t>
        </is>
      </c>
      <c r="E100" s="4">
        <f>INDEX(칸!$I$2:$I$416,MATCH(A100,칸!$A$2:$A$416,1))</f>
        <v/>
      </c>
      <c r="F100" s="4" t="inlineStr">
        <is>
          <t>천여 명으로 수만의 촉군을 스무 날 넘게 막아 냈다.</t>
        </is>
      </c>
      <c r="G100" s="4" t="inlineStr">
        <is>
          <t>두 번째 북벌에서 제갈량은 진창성을 쳤다. 지키는 학소는 천여 명뿐이었으나 운제와 충차를 불화살과 돌로 막아 스무 날 넘게 버텼고, 제갈량은 군량이 떨어져 물러났다.</t>
        </is>
      </c>
      <c r="H100" s="2">
        <f>COUNTIF(칸!$A$2:$A$416,A100)</f>
        <v/>
      </c>
      <c r="I100" s="2">
        <f>SUMIF(칸!$A$2:$A$416,A100,칸!$H$2:$H$416)</f>
        <v/>
      </c>
      <c r="J100" s="2">
        <f>INDEX(비용표!$A$13:$A$17,MATCH(I100,비용표!$B$13:$B$17,1))</f>
        <v/>
      </c>
      <c r="K100" s="2">
        <f>INDEX(비용표!$C$13:$C$17,MATCH(I100,비용표!$B$13:$B$17,1))</f>
        <v/>
      </c>
      <c r="L100" s="4" t="inlineStr">
        <is>
          <t>학소 HP+2</t>
        </is>
      </c>
      <c r="M100" s="2" t="inlineStr">
        <is>
          <t>능력치</t>
        </is>
      </c>
      <c r="N100" s="2" t="inlineStr">
        <is>
          <t>학소</t>
        </is>
      </c>
      <c r="O100" s="2" t="inlineStr">
        <is>
          <t>HP</t>
        </is>
      </c>
      <c r="P100" s="2" t="n">
        <v>2</v>
      </c>
      <c r="Q100" s="4" t="n"/>
      <c r="R100" s="2" t="n"/>
      <c r="S100" s="2" t="n"/>
      <c r="T100" s="2" t="n"/>
    </row>
    <row r="101" ht="32" customHeight="1">
      <c r="A101" s="2" t="n">
        <v>100</v>
      </c>
      <c r="B101" s="2" t="inlineStr">
        <is>
          <t>⑦ 북벌 (227~234)</t>
        </is>
      </c>
      <c r="C101" s="3" t="inlineStr">
        <is>
          <t>목우유마</t>
        </is>
      </c>
      <c r="D101" s="2" t="inlineStr">
        <is>
          <t>木牛流馬</t>
        </is>
      </c>
      <c r="E101" s="4">
        <f>INDEX(칸!$I$2:$I$416,MATCH(A101,칸!$A$2:$A$416,1))</f>
        <v/>
      </c>
      <c r="F101" s="4" t="inlineStr">
        <is>
          <t>나무 소와 흐르는 말이 험한 촉도를 넘어 군량을 날랐다.</t>
        </is>
      </c>
      <c r="G101" s="4" t="inlineStr">
        <is>
          <t>험한 촉의 산길로 군량을 나르기 위해 제갈량은 목우와 유마를 만들었다. 이엄이 군량 수송을 맡았으나 비 때문에 늦어지자 거짓 보고를 올렸다가 실각했다.</t>
        </is>
      </c>
      <c r="H101" s="2">
        <f>COUNTIF(칸!$A$2:$A$416,A101)</f>
        <v/>
      </c>
      <c r="I101" s="2">
        <f>SUMIF(칸!$A$2:$A$416,A101,칸!$H$2:$H$416)</f>
        <v/>
      </c>
      <c r="J101" s="2">
        <f>INDEX(비용표!$A$13:$A$17,MATCH(I101,비용표!$B$13:$B$17,1))</f>
        <v/>
      </c>
      <c r="K101" s="2">
        <f>INDEX(비용표!$C$13:$C$17,MATCH(I101,비용표!$B$13:$B$17,1))</f>
        <v/>
      </c>
      <c r="L101" s="4" t="inlineStr">
        <is>
          <t>군량 충전 속도 +5%</t>
        </is>
      </c>
      <c r="M101" s="2" t="inlineStr">
        <is>
          <t>도시</t>
        </is>
      </c>
      <c r="N101" s="2" t="n"/>
      <c r="O101" s="2" t="n"/>
      <c r="P101" s="2" t="n">
        <v>5</v>
      </c>
      <c r="Q101" s="4" t="n"/>
      <c r="R101" s="2" t="n"/>
      <c r="S101" s="2" t="n"/>
      <c r="T101" s="2" t="inlineStr">
        <is>
          <t>grainRate</t>
        </is>
      </c>
    </row>
    <row r="102" ht="32" customHeight="1">
      <c r="A102" s="2" t="n">
        <v>101</v>
      </c>
      <c r="B102" s="2" t="inlineStr">
        <is>
          <t>⑦ 북벌 (227~234)</t>
        </is>
      </c>
      <c r="C102" s="3" t="inlineStr">
        <is>
          <t>목문도</t>
        </is>
      </c>
      <c r="D102" s="2" t="inlineStr">
        <is>
          <t>木門道</t>
        </is>
      </c>
      <c r="E102" s="4">
        <f>INDEX(칸!$I$2:$I$416,MATCH(A102,칸!$A$2:$A$416,1))</f>
        <v/>
      </c>
      <c r="F102" s="4" t="inlineStr">
        <is>
          <t>물러나는 촉군을 쫓던 장합은 목문도에서 쏟아진 화살에 쓰러졌다.</t>
        </is>
      </c>
      <c r="G102" s="4" t="inlineStr">
        <is>
          <t>네 번째 북벌에서 물러나는 촉군을 위의 명장 장합이 추격했다. 목문도의 좁은 길에서 매복한 쇠뇌가 일제히 쏟아지자, 장합은 무릎에 화살을 맞고 숨을 거두었다.</t>
        </is>
      </c>
      <c r="H102" s="2">
        <f>COUNTIF(칸!$A$2:$A$416,A102)</f>
        <v/>
      </c>
      <c r="I102" s="2">
        <f>SUMIF(칸!$A$2:$A$416,A102,칸!$H$2:$H$416)</f>
        <v/>
      </c>
      <c r="J102" s="2">
        <f>INDEX(비용표!$A$13:$A$17,MATCH(I102,비용표!$B$13:$B$17,1))</f>
        <v/>
      </c>
      <c r="K102" s="2">
        <f>INDEX(비용표!$C$13:$C$17,MATCH(I102,비용표!$B$13:$B$17,1))</f>
        <v/>
      </c>
      <c r="L102" s="4" t="inlineStr">
        <is>
          <t>장합 HP+1</t>
        </is>
      </c>
      <c r="M102" s="2" t="inlineStr">
        <is>
          <t>능력치</t>
        </is>
      </c>
      <c r="N102" s="2" t="inlineStr">
        <is>
          <t>장합</t>
        </is>
      </c>
      <c r="O102" s="2" t="inlineStr">
        <is>
          <t>HP</t>
        </is>
      </c>
      <c r="P102" s="2" t="n">
        <v>1</v>
      </c>
      <c r="Q102" s="4" t="n"/>
      <c r="R102" s="2" t="n"/>
      <c r="S102" s="2" t="n"/>
      <c r="T102" s="2" t="n"/>
    </row>
    <row r="103" ht="32" customHeight="1">
      <c r="A103" s="2" t="n">
        <v>102</v>
      </c>
      <c r="B103" s="2" t="inlineStr">
        <is>
          <t>⑦ 북벌 (227~234)</t>
        </is>
      </c>
      <c r="C103" s="3" t="inlineStr">
        <is>
          <t>반골</t>
        </is>
      </c>
      <c r="D103" s="2" t="inlineStr">
        <is>
          <t>反骨</t>
        </is>
      </c>
      <c r="E103" s="4">
        <f>INDEX(칸!$I$2:$I$416,MATCH(A103,칸!$A$2:$A$416,1))</f>
        <v/>
      </c>
      <c r="F103" s="4" t="inlineStr">
        <is>
          <t>「누가 감히 나를 죽이랴!」 — 「내가 죽인다!」</t>
        </is>
      </c>
      <c r="G103" s="4" t="inlineStr">
        <is>
          <t>제갈량은 위연에게 반골의 상이 있다고 늘 경계했다. 제갈량이 죽자 위연이 「누가 감히 나를 죽이랴」 외쳤고, 등 뒤에서 「내가 죽인다」며 마대가 그를 베었다고 연의는 전한다.</t>
        </is>
      </c>
      <c r="H103" s="2">
        <f>COUNTIF(칸!$A$2:$A$416,A103)</f>
        <v/>
      </c>
      <c r="I103" s="2">
        <f>SUMIF(칸!$A$2:$A$416,A103,칸!$H$2:$H$416)</f>
        <v/>
      </c>
      <c r="J103" s="2">
        <f>INDEX(비용표!$A$13:$A$17,MATCH(I103,비용표!$B$13:$B$17,1))</f>
        <v/>
      </c>
      <c r="K103" s="2">
        <f>INDEX(비용표!$C$13:$C$17,MATCH(I103,비용표!$B$13:$B$17,1))</f>
        <v/>
      </c>
      <c r="L103" s="4" t="inlineStr">
        <is>
          <t>적진에 위연 시 마대 무력+2</t>
        </is>
      </c>
      <c r="M103" s="2" t="inlineStr">
        <is>
          <t>능력치</t>
        </is>
      </c>
      <c r="N103" s="2" t="inlineStr">
        <is>
          <t>마대</t>
        </is>
      </c>
      <c r="O103" s="2" t="inlineStr">
        <is>
          <t>무력</t>
        </is>
      </c>
      <c r="P103" s="2" t="n">
        <v>2</v>
      </c>
      <c r="Q103" s="4" t="n"/>
      <c r="R103" s="2" t="n"/>
      <c r="S103" s="2" t="inlineStr">
        <is>
          <t>위연</t>
        </is>
      </c>
      <c r="T103" s="2" t="n"/>
    </row>
    <row r="104" ht="32" customHeight="1">
      <c r="A104" s="2" t="n">
        <v>103</v>
      </c>
      <c r="B104" s="2" t="inlineStr">
        <is>
          <t>⑦ 북벌 (227~234)</t>
        </is>
      </c>
      <c r="C104" s="3" t="inlineStr">
        <is>
          <t>상방곡의 비</t>
        </is>
      </c>
      <c r="D104" s="2" t="inlineStr">
        <is>
          <t>上方谷</t>
        </is>
      </c>
      <c r="E104" s="4">
        <f>INDEX(칸!$I$2:$I$416,MATCH(A104,칸!$A$2:$A$416,1))</f>
        <v/>
      </c>
      <c r="F104" s="4" t="inlineStr">
        <is>
          <t>골짜기에 갇힌 사마의 부자를 하늘의 소나기가 살렸다.</t>
        </is>
      </c>
      <c r="G104" s="4" t="inlineStr">
        <is>
          <t>상방곡으로 사마의 부자를 꾀어 들인 제갈량은 골짜기에 불을 질렀다. 그러나 갑자기 쏟아진 소나기에 불이 꺼져 사마의는 살아 나갔다. 「일은 사람이 꾀하나 이루는 것은 하늘이다.」</t>
        </is>
      </c>
      <c r="H104" s="2">
        <f>COUNTIF(칸!$A$2:$A$416,A104)</f>
        <v/>
      </c>
      <c r="I104" s="2">
        <f>SUMIF(칸!$A$2:$A$416,A104,칸!$H$2:$H$416)</f>
        <v/>
      </c>
      <c r="J104" s="2">
        <f>INDEX(비용표!$A$13:$A$17,MATCH(I104,비용표!$B$13:$B$17,1))</f>
        <v/>
      </c>
      <c r="K104" s="2">
        <f>INDEX(비용표!$C$13:$C$17,MATCH(I104,비용표!$B$13:$B$17,1))</f>
        <v/>
      </c>
      <c r="L104" s="4" t="inlineStr">
        <is>
          <t>사마사 HP+2</t>
        </is>
      </c>
      <c r="M104" s="2" t="inlineStr">
        <is>
          <t>능력치</t>
        </is>
      </c>
      <c r="N104" s="2" t="inlineStr">
        <is>
          <t>사마사</t>
        </is>
      </c>
      <c r="O104" s="2" t="inlineStr">
        <is>
          <t>HP</t>
        </is>
      </c>
      <c r="P104" s="2" t="n">
        <v>2</v>
      </c>
      <c r="Q104" s="4" t="n"/>
      <c r="R104" s="2" t="n"/>
      <c r="S104" s="2" t="n"/>
      <c r="T104" s="2" t="n"/>
    </row>
    <row r="105" ht="48" customHeight="1">
      <c r="A105" s="2" t="n">
        <v>104</v>
      </c>
      <c r="B105" s="2" t="inlineStr">
        <is>
          <t>⑦ 북벌 (227~234)</t>
        </is>
      </c>
      <c r="C105" s="3" t="inlineStr">
        <is>
          <t>오장원</t>
        </is>
      </c>
      <c r="D105" s="2" t="inlineStr">
        <is>
          <t>五丈原</t>
        </is>
      </c>
      <c r="E105" s="4">
        <f>INDEX(칸!$I$2:$I$416,MATCH(A105,칸!$A$2:$A$416,1))</f>
        <v/>
      </c>
      <c r="F105" s="4" t="inlineStr">
        <is>
          <t>죽은 제갈량이 산 중달을 달아나게 했다.</t>
        </is>
      </c>
      <c r="G105" s="4" t="inlineStr">
        <is>
          <t>오장원에서 제갈량이 병으로 죽자 촉군은 물러났다. 사마의가 쫓아오자 촉군은 깃발을 돌려 북을 울렸고, 제갈량의 목상을 본 사마의는 놀라 달아났다 — 「죽은 제갈량이 산 중달을 달아나게 했다.」</t>
        </is>
      </c>
      <c r="H105" s="2">
        <f>COUNTIF(칸!$A$2:$A$416,A105)</f>
        <v/>
      </c>
      <c r="I105" s="2">
        <f>SUMIF(칸!$A$2:$A$416,A105,칸!$H$2:$H$416)</f>
        <v/>
      </c>
      <c r="J105" s="2">
        <f>INDEX(비용표!$A$13:$A$17,MATCH(I105,비용표!$B$13:$B$17,1))</f>
        <v/>
      </c>
      <c r="K105" s="2">
        <f>INDEX(비용표!$C$13:$C$17,MATCH(I105,비용표!$B$13:$B$17,1))</f>
        <v/>
      </c>
      <c r="L105" s="4" t="inlineStr">
        <is>
          <t>제갈량 함께 참전, 적진에 사마의 시 진영 SP +1로 시작</t>
        </is>
      </c>
      <c r="M105" s="2" t="inlineStr">
        <is>
          <t>진영SP</t>
        </is>
      </c>
      <c r="N105" s="2" t="n"/>
      <c r="O105" s="2" t="n"/>
      <c r="P105" s="2" t="n">
        <v>1</v>
      </c>
      <c r="Q105" s="4" t="inlineStr">
        <is>
          <t>제갈량</t>
        </is>
      </c>
      <c r="R105" s="2" t="n"/>
      <c r="S105" s="2" t="inlineStr">
        <is>
          <t>사마의</t>
        </is>
      </c>
      <c r="T105" s="2" t="n"/>
    </row>
    <row r="106" ht="32" customHeight="1">
      <c r="A106" s="2" t="n">
        <v>105</v>
      </c>
      <c r="B106" s="2" t="inlineStr">
        <is>
          <t>⑦ 북벌 (227~234)</t>
        </is>
      </c>
      <c r="C106" s="3" t="inlineStr">
        <is>
          <t>고평릉</t>
        </is>
      </c>
      <c r="D106" s="2" t="inlineStr">
        <is>
          <t>高平陵</t>
        </is>
      </c>
      <c r="E106" s="4">
        <f>INDEX(칸!$I$2:$I$416,MATCH(A106,칸!$A$2:$A$416,1))</f>
        <v/>
      </c>
      <c r="F106" s="4" t="inlineStr">
        <is>
          <t>병든 척 엎드려 있던 늙은 이리가 일어났다.</t>
        </is>
      </c>
      <c r="G106" s="4" t="inlineStr">
        <is>
          <t>조상에게 밀려난 사마의는 병든 척 엎드려 지냈다. 조상이 황제를 모시고 고평릉 참배를 나간 사이 두 아들과 함께 낙양을 장악했고, 위의 실권은 사마씨에게 넘어갔다.</t>
        </is>
      </c>
      <c r="H106" s="2">
        <f>COUNTIF(칸!$A$2:$A$416,A106)</f>
        <v/>
      </c>
      <c r="I106" s="2">
        <f>SUMIF(칸!$A$2:$A$416,A106,칸!$H$2:$H$416)</f>
        <v/>
      </c>
      <c r="J106" s="2">
        <f>INDEX(비용표!$A$13:$A$17,MATCH(I106,비용표!$B$13:$B$17,1))</f>
        <v/>
      </c>
      <c r="K106" s="2">
        <f>INDEX(비용표!$C$13:$C$17,MATCH(I106,비용표!$B$13:$B$17,1))</f>
        <v/>
      </c>
      <c r="L106" s="4" t="inlineStr">
        <is>
          <t>사마사·사마소 함께 참전 시 사마의 HP+2</t>
        </is>
      </c>
      <c r="M106" s="2" t="inlineStr">
        <is>
          <t>능력치</t>
        </is>
      </c>
      <c r="N106" s="2" t="inlineStr">
        <is>
          <t>사마의</t>
        </is>
      </c>
      <c r="O106" s="2" t="inlineStr">
        <is>
          <t>HP</t>
        </is>
      </c>
      <c r="P106" s="2" t="n">
        <v>2</v>
      </c>
      <c r="Q106" s="4" t="inlineStr">
        <is>
          <t>사마사·사마소</t>
        </is>
      </c>
      <c r="R106" s="2" t="n"/>
      <c r="S106" s="2" t="n"/>
      <c r="T106" s="2" t="n"/>
    </row>
    <row r="107" ht="32" customHeight="1">
      <c r="A107" s="2" t="n">
        <v>106</v>
      </c>
      <c r="B107" s="2" t="inlineStr">
        <is>
          <t>⑦ 북벌 (227~234)</t>
        </is>
      </c>
      <c r="C107" s="3" t="inlineStr">
        <is>
          <t>구벌중원</t>
        </is>
      </c>
      <c r="D107" s="2" t="inlineStr">
        <is>
          <t>九伐中原</t>
        </is>
      </c>
      <c r="E107" s="4">
        <f>INDEX(칸!$I$2:$I$416,MATCH(A107,칸!$A$2:$A$416,1))</f>
        <v/>
      </c>
      <c r="F107" s="4" t="inlineStr">
        <is>
          <t>스승의 뜻을 이어 강유는 아홉 번 중원을 쳤다.</t>
        </is>
      </c>
      <c r="G107" s="4" t="inlineStr">
        <is>
          <t>제갈량이 죽은 뒤 강유는 스승의 뜻을 이어 여러 차례 북벌에 나섰다. 연의는 그 북벌을 「구벌중원」이라 부른다. 촉의 힘은 점점 줄어들었지만 강유는 마지막까지 멈추지 않았다.</t>
        </is>
      </c>
      <c r="H107" s="2">
        <f>COUNTIF(칸!$A$2:$A$416,A107)</f>
        <v/>
      </c>
      <c r="I107" s="2">
        <f>SUMIF(칸!$A$2:$A$416,A107,칸!$H$2:$H$416)</f>
        <v/>
      </c>
      <c r="J107" s="2">
        <f>INDEX(비용표!$A$13:$A$17,MATCH(I107,비용표!$B$13:$B$17,1))</f>
        <v/>
      </c>
      <c r="K107" s="2">
        <f>INDEX(비용표!$C$13:$C$17,MATCH(I107,비용표!$B$13:$B$17,1))</f>
        <v/>
      </c>
      <c r="L107" s="4" t="inlineStr">
        <is>
          <t>강유 HP+1</t>
        </is>
      </c>
      <c r="M107" s="2" t="inlineStr">
        <is>
          <t>능력치</t>
        </is>
      </c>
      <c r="N107" s="2" t="inlineStr">
        <is>
          <t>강유</t>
        </is>
      </c>
      <c r="O107" s="2" t="inlineStr">
        <is>
          <t>HP</t>
        </is>
      </c>
      <c r="P107" s="2" t="n">
        <v>1</v>
      </c>
      <c r="Q107" s="4" t="n"/>
      <c r="R107" s="2" t="n"/>
      <c r="S107" s="2" t="n"/>
      <c r="T107" s="2" t="n"/>
    </row>
    <row r="108" ht="32" customHeight="1">
      <c r="A108" s="2" t="n">
        <v>107</v>
      </c>
      <c r="B108" s="2" t="inlineStr">
        <is>
          <t>⑦ 북벌 (227~234)</t>
        </is>
      </c>
      <c r="C108" s="3" t="inlineStr">
        <is>
          <t>촉의 사상</t>
        </is>
      </c>
      <c r="D108" s="2" t="inlineStr">
        <is>
          <t>蜀漢四相</t>
        </is>
      </c>
      <c r="E108" s="4">
        <f>INDEX(칸!$I$2:$I$416,MATCH(A108,칸!$A$2:$A$416,1))</f>
        <v/>
      </c>
      <c r="F108" s="4" t="inlineStr">
        <is>
          <t>제갈량 뒤의 촉을 장완과 비위가 지탱했다.</t>
        </is>
      </c>
      <c r="G108" s="4" t="inlineStr">
        <is>
          <t>제갈량은 죽기 전에 장완을, 장완 다음으로는 비위를 후계로 정했다. 제갈량 · 장완 · 비위 · 동윤을 촉의 네 재상이라 불렀고, 그들이 있는 동안 촉은 안정되었다.</t>
        </is>
      </c>
      <c r="H108" s="2">
        <f>COUNTIF(칸!$A$2:$A$416,A108)</f>
        <v/>
      </c>
      <c r="I108" s="2">
        <f>SUMIF(칸!$A$2:$A$416,A108,칸!$H$2:$H$416)</f>
        <v/>
      </c>
      <c r="J108" s="2">
        <f>INDEX(비용표!$A$13:$A$17,MATCH(I108,비용표!$B$13:$B$17,1))</f>
        <v/>
      </c>
      <c r="K108" s="2">
        <f>INDEX(비용표!$C$13:$C$17,MATCH(I108,비용표!$B$13:$B$17,1))</f>
        <v/>
      </c>
      <c r="L108" s="4" t="inlineStr">
        <is>
          <t>비위 함께 참전 시 장완 지력+1</t>
        </is>
      </c>
      <c r="M108" s="2" t="inlineStr">
        <is>
          <t>능력치</t>
        </is>
      </c>
      <c r="N108" s="2" t="inlineStr">
        <is>
          <t>장완</t>
        </is>
      </c>
      <c r="O108" s="2" t="inlineStr">
        <is>
          <t>지력</t>
        </is>
      </c>
      <c r="P108" s="2" t="n">
        <v>1</v>
      </c>
      <c r="Q108" s="4" t="inlineStr">
        <is>
          <t>비위</t>
        </is>
      </c>
      <c r="R108" s="2" t="n"/>
      <c r="S108" s="2" t="n"/>
      <c r="T108" s="2" t="n"/>
    </row>
    <row r="109" ht="32" customHeight="1">
      <c r="A109" s="2" t="n">
        <v>108</v>
      </c>
      <c r="B109" s="2" t="inlineStr">
        <is>
          <t>⑧ 열전</t>
        </is>
      </c>
      <c r="C109" s="3" t="inlineStr">
        <is>
          <t>오호대장군</t>
        </is>
      </c>
      <c r="D109" s="2" t="inlineStr">
        <is>
          <t>五虎大將</t>
        </is>
      </c>
      <c r="E109" s="4">
        <f>INDEX(칸!$I$2:$I$416,MATCH(A109,칸!$A$2:$A$416,1))</f>
        <v/>
      </c>
      <c r="F109" s="4" t="inlineStr">
        <is>
          <t>관우 · 장비 · 조운 · 마초 · 황충. 촉한의 다섯 호랑이.</t>
        </is>
      </c>
      <c r="G109" s="4" t="inlineStr">
        <is>
          <t>한중왕이 된 유비는 관우 · 장비 · 마초 · 황충을 사방의 장군으로 세웠다. 연의는 여기에 조운을 더해 「오호대장군」이라 불렀다. 촉한의 다섯 호랑이다.</t>
        </is>
      </c>
      <c r="H109" s="2">
        <f>COUNTIF(칸!$A$2:$A$416,A109)</f>
        <v/>
      </c>
      <c r="I109" s="2">
        <f>SUMIF(칸!$A$2:$A$416,A109,칸!$H$2:$H$416)</f>
        <v/>
      </c>
      <c r="J109" s="2">
        <f>INDEX(비용표!$A$13:$A$17,MATCH(I109,비용표!$B$13:$B$17,1))</f>
        <v/>
      </c>
      <c r="K109" s="2">
        <f>INDEX(비용표!$C$13:$C$17,MATCH(I109,비용표!$B$13:$B$17,1))</f>
        <v/>
      </c>
      <c r="L109" s="4" t="inlineStr">
        <is>
          <t>관우·장비·조운·마초·황충 중 3명 이상 함께 참전 시 진영 SP +1로 시작</t>
        </is>
      </c>
      <c r="M109" s="2" t="inlineStr">
        <is>
          <t>진영SP</t>
        </is>
      </c>
      <c r="N109" s="2" t="n"/>
      <c r="O109" s="2" t="n"/>
      <c r="P109" s="2" t="n">
        <v>1</v>
      </c>
      <c r="Q109" s="4" t="inlineStr">
        <is>
          <t>관우·장비·조운·마초·황충</t>
        </is>
      </c>
      <c r="R109" s="2" t="n">
        <v>3</v>
      </c>
      <c r="S109" s="2" t="n"/>
      <c r="T109" s="2" t="n"/>
    </row>
    <row r="110" ht="32" customHeight="1">
      <c r="A110" s="2" t="n">
        <v>109</v>
      </c>
      <c r="B110" s="2" t="inlineStr">
        <is>
          <t>⑧ 열전</t>
        </is>
      </c>
      <c r="C110" s="3" t="inlineStr">
        <is>
          <t>오자양장</t>
        </is>
      </c>
      <c r="D110" s="2" t="inlineStr">
        <is>
          <t>五子良將</t>
        </is>
      </c>
      <c r="E110" s="4">
        <f>INDEX(칸!$I$2:$I$416,MATCH(A110,칸!$A$2:$A$416,1))</f>
        <v/>
      </c>
      <c r="F110" s="4" t="inlineStr">
        <is>
          <t>조조를 받친 다섯 명장.</t>
        </is>
      </c>
      <c r="G110" s="4" t="inlineStr">
        <is>
          <t>장료 · 악진 · 우금 · 장합 · 서황 — 『삼국지』는 이 다섯을 한 전에 묶었다. 조조의 정벌마다 선봉과 후위를 맡은, 조조가 가장 믿은 장수들이다.</t>
        </is>
      </c>
      <c r="H110" s="2">
        <f>COUNTIF(칸!$A$2:$A$416,A110)</f>
        <v/>
      </c>
      <c r="I110" s="2">
        <f>SUMIF(칸!$A$2:$A$416,A110,칸!$H$2:$H$416)</f>
        <v/>
      </c>
      <c r="J110" s="2">
        <f>INDEX(비용표!$A$13:$A$17,MATCH(I110,비용표!$B$13:$B$17,1))</f>
        <v/>
      </c>
      <c r="K110" s="2">
        <f>INDEX(비용표!$C$13:$C$17,MATCH(I110,비용표!$B$13:$B$17,1))</f>
        <v/>
      </c>
      <c r="L110" s="4" t="inlineStr">
        <is>
          <t>장료·악진·우금·장합·서황 중 3명 이상 함께 참전 시 진영 SP +1로 시작</t>
        </is>
      </c>
      <c r="M110" s="2" t="inlineStr">
        <is>
          <t>진영SP</t>
        </is>
      </c>
      <c r="N110" s="2" t="n"/>
      <c r="O110" s="2" t="n"/>
      <c r="P110" s="2" t="n">
        <v>1</v>
      </c>
      <c r="Q110" s="4" t="inlineStr">
        <is>
          <t>장료·악진·우금·장합·서황</t>
        </is>
      </c>
      <c r="R110" s="2" t="n">
        <v>3</v>
      </c>
      <c r="S110" s="2" t="n"/>
      <c r="T110" s="2" t="n"/>
    </row>
    <row r="111" ht="32" customHeight="1">
      <c r="A111" s="2" t="n">
        <v>110</v>
      </c>
      <c r="B111" s="2" t="inlineStr">
        <is>
          <t>⑧ 열전</t>
        </is>
      </c>
      <c r="C111" s="3" t="inlineStr">
        <is>
          <t>동오 4대 도독</t>
        </is>
      </c>
      <c r="D111" s="2" t="inlineStr">
        <is>
          <t>東吳四都督</t>
        </is>
      </c>
      <c r="E111" s="4">
        <f>INDEX(칸!$I$2:$I$416,MATCH(A111,칸!$A$2:$A$416,1))</f>
        <v/>
      </c>
      <c r="F111" s="4" t="inlineStr">
        <is>
          <t>주유 · 노숙 · 여몽 · 육손. 강동의 병권은 이들의 손을 거쳐 갔다.</t>
        </is>
      </c>
      <c r="G111" s="4" t="inlineStr">
        <is>
          <t>강동의 병권은 주유에서 노숙으로, 노숙에서 여몽으로, 여몽에서 육손으로 이어졌다. 적벽 · 형주 · 이릉 — 오의 큰 싸움은 모두 이 네 도독의 손으로 치렀다.</t>
        </is>
      </c>
      <c r="H111" s="2">
        <f>COUNTIF(칸!$A$2:$A$416,A111)</f>
        <v/>
      </c>
      <c r="I111" s="2">
        <f>SUMIF(칸!$A$2:$A$416,A111,칸!$H$2:$H$416)</f>
        <v/>
      </c>
      <c r="J111" s="2">
        <f>INDEX(비용표!$A$13:$A$17,MATCH(I111,비용표!$B$13:$B$17,1))</f>
        <v/>
      </c>
      <c r="K111" s="2">
        <f>INDEX(비용표!$C$13:$C$17,MATCH(I111,비용표!$B$13:$B$17,1))</f>
        <v/>
      </c>
      <c r="L111" s="4" t="inlineStr">
        <is>
          <t>주유·노숙·여몽·육손 중 2명 이상 함께 참전 시 주유·노숙·여몽·육손 MP+1</t>
        </is>
      </c>
      <c r="M111" s="2" t="inlineStr">
        <is>
          <t>능력치</t>
        </is>
      </c>
      <c r="N111" s="2" t="inlineStr">
        <is>
          <t>주유·노숙·여몽·육손</t>
        </is>
      </c>
      <c r="O111" s="2" t="inlineStr">
        <is>
          <t>MP</t>
        </is>
      </c>
      <c r="P111" s="2" t="n">
        <v>1</v>
      </c>
      <c r="Q111" s="4" t="inlineStr">
        <is>
          <t>주유·노숙·여몽·육손</t>
        </is>
      </c>
      <c r="R111" s="2" t="n">
        <v>2</v>
      </c>
      <c r="S111" s="2" t="n"/>
      <c r="T111" s="2" t="n"/>
    </row>
    <row r="112" ht="32" customHeight="1">
      <c r="A112" s="2" t="n">
        <v>111</v>
      </c>
      <c r="B112" s="2" t="inlineStr">
        <is>
          <t>⑧ 열전</t>
        </is>
      </c>
      <c r="C112" s="3" t="inlineStr">
        <is>
          <t>위의 모사들</t>
        </is>
      </c>
      <c r="D112" s="2" t="inlineStr">
        <is>
          <t>魏之謀士</t>
        </is>
      </c>
      <c r="E112" s="4">
        <f>INDEX(칸!$I$2:$I$416,MATCH(A112,칸!$A$2:$A$416,1))</f>
        <v/>
      </c>
      <c r="F112" s="4" t="inlineStr">
        <is>
          <t>조조의 막하에는 천하의 지모가 모여들었다.</t>
        </is>
      </c>
      <c r="G112" s="4" t="inlineStr">
        <is>
          <t>순욱 · 순유 · 곽가 · 정욱 · 가후, 그리고 사마의. 조조의 막하에는 천하의 지모가 모여들었고, 조조는 그들의 말을 듣고 결단할 줄 알았다.</t>
        </is>
      </c>
      <c r="H112" s="2">
        <f>COUNTIF(칸!$A$2:$A$416,A112)</f>
        <v/>
      </c>
      <c r="I112" s="2">
        <f>SUMIF(칸!$A$2:$A$416,A112,칸!$H$2:$H$416)</f>
        <v/>
      </c>
      <c r="J112" s="2">
        <f>INDEX(비용표!$A$13:$A$17,MATCH(I112,비용표!$B$13:$B$17,1))</f>
        <v/>
      </c>
      <c r="K112" s="2">
        <f>INDEX(비용표!$C$13:$C$17,MATCH(I112,비용표!$B$13:$B$17,1))</f>
        <v/>
      </c>
      <c r="L112" s="4" t="inlineStr">
        <is>
          <t>순욱·순유·곽가·가후·사마의 중 3명 이상 함께 참전 시 순욱·곽가·가후·사마의 MP+1</t>
        </is>
      </c>
      <c r="M112" s="2" t="inlineStr">
        <is>
          <t>능력치</t>
        </is>
      </c>
      <c r="N112" s="2" t="inlineStr">
        <is>
          <t>순욱·곽가·가후·사마의</t>
        </is>
      </c>
      <c r="O112" s="2" t="inlineStr">
        <is>
          <t>MP</t>
        </is>
      </c>
      <c r="P112" s="2" t="n">
        <v>1</v>
      </c>
      <c r="Q112" s="4" t="inlineStr">
        <is>
          <t>순욱·순유·곽가·가후·사마의</t>
        </is>
      </c>
      <c r="R112" s="2" t="n">
        <v>3</v>
      </c>
      <c r="S112" s="2" t="n"/>
      <c r="T112" s="2" t="n"/>
    </row>
    <row r="113" ht="32" customHeight="1">
      <c r="A113" s="2" t="n">
        <v>112</v>
      </c>
      <c r="B113" s="2" t="inlineStr">
        <is>
          <t>⑧ 열전</t>
        </is>
      </c>
      <c r="C113" s="3" t="inlineStr">
        <is>
          <t>강동 호신</t>
        </is>
      </c>
      <c r="D113" s="2" t="inlineStr">
        <is>
          <t>江東虎臣</t>
        </is>
      </c>
      <c r="E113" s="4">
        <f>INDEX(칸!$I$2:$I$416,MATCH(A113,칸!$A$2:$A$416,1))</f>
        <v/>
      </c>
      <c r="F113" s="4" t="inlineStr">
        <is>
          <t>손씨 3대를 지킨 강동의 장수들.</t>
        </is>
      </c>
      <c r="G113" s="4" t="inlineStr">
        <is>
          <t>정보 · 황개 · 한당은 손견 때부터, 주태 · 장흠 · 진무는 손책 때부터, 감녕 · 능통 · 서성 · 반장 · 정봉은 손권 때부터 강동을 지켰다. 손씨 3대의 호랑이 같은 신하들이다.</t>
        </is>
      </c>
      <c r="H113" s="2">
        <f>COUNTIF(칸!$A$2:$A$416,A113)</f>
        <v/>
      </c>
      <c r="I113" s="2">
        <f>SUMIF(칸!$A$2:$A$416,A113,칸!$H$2:$H$416)</f>
        <v/>
      </c>
      <c r="J113" s="2">
        <f>INDEX(비용표!$A$13:$A$17,MATCH(I113,비용표!$B$13:$B$17,1))</f>
        <v/>
      </c>
      <c r="K113" s="2">
        <f>INDEX(비용표!$C$13:$C$17,MATCH(I113,비용표!$B$13:$B$17,1))</f>
        <v/>
      </c>
      <c r="L113" s="4" t="inlineStr">
        <is>
          <t>도적떼 약탈률 −2%p (도적 1명당 10% → 8%)</t>
        </is>
      </c>
      <c r="M113" s="2" t="inlineStr">
        <is>
          <t>도시</t>
        </is>
      </c>
      <c r="N113" s="2" t="n"/>
      <c r="O113" s="2" t="n"/>
      <c r="P113" s="2" t="n">
        <v>2</v>
      </c>
      <c r="Q113" s="4" t="n"/>
      <c r="R113" s="2" t="n"/>
      <c r="S113" s="2" t="n"/>
      <c r="T113" s="2" t="inlineStr">
        <is>
          <t>raidLoot</t>
        </is>
      </c>
    </row>
    <row r="114" ht="32" customHeight="1">
      <c r="A114" s="2" t="n">
        <v>113</v>
      </c>
      <c r="B114" s="2" t="inlineStr">
        <is>
          <t>⑧ 열전</t>
        </is>
      </c>
      <c r="C114" s="3" t="inlineStr">
        <is>
          <t>주태의 흉터</t>
        </is>
      </c>
      <c r="D114" s="2" t="inlineStr">
        <is>
          <t>周泰之傷</t>
        </is>
      </c>
      <c r="E114" s="4">
        <f>INDEX(칸!$I$2:$I$416,MATCH(A114,칸!$A$2:$A$416,1))</f>
        <v/>
      </c>
      <c r="F114" s="4" t="inlineStr">
        <is>
          <t>손권은 주태의 옷을 벗기고 흉터 하나하나에 술을 따랐다.</t>
        </is>
      </c>
      <c r="G114" s="4" t="inlineStr">
        <is>
          <t>주태는 몇 번이나 몸을 던져 손권을 구했다. 손권은 잔치에서 주태의 옷을 벗기고, 흉터 하나하나를 가리키며 그 사연을 묻고 잔을 따랐다.</t>
        </is>
      </c>
      <c r="H114" s="2">
        <f>COUNTIF(칸!$A$2:$A$416,A114)</f>
        <v/>
      </c>
      <c r="I114" s="2">
        <f>SUMIF(칸!$A$2:$A$416,A114,칸!$H$2:$H$416)</f>
        <v/>
      </c>
      <c r="J114" s="2">
        <f>INDEX(비용표!$A$13:$A$17,MATCH(I114,비용표!$B$13:$B$17,1))</f>
        <v/>
      </c>
      <c r="K114" s="2">
        <f>INDEX(비용표!$C$13:$C$17,MATCH(I114,비용표!$B$13:$B$17,1))</f>
        <v/>
      </c>
      <c r="L114" s="4" t="inlineStr">
        <is>
          <t>손권 함께 참전 시 주태 HP+2</t>
        </is>
      </c>
      <c r="M114" s="2" t="inlineStr">
        <is>
          <t>능력치</t>
        </is>
      </c>
      <c r="N114" s="2" t="inlineStr">
        <is>
          <t>주태</t>
        </is>
      </c>
      <c r="O114" s="2" t="inlineStr">
        <is>
          <t>HP</t>
        </is>
      </c>
      <c r="P114" s="2" t="n">
        <v>2</v>
      </c>
      <c r="Q114" s="4" t="inlineStr">
        <is>
          <t>손권</t>
        </is>
      </c>
      <c r="R114" s="2" t="n"/>
      <c r="S114" s="2" t="n"/>
      <c r="T114" s="2" t="n"/>
    </row>
    <row r="115" ht="32" customHeight="1">
      <c r="A115" s="2" t="n">
        <v>114</v>
      </c>
      <c r="B115" s="2" t="inlineStr">
        <is>
          <t>⑧ 열전</t>
        </is>
      </c>
      <c r="C115" s="3" t="inlineStr">
        <is>
          <t>하후 형제</t>
        </is>
      </c>
      <c r="D115" s="2" t="inlineStr">
        <is>
          <t>夏侯兄弟</t>
        </is>
      </c>
      <c r="E115" s="4">
        <f>INDEX(칸!$I$2:$I$416,MATCH(A115,칸!$A$2:$A$416,1))</f>
        <v/>
      </c>
      <c r="F115" s="4" t="inlineStr">
        <is>
          <t>조조의 기병은 언제나 두 하후의 손에 있었다.</t>
        </is>
      </c>
      <c r="G115" s="4" t="inlineStr">
        <is>
          <t>하후돈과 하후연은 조조의 친족으로, 거병 때부터 함께한 가장 오랜 장수들이다. 하후돈은 수비와 후방을, 하후연은 빠른 기병을 맡아 조조 군의 두 날개가 되었다.</t>
        </is>
      </c>
      <c r="H115" s="2">
        <f>COUNTIF(칸!$A$2:$A$416,A115)</f>
        <v/>
      </c>
      <c r="I115" s="2">
        <f>SUMIF(칸!$A$2:$A$416,A115,칸!$H$2:$H$416)</f>
        <v/>
      </c>
      <c r="J115" s="2">
        <f>INDEX(비용표!$A$13:$A$17,MATCH(I115,비용표!$B$13:$B$17,1))</f>
        <v/>
      </c>
      <c r="K115" s="2">
        <f>INDEX(비용표!$C$13:$C$17,MATCH(I115,비용표!$B$13:$B$17,1))</f>
        <v/>
      </c>
      <c r="L115" s="4" t="inlineStr">
        <is>
          <t>하후돈 함께 참전 시 하후연 무력+1</t>
        </is>
      </c>
      <c r="M115" s="2" t="inlineStr">
        <is>
          <t>능력치</t>
        </is>
      </c>
      <c r="N115" s="2" t="inlineStr">
        <is>
          <t>하후연</t>
        </is>
      </c>
      <c r="O115" s="2" t="inlineStr">
        <is>
          <t>무력</t>
        </is>
      </c>
      <c r="P115" s="2" t="n">
        <v>1</v>
      </c>
      <c r="Q115" s="4" t="inlineStr">
        <is>
          <t>하후돈</t>
        </is>
      </c>
      <c r="R115" s="2" t="n"/>
      <c r="S115" s="2" t="n"/>
      <c r="T115" s="2" t="n"/>
    </row>
    <row r="116" ht="32" customHeight="1">
      <c r="A116" s="2" t="n">
        <v>115</v>
      </c>
      <c r="B116" s="2" t="inlineStr">
        <is>
          <t>⑧ 열전</t>
        </is>
      </c>
      <c r="C116" s="3" t="inlineStr">
        <is>
          <t>마씨오상 백미최량</t>
        </is>
      </c>
      <c r="D116" s="2" t="inlineStr">
        <is>
          <t>白眉最良</t>
        </is>
      </c>
      <c r="E116" s="4">
        <f>INDEX(칸!$I$2:$I$416,MATCH(A116,칸!$A$2:$A$416,1))</f>
        <v/>
      </c>
      <c r="F116" s="4" t="inlineStr">
        <is>
          <t>마씨 다섯 형제 중 눈썹 흰 마량이 가장 뛰어났다.</t>
        </is>
      </c>
      <c r="G116" s="4" t="inlineStr">
        <is>
          <t>양양의 마씨 다섯 형제는 자에 모두 「상(常)」 자가 들어 「마씨오상」이라 불렸다. 그중 눈썹에 흰 털이 섞인 마량이 가장 뛰어나 「백미가 가장 낫다」는 말이 생겼다.</t>
        </is>
      </c>
      <c r="H116" s="2">
        <f>COUNTIF(칸!$A$2:$A$416,A116)</f>
        <v/>
      </c>
      <c r="I116" s="2">
        <f>SUMIF(칸!$A$2:$A$416,A116,칸!$H$2:$H$416)</f>
        <v/>
      </c>
      <c r="J116" s="2">
        <f>INDEX(비용표!$A$13:$A$17,MATCH(I116,비용표!$B$13:$B$17,1))</f>
        <v/>
      </c>
      <c r="K116" s="2">
        <f>INDEX(비용표!$C$13:$C$17,MATCH(I116,비용표!$B$13:$B$17,1))</f>
        <v/>
      </c>
      <c r="L116" s="4" t="inlineStr">
        <is>
          <t>마속 함께 참전 시 마량 HP+1</t>
        </is>
      </c>
      <c r="M116" s="2" t="inlineStr">
        <is>
          <t>능력치</t>
        </is>
      </c>
      <c r="N116" s="2" t="inlineStr">
        <is>
          <t>마량</t>
        </is>
      </c>
      <c r="O116" s="2" t="inlineStr">
        <is>
          <t>HP</t>
        </is>
      </c>
      <c r="P116" s="2" t="n">
        <v>1</v>
      </c>
      <c r="Q116" s="4" t="inlineStr">
        <is>
          <t>마속</t>
        </is>
      </c>
      <c r="R116" s="2" t="n"/>
      <c r="S116" s="2" t="n"/>
      <c r="T116" s="2" t="n"/>
    </row>
    <row r="117" ht="32" customHeight="1">
      <c r="A117" s="2" t="n">
        <v>116</v>
      </c>
      <c r="B117" s="2" t="inlineStr">
        <is>
          <t>⑧ 열전</t>
        </is>
      </c>
      <c r="C117" s="3" t="inlineStr">
        <is>
          <t>서량의 마씨</t>
        </is>
      </c>
      <c r="D117" s="2" t="inlineStr">
        <is>
          <t>西涼馬氏</t>
        </is>
      </c>
      <c r="E117" s="4">
        <f>INDEX(칸!$I$2:$I$416,MATCH(A117,칸!$A$2:$A$416,1))</f>
        <v/>
      </c>
      <c r="F117" s="4" t="inlineStr">
        <is>
          <t>서량의 마씨는 대대로 강인과 함께 말을 달렸다.</t>
        </is>
      </c>
      <c r="G117" s="4" t="inlineStr">
        <is>
          <t>마등은 강족과 피를 나눈 서량의 군벌로, 강인들의 존경을 받았다. 아들 마초와 조카 마대가 그 기병을 이어받아 서량의 이름을 천하에 떨쳤다.</t>
        </is>
      </c>
      <c r="H117" s="2">
        <f>COUNTIF(칸!$A$2:$A$416,A117)</f>
        <v/>
      </c>
      <c r="I117" s="2">
        <f>SUMIF(칸!$A$2:$A$416,A117,칸!$H$2:$H$416)</f>
        <v/>
      </c>
      <c r="J117" s="2">
        <f>INDEX(비용표!$A$13:$A$17,MATCH(I117,비용표!$B$13:$B$17,1))</f>
        <v/>
      </c>
      <c r="K117" s="2">
        <f>INDEX(비용표!$C$13:$C$17,MATCH(I117,비용표!$B$13:$B$17,1))</f>
        <v/>
      </c>
      <c r="L117" s="4" t="inlineStr">
        <is>
          <t>마등 통솔+1</t>
        </is>
      </c>
      <c r="M117" s="2" t="inlineStr">
        <is>
          <t>능력치</t>
        </is>
      </c>
      <c r="N117" s="2" t="inlineStr">
        <is>
          <t>마등</t>
        </is>
      </c>
      <c r="O117" s="2" t="inlineStr">
        <is>
          <t>통솔</t>
        </is>
      </c>
      <c r="P117" s="2" t="n">
        <v>1</v>
      </c>
      <c r="Q117" s="4" t="n"/>
      <c r="R117" s="2" t="n"/>
      <c r="S117" s="2" t="n"/>
      <c r="T117" s="2" t="n"/>
    </row>
    <row r="118" ht="32" customHeight="1">
      <c r="A118" s="2" t="n">
        <v>117</v>
      </c>
      <c r="B118" s="2" t="inlineStr">
        <is>
          <t>⑧ 열전</t>
        </is>
      </c>
      <c r="C118" s="3" t="inlineStr">
        <is>
          <t>형주의 유표</t>
        </is>
      </c>
      <c r="D118" s="2" t="inlineStr">
        <is>
          <t>荊州劉表</t>
        </is>
      </c>
      <c r="E118" s="4">
        <f>INDEX(칸!$I$2:$I$416,MATCH(A118,칸!$A$2:$A$416,1))</f>
        <v/>
      </c>
      <c r="F118" s="4" t="inlineStr">
        <is>
          <t>팔준의 하나로 불린 유표는 형주를 지켰으나 아들 둘을 두고 망설였다.</t>
        </is>
      </c>
      <c r="G118" s="4" t="inlineStr">
        <is>
          <t>유표는 팔준의 하나로 이름난 선비로, 형주를 다스려 난세의 피난처로 만들었다. 그러나 장자 유기와 차자 유종 사이에서 후계를 정하지 못해, 죽은 뒤 형주는 조조에게 넘어갔다.</t>
        </is>
      </c>
      <c r="H118" s="2">
        <f>COUNTIF(칸!$A$2:$A$416,A118)</f>
        <v/>
      </c>
      <c r="I118" s="2">
        <f>SUMIF(칸!$A$2:$A$416,A118,칸!$H$2:$H$416)</f>
        <v/>
      </c>
      <c r="J118" s="2">
        <f>INDEX(비용표!$A$13:$A$17,MATCH(I118,비용표!$B$13:$B$17,1))</f>
        <v/>
      </c>
      <c r="K118" s="2">
        <f>INDEX(비용표!$C$13:$C$17,MATCH(I118,비용표!$B$13:$B$17,1))</f>
        <v/>
      </c>
      <c r="L118" s="4" t="inlineStr">
        <is>
          <t>최대 군량 +2</t>
        </is>
      </c>
      <c r="M118" s="2" t="inlineStr">
        <is>
          <t>도시</t>
        </is>
      </c>
      <c r="N118" s="2" t="n"/>
      <c r="O118" s="2" t="n"/>
      <c r="P118" s="2" t="n">
        <v>2</v>
      </c>
      <c r="Q118" s="4" t="n"/>
      <c r="R118" s="2" t="n"/>
      <c r="S118" s="2" t="n"/>
      <c r="T118" s="2" t="inlineStr">
        <is>
          <t>grainCap</t>
        </is>
      </c>
    </row>
  </sheetData>
  <autoFilter ref="A1:T11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18"/>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34" customWidth="1" min="3" max="3"/>
  </cols>
  <sheetData>
    <row r="1">
      <c r="A1" s="12" t="inlineStr">
        <is>
          <t>#</t>
        </is>
      </c>
      <c r="B1" s="12" t="inlineStr">
        <is>
          <t>타이틀</t>
        </is>
      </c>
      <c r="C1" s="12" t="inlineStr">
        <is>
          <t>한글 제목</t>
        </is>
      </c>
    </row>
    <row r="2">
      <c r="A2" t="n">
        <v>1</v>
      </c>
      <c r="B2" t="inlineStr">
        <is>
          <t>도원결의</t>
        </is>
      </c>
      <c r="C2" t="inlineStr">
        <is>
          <t>도원결의</t>
        </is>
      </c>
    </row>
    <row r="3">
      <c r="A3" t="n">
        <v>2</v>
      </c>
      <c r="B3" t="inlineStr">
        <is>
          <t>황건적 토벌</t>
        </is>
      </c>
      <c r="C3" t="inlineStr">
        <is>
          <t>황건적 토벌</t>
        </is>
      </c>
    </row>
    <row r="4">
      <c r="A4" t="n">
        <v>3</v>
      </c>
      <c r="B4" t="inlineStr">
        <is>
          <t>온주참화웅</t>
        </is>
      </c>
      <c r="C4" t="inlineStr">
        <is>
          <t>술이 식기 전에</t>
        </is>
      </c>
    </row>
    <row r="5">
      <c r="A5" t="n">
        <v>4</v>
      </c>
      <c r="B5" t="inlineStr">
        <is>
          <t>호뢰관 삼영전여포</t>
        </is>
      </c>
      <c r="C5" t="inlineStr">
        <is>
          <t>세 영웅, 여포와 싸우다</t>
        </is>
      </c>
    </row>
    <row r="6">
      <c r="A6" t="n">
        <v>5</v>
      </c>
      <c r="B6" t="inlineStr">
        <is>
          <t>반동탁 연합군</t>
        </is>
      </c>
      <c r="C6" t="inlineStr">
        <is>
          <t>열여덟 제후, 동탁을 치다</t>
        </is>
      </c>
    </row>
    <row r="7">
      <c r="A7" t="n">
        <v>6</v>
      </c>
      <c r="B7" t="inlineStr">
        <is>
          <t>장안 천도</t>
        </is>
      </c>
      <c r="C7" t="inlineStr">
        <is>
          <t>불타는 낙양</t>
        </is>
      </c>
    </row>
    <row r="8">
      <c r="A8" t="n">
        <v>7</v>
      </c>
      <c r="B8" t="inlineStr">
        <is>
          <t>칠성보도 헌상</t>
        </is>
      </c>
      <c r="C8" t="inlineStr">
        <is>
          <t>조조, 동탁을 노리다</t>
        </is>
      </c>
    </row>
    <row r="9">
      <c r="A9" t="n">
        <v>8</v>
      </c>
      <c r="B9" t="inlineStr">
        <is>
          <t>진궁의 결별</t>
        </is>
      </c>
      <c r="C9" t="inlineStr">
        <is>
          <t>진궁, 조조를 떠나다</t>
        </is>
      </c>
    </row>
    <row r="10">
      <c r="A10" t="n">
        <v>9</v>
      </c>
      <c r="B10" t="inlineStr">
        <is>
          <t>형양의 추격</t>
        </is>
      </c>
      <c r="C10" t="inlineStr">
        <is>
          <t>조홍, 말을 내주다</t>
        </is>
      </c>
    </row>
    <row r="11">
      <c r="A11" t="n">
        <v>10</v>
      </c>
      <c r="B11" t="inlineStr">
        <is>
          <t>손견과 전국옥새</t>
        </is>
      </c>
      <c r="C11" t="inlineStr">
        <is>
          <t>우물 속의 옥새</t>
        </is>
      </c>
    </row>
    <row r="12">
      <c r="A12" t="n">
        <v>11</v>
      </c>
      <c r="B12" t="inlineStr">
        <is>
          <t>현산의 손견</t>
        </is>
      </c>
      <c r="C12" t="inlineStr">
        <is>
          <t>강동의 호랑이 지다</t>
        </is>
      </c>
    </row>
    <row r="13">
      <c r="A13" t="n">
        <v>12</v>
      </c>
      <c r="B13" t="inlineStr">
        <is>
          <t>백마의종</t>
        </is>
      </c>
      <c r="C13" t="inlineStr">
        <is>
          <t>흰 말의 기병대</t>
        </is>
      </c>
    </row>
    <row r="14">
      <c r="A14" t="n">
        <v>13</v>
      </c>
      <c r="B14" t="inlineStr">
        <is>
          <t>계교 전투</t>
        </is>
      </c>
      <c r="C14" t="inlineStr">
        <is>
          <t>백마를 꺾은 쇠뇌</t>
        </is>
      </c>
    </row>
    <row r="15">
      <c r="A15" t="n">
        <v>14</v>
      </c>
      <c r="B15" t="inlineStr">
        <is>
          <t>이각과 곽사</t>
        </is>
      </c>
      <c r="C15" t="inlineStr">
        <is>
          <t>서로를 물어뜯은 두 장수</t>
        </is>
      </c>
    </row>
    <row r="16">
      <c r="A16" t="n">
        <v>15</v>
      </c>
      <c r="B16" t="inlineStr">
        <is>
          <t>헌제의 동귀</t>
        </is>
      </c>
      <c r="C16" t="inlineStr">
        <is>
          <t>황제를 맞이하다</t>
        </is>
      </c>
    </row>
    <row r="17">
      <c r="A17" t="n">
        <v>16</v>
      </c>
      <c r="B17" t="inlineStr">
        <is>
          <t>둔전제</t>
        </is>
      </c>
      <c r="C17" t="inlineStr">
        <is>
          <t>땅을 일궈 군량을 쌓다</t>
        </is>
      </c>
    </row>
    <row r="18">
      <c r="A18" t="n">
        <v>17</v>
      </c>
      <c r="B18" t="inlineStr">
        <is>
          <t>서주 양도</t>
        </is>
      </c>
      <c r="C18" t="inlineStr">
        <is>
          <t>세 번 사양한 서주</t>
        </is>
      </c>
    </row>
    <row r="19">
      <c r="A19" t="n">
        <v>18</v>
      </c>
      <c r="B19" t="inlineStr">
        <is>
          <t>술 취한 장비</t>
        </is>
      </c>
      <c r="C19" t="inlineStr">
        <is>
          <t>술 취한 장비</t>
        </is>
      </c>
    </row>
    <row r="20">
      <c r="A20" t="n">
        <v>19</v>
      </c>
      <c r="B20" t="inlineStr">
        <is>
          <t>원문사극</t>
        </is>
      </c>
      <c r="C20" t="inlineStr">
        <is>
          <t>백오십 보의 화살</t>
        </is>
      </c>
    </row>
    <row r="21">
      <c r="A21" t="n">
        <v>20</v>
      </c>
      <c r="B21" t="inlineStr">
        <is>
          <t>공융과 태사자</t>
        </is>
      </c>
      <c r="C21" t="inlineStr">
        <is>
          <t>홀로 포위를 뚫다</t>
        </is>
      </c>
    </row>
    <row r="22">
      <c r="A22" t="n">
        <v>21</v>
      </c>
      <c r="B22" t="inlineStr">
        <is>
          <t>인중여포 마중적토</t>
        </is>
      </c>
      <c r="C22" t="inlineStr">
        <is>
          <t>사람 중엔 여포, 말 중엔 적토</t>
        </is>
      </c>
    </row>
    <row r="23">
      <c r="A23" t="n">
        <v>22</v>
      </c>
      <c r="B23" t="inlineStr">
        <is>
          <t>함진영</t>
        </is>
      </c>
      <c r="C23" t="inlineStr">
        <is>
          <t>깨지 못한 진은 없다</t>
        </is>
      </c>
    </row>
    <row r="24">
      <c r="A24" t="n">
        <v>23</v>
      </c>
      <c r="B24" t="inlineStr">
        <is>
          <t>하비성 백문루</t>
        </is>
      </c>
      <c r="C24" t="inlineStr">
        <is>
          <t>여포, 백문루에 묶이다</t>
        </is>
      </c>
    </row>
    <row r="25">
      <c r="A25" t="n">
        <v>24</v>
      </c>
      <c r="B25" t="inlineStr">
        <is>
          <t>진등 부자</t>
        </is>
      </c>
      <c r="C25" t="inlineStr">
        <is>
          <t>두 얼굴의 부자</t>
        </is>
      </c>
    </row>
    <row r="26">
      <c r="A26" t="n">
        <v>25</v>
      </c>
      <c r="B26" t="inlineStr">
        <is>
          <t>원술 칭제</t>
        </is>
      </c>
      <c r="C26" t="inlineStr">
        <is>
          <t>꿀물 한 그릇</t>
        </is>
      </c>
    </row>
    <row r="27">
      <c r="A27" t="n">
        <v>26</v>
      </c>
      <c r="B27" t="inlineStr">
        <is>
          <t>역경 함락</t>
        </is>
      </c>
      <c r="C27" t="inlineStr">
        <is>
          <t>불타는 누대</t>
        </is>
      </c>
    </row>
    <row r="28">
      <c r="A28" t="n">
        <v>27</v>
      </c>
      <c r="B28" t="inlineStr">
        <is>
          <t>신정산의 일기토</t>
        </is>
      </c>
      <c r="C28" t="inlineStr">
        <is>
          <t>손책과 태사자, 맞붙다</t>
        </is>
      </c>
    </row>
    <row r="29">
      <c r="A29" t="n">
        <v>28</v>
      </c>
      <c r="B29" t="inlineStr">
        <is>
          <t>내사는 장소에게</t>
        </is>
      </c>
      <c r="C29" t="inlineStr">
        <is>
          <t>안은 장소에게, 밖은 주유에게</t>
        </is>
      </c>
    </row>
    <row r="30">
      <c r="A30" t="n">
        <v>29</v>
      </c>
      <c r="B30" t="inlineStr">
        <is>
          <t>완성의 밤</t>
        </is>
      </c>
      <c r="C30" t="inlineStr">
        <is>
          <t>아들과 명마를 잃은 밤</t>
        </is>
      </c>
    </row>
    <row r="31">
      <c r="A31" t="n">
        <v>30</v>
      </c>
      <c r="B31" t="inlineStr">
        <is>
          <t>가후의 계책</t>
        </is>
      </c>
      <c r="C31" t="inlineStr">
        <is>
          <t>쫓지 말라 할 때 쫓아라</t>
        </is>
      </c>
    </row>
    <row r="32">
      <c r="A32" t="n">
        <v>31</v>
      </c>
      <c r="B32" t="inlineStr">
        <is>
          <t>청매자주 영웅론</t>
        </is>
      </c>
      <c r="C32" t="inlineStr">
        <is>
          <t>천하의 영웅은 그대와 나뿐</t>
        </is>
      </c>
    </row>
    <row r="33">
      <c r="A33" t="n">
        <v>32</v>
      </c>
      <c r="B33" t="inlineStr">
        <is>
          <t>의대조</t>
        </is>
      </c>
      <c r="C33" t="inlineStr">
        <is>
          <t>옷 띠 속의 밀서</t>
        </is>
      </c>
    </row>
    <row r="34">
      <c r="A34" t="n">
        <v>33</v>
      </c>
      <c r="B34" t="inlineStr">
        <is>
          <t>토산의 세 가지 약속</t>
        </is>
      </c>
      <c r="C34" t="inlineStr">
        <is>
          <t>관우의 세 가지 약속</t>
        </is>
      </c>
    </row>
    <row r="35">
      <c r="A35" t="n">
        <v>34</v>
      </c>
      <c r="B35" t="inlineStr">
        <is>
          <t>십승십패론</t>
        </is>
      </c>
      <c r="C35" t="inlineStr">
        <is>
          <t>이길 이유 열 가지</t>
        </is>
      </c>
    </row>
    <row r="36">
      <c r="A36" t="n">
        <v>35</v>
      </c>
      <c r="B36" t="inlineStr">
        <is>
          <t>왕좌지재</t>
        </is>
      </c>
      <c r="C36" t="inlineStr">
        <is>
          <t>조조의 장자방</t>
        </is>
      </c>
    </row>
    <row r="37">
      <c r="A37" t="n">
        <v>36</v>
      </c>
      <c r="B37" t="inlineStr">
        <is>
          <t>원소의 모사들</t>
        </is>
      </c>
      <c r="C37" t="inlineStr">
        <is>
          <t>듣지 않는 주군</t>
        </is>
      </c>
    </row>
    <row r="38">
      <c r="A38" t="n">
        <v>37</v>
      </c>
      <c r="B38" t="inlineStr">
        <is>
          <t>하북의 두 기둥</t>
        </is>
      </c>
      <c r="C38" t="inlineStr">
        <is>
          <t>안량과 문추</t>
        </is>
      </c>
    </row>
    <row r="39">
      <c r="A39" t="n">
        <v>38</v>
      </c>
      <c r="B39" t="inlineStr">
        <is>
          <t>관도대전</t>
        </is>
      </c>
      <c r="C39" t="inlineStr">
        <is>
          <t>관도대전</t>
        </is>
      </c>
    </row>
    <row r="40">
      <c r="A40" t="n">
        <v>39</v>
      </c>
      <c r="B40" t="inlineStr">
        <is>
          <t>오소 기습</t>
        </is>
      </c>
      <c r="C40" t="inlineStr">
        <is>
          <t>군량고를 불태우다</t>
        </is>
      </c>
    </row>
    <row r="41">
      <c r="A41" t="n">
        <v>40</v>
      </c>
      <c r="B41" t="inlineStr">
        <is>
          <t>오관참육장</t>
        </is>
      </c>
      <c r="C41" t="inlineStr">
        <is>
          <t>다섯 관문, 여섯 장수</t>
        </is>
      </c>
    </row>
    <row r="42">
      <c r="A42" t="n">
        <v>41</v>
      </c>
      <c r="B42" t="inlineStr">
        <is>
          <t>고성의 재회</t>
        </is>
      </c>
      <c r="C42" t="inlineStr">
        <is>
          <t>형제, 다시 모이다</t>
        </is>
      </c>
    </row>
    <row r="43">
      <c r="A43" t="n">
        <v>42</v>
      </c>
      <c r="B43" t="inlineStr">
        <is>
          <t>발시담정</t>
        </is>
      </c>
      <c r="C43" t="inlineStr">
        <is>
          <t>화살을 뽑아 눈을 삼키다</t>
        </is>
      </c>
    </row>
    <row r="44">
      <c r="A44" t="n">
        <v>43</v>
      </c>
      <c r="B44" t="inlineStr">
        <is>
          <t>백랑산</t>
        </is>
      </c>
      <c r="C44" t="inlineStr">
        <is>
          <t>북방 끝의 싸움</t>
        </is>
      </c>
    </row>
    <row r="45">
      <c r="A45" t="n">
        <v>44</v>
      </c>
      <c r="B45" t="inlineStr">
        <is>
          <t>적로의 단계 도약</t>
        </is>
      </c>
      <c r="C45" t="inlineStr">
        <is>
          <t>적로, 강을 뛰어넘다</t>
        </is>
      </c>
    </row>
    <row r="46">
      <c r="A46" t="n">
        <v>45</v>
      </c>
      <c r="B46" t="inlineStr">
        <is>
          <t>팔문금쇄진</t>
        </is>
      </c>
      <c r="C46" t="inlineStr">
        <is>
          <t>여덟 문의 진법</t>
        </is>
      </c>
    </row>
    <row r="47">
      <c r="A47" t="n">
        <v>46</v>
      </c>
      <c r="B47" t="inlineStr">
        <is>
          <t>서서의 어머니</t>
        </is>
      </c>
      <c r="C47" t="inlineStr">
        <is>
          <t>서서의 어머니</t>
        </is>
      </c>
    </row>
    <row r="48">
      <c r="A48" t="n">
        <v>47</v>
      </c>
      <c r="B48" t="inlineStr">
        <is>
          <t>삼고초려</t>
        </is>
      </c>
      <c r="C48" t="inlineStr">
        <is>
          <t>삼고초려</t>
        </is>
      </c>
    </row>
    <row r="49">
      <c r="A49" t="n">
        <v>48</v>
      </c>
      <c r="B49" t="inlineStr">
        <is>
          <t>박망파의 불</t>
        </is>
      </c>
      <c r="C49" t="inlineStr">
        <is>
          <t>제갈량의 첫 계책</t>
        </is>
      </c>
    </row>
    <row r="50">
      <c r="A50" t="n">
        <v>49</v>
      </c>
      <c r="B50" t="inlineStr">
        <is>
          <t>형주의 항복</t>
        </is>
      </c>
      <c r="C50" t="inlineStr">
        <is>
          <t>형주를 바치다</t>
        </is>
      </c>
    </row>
    <row r="51">
      <c r="A51" t="n">
        <v>50</v>
      </c>
      <c r="B51" t="inlineStr">
        <is>
          <t>장판파 단기구주</t>
        </is>
      </c>
      <c r="C51" t="inlineStr">
        <is>
          <t>백만 대군 속의 조운</t>
        </is>
      </c>
    </row>
    <row r="52">
      <c r="A52" t="n">
        <v>51</v>
      </c>
      <c r="B52" t="inlineStr">
        <is>
          <t>장판교의 일갈</t>
        </is>
      </c>
      <c r="C52" t="inlineStr">
        <is>
          <t>다리 위의 호통</t>
        </is>
      </c>
    </row>
    <row r="53">
      <c r="A53" t="n">
        <v>52</v>
      </c>
      <c r="B53" t="inlineStr">
        <is>
          <t>상옥추제</t>
        </is>
      </c>
      <c r="C53" t="inlineStr">
        <is>
          <t>사다리를 치우다</t>
        </is>
      </c>
    </row>
    <row r="54">
      <c r="A54" t="n">
        <v>53</v>
      </c>
      <c r="B54" t="inlineStr">
        <is>
          <t>노숙의 합종</t>
        </is>
      </c>
      <c r="C54" t="inlineStr">
        <is>
          <t>노숙, 동맹을 맺다</t>
        </is>
      </c>
    </row>
    <row r="55">
      <c r="A55" t="n">
        <v>54</v>
      </c>
      <c r="B55" t="inlineStr">
        <is>
          <t>설전군유</t>
        </is>
      </c>
      <c r="C55" t="inlineStr">
        <is>
          <t>말로 선비들을 꺾다</t>
        </is>
      </c>
    </row>
    <row r="56">
      <c r="A56" t="n">
        <v>55</v>
      </c>
      <c r="B56" t="inlineStr">
        <is>
          <t>책상을 베다</t>
        </is>
      </c>
      <c r="C56" t="inlineStr">
        <is>
          <t>책상을 베다</t>
        </is>
      </c>
    </row>
    <row r="57">
      <c r="A57" t="n">
        <v>56</v>
      </c>
      <c r="B57" t="inlineStr">
        <is>
          <t>군영회</t>
        </is>
      </c>
      <c r="C57" t="inlineStr">
        <is>
          <t>술자리의 가짜 편지</t>
        </is>
      </c>
    </row>
    <row r="58">
      <c r="A58" t="n">
        <v>57</v>
      </c>
      <c r="B58" t="inlineStr">
        <is>
          <t>초선차전</t>
        </is>
      </c>
      <c r="C58" t="inlineStr">
        <is>
          <t>풀배로 화살을 빌리다</t>
        </is>
      </c>
    </row>
    <row r="59">
      <c r="A59" t="n">
        <v>58</v>
      </c>
      <c r="B59" t="inlineStr">
        <is>
          <t>고육지책</t>
        </is>
      </c>
      <c r="C59" t="inlineStr">
        <is>
          <t>고육지책</t>
        </is>
      </c>
    </row>
    <row r="60">
      <c r="A60" t="n">
        <v>59</v>
      </c>
      <c r="B60" t="inlineStr">
        <is>
          <t>방통의 연환계</t>
        </is>
      </c>
      <c r="C60" t="inlineStr">
        <is>
          <t>쇠사슬로 묶은 배</t>
        </is>
      </c>
    </row>
    <row r="61">
      <c r="A61" t="n">
        <v>60</v>
      </c>
      <c r="B61" t="inlineStr">
        <is>
          <t>칠성단의 동남풍</t>
        </is>
      </c>
      <c r="C61" t="inlineStr">
        <is>
          <t>동남풍을 부르다</t>
        </is>
      </c>
    </row>
    <row r="62">
      <c r="A62" t="n">
        <v>61</v>
      </c>
      <c r="B62" t="inlineStr">
        <is>
          <t>적벽대전</t>
        </is>
      </c>
      <c r="C62" t="inlineStr">
        <is>
          <t>적벽대전</t>
        </is>
      </c>
    </row>
    <row r="63">
      <c r="A63" t="n">
        <v>62</v>
      </c>
      <c r="B63" t="inlineStr">
        <is>
          <t>화용도</t>
        </is>
      </c>
      <c r="C63" t="inlineStr">
        <is>
          <t>관우, 길을 열다</t>
        </is>
      </c>
    </row>
    <row r="64">
      <c r="A64" t="n">
        <v>63</v>
      </c>
      <c r="B64" t="inlineStr">
        <is>
          <t>남군 공방</t>
        </is>
      </c>
      <c r="C64" t="inlineStr">
        <is>
          <t>주유, 화살을 맞다</t>
        </is>
      </c>
    </row>
    <row r="65">
      <c r="A65" t="n">
        <v>64</v>
      </c>
      <c r="B65" t="inlineStr">
        <is>
          <t>삼기주유</t>
        </is>
      </c>
      <c r="C65" t="inlineStr">
        <is>
          <t>하늘은 어찌 나를 낳고…</t>
        </is>
      </c>
    </row>
    <row r="66">
      <c r="A66" t="n">
        <v>65</v>
      </c>
      <c r="B66" t="inlineStr">
        <is>
          <t>장사의 노장</t>
        </is>
      </c>
      <c r="C66" t="inlineStr">
        <is>
          <t>예순의 황충</t>
        </is>
      </c>
    </row>
    <row r="67">
      <c r="A67" t="n">
        <v>66</v>
      </c>
      <c r="B67" t="inlineStr">
        <is>
          <t>감로사</t>
        </is>
      </c>
      <c r="C67" t="inlineStr">
        <is>
          <t>진짜가 된 혼인</t>
        </is>
      </c>
    </row>
    <row r="68">
      <c r="A68" t="n">
        <v>67</v>
      </c>
      <c r="B68" t="inlineStr">
        <is>
          <t>동작대부</t>
        </is>
      </c>
      <c r="C68" t="inlineStr">
        <is>
          <t>조식의 노래</t>
        </is>
      </c>
    </row>
    <row r="69">
      <c r="A69" t="n">
        <v>68</v>
      </c>
      <c r="B69" t="inlineStr">
        <is>
          <t>동관의 마초</t>
        </is>
      </c>
      <c r="C69" t="inlineStr">
        <is>
          <t>수염을 자른 조조</t>
        </is>
      </c>
    </row>
    <row r="70">
      <c r="A70" t="n">
        <v>69</v>
      </c>
      <c r="B70" t="inlineStr">
        <is>
          <t>서천 지도</t>
        </is>
      </c>
      <c r="C70" t="inlineStr">
        <is>
          <t>지도 한 장</t>
        </is>
      </c>
    </row>
    <row r="71">
      <c r="A71" t="n">
        <v>70</v>
      </c>
      <c r="B71" t="inlineStr">
        <is>
          <t>낙봉파</t>
        </is>
      </c>
      <c r="C71" t="inlineStr">
        <is>
          <t>봉황이 떨어지다</t>
        </is>
      </c>
    </row>
    <row r="72">
      <c r="A72" t="n">
        <v>71</v>
      </c>
      <c r="B72" t="inlineStr">
        <is>
          <t>의석 엄안</t>
        </is>
      </c>
      <c r="C72" t="inlineStr">
        <is>
          <t>감동을 주고 충신을 얻다</t>
        </is>
      </c>
    </row>
    <row r="73">
      <c r="A73" t="n">
        <v>72</v>
      </c>
      <c r="B73" t="inlineStr">
        <is>
          <t>가맹관 야전</t>
        </is>
      </c>
      <c r="C73" t="inlineStr">
        <is>
          <t>횃불 아래의 승부</t>
        </is>
      </c>
    </row>
    <row r="74">
      <c r="A74" t="n">
        <v>73</v>
      </c>
      <c r="B74" t="inlineStr">
        <is>
          <t>익주의 유장</t>
        </is>
      </c>
      <c r="C74" t="inlineStr">
        <is>
          <t>난세에 어울리지 않던 주인</t>
        </is>
      </c>
    </row>
    <row r="75">
      <c r="A75" t="n">
        <v>74</v>
      </c>
      <c r="B75" t="inlineStr">
        <is>
          <t>단도부회</t>
        </is>
      </c>
      <c r="C75" t="inlineStr">
        <is>
          <t>칼 한 자루면 충분하다</t>
        </is>
      </c>
    </row>
    <row r="76">
      <c r="A76" t="n">
        <v>75</v>
      </c>
      <c r="B76" t="inlineStr">
        <is>
          <t>유수구</t>
        </is>
      </c>
      <c r="C76" t="inlineStr">
        <is>
          <t>아들을 낳으려면 손권처럼</t>
        </is>
      </c>
    </row>
    <row r="77">
      <c r="A77" t="n">
        <v>76</v>
      </c>
      <c r="B77" t="inlineStr">
        <is>
          <t>빈 찬합</t>
        </is>
      </c>
      <c r="C77" t="inlineStr">
        <is>
          <t>빈 찬합</t>
        </is>
      </c>
    </row>
    <row r="78">
      <c r="A78" t="n">
        <v>77</v>
      </c>
      <c r="B78" t="inlineStr">
        <is>
          <t>백기겁위영</t>
        </is>
      </c>
      <c r="C78" t="inlineStr">
        <is>
          <t>기병 백 명의 야습</t>
        </is>
      </c>
    </row>
    <row r="79">
      <c r="A79" t="n">
        <v>78</v>
      </c>
      <c r="B79" t="inlineStr">
        <is>
          <t>합비 소요진</t>
        </is>
      </c>
      <c r="C79" t="inlineStr">
        <is>
          <t>울음을 그치게 한 이름</t>
        </is>
      </c>
    </row>
    <row r="80">
      <c r="A80" t="n">
        <v>79</v>
      </c>
      <c r="B80" t="inlineStr">
        <is>
          <t>괄목상대</t>
        </is>
      </c>
      <c r="C80" t="inlineStr">
        <is>
          <t>괄목상대</t>
        </is>
      </c>
    </row>
    <row r="81">
      <c r="A81" t="n">
        <v>80</v>
      </c>
      <c r="B81" t="inlineStr">
        <is>
          <t>정군산</t>
        </is>
      </c>
      <c r="C81" t="inlineStr">
        <is>
          <t>절대 노인을 무시하지 마라</t>
        </is>
      </c>
    </row>
    <row r="82">
      <c r="A82" t="n">
        <v>81</v>
      </c>
      <c r="B82" t="inlineStr">
        <is>
          <t>계륵</t>
        </is>
      </c>
      <c r="C82" t="inlineStr">
        <is>
          <t>계륵</t>
        </is>
      </c>
    </row>
    <row r="83">
      <c r="A83" t="n">
        <v>82</v>
      </c>
      <c r="B83" t="inlineStr">
        <is>
          <t>수엄칠군</t>
        </is>
      </c>
      <c r="C83" t="inlineStr">
        <is>
          <t>일곱 군을 삼킨 물</t>
        </is>
      </c>
    </row>
    <row r="84">
      <c r="A84" t="n">
        <v>83</v>
      </c>
      <c r="B84" t="inlineStr">
        <is>
          <t>관을 멘 방덕</t>
        </is>
      </c>
      <c r="C84" t="inlineStr">
        <is>
          <t>관을 멘 방덕</t>
        </is>
      </c>
    </row>
    <row r="85">
      <c r="A85" t="n">
        <v>84</v>
      </c>
      <c r="B85" t="inlineStr">
        <is>
          <t>백의도강</t>
        </is>
      </c>
      <c r="C85" t="inlineStr">
        <is>
          <t>흰 옷을 입고 강을 건너다</t>
        </is>
      </c>
    </row>
    <row r="86">
      <c r="A86" t="n">
        <v>85</v>
      </c>
      <c r="B86" t="inlineStr">
        <is>
          <t>맥성</t>
        </is>
      </c>
      <c r="C86" t="inlineStr">
        <is>
          <t>관우가 붙잡히다</t>
        </is>
      </c>
    </row>
    <row r="87">
      <c r="A87" t="n">
        <v>86</v>
      </c>
      <c r="B87" t="inlineStr">
        <is>
          <t>수선대</t>
        </is>
      </c>
      <c r="C87" t="inlineStr">
        <is>
          <t>사백 년이 끝나다</t>
        </is>
      </c>
    </row>
    <row r="88">
      <c r="A88" t="n">
        <v>87</v>
      </c>
      <c r="B88" t="inlineStr">
        <is>
          <t>칠보시</t>
        </is>
      </c>
      <c r="C88" t="inlineStr">
        <is>
          <t>일곱 걸음의 시</t>
        </is>
      </c>
    </row>
    <row r="89">
      <c r="A89" t="n">
        <v>88</v>
      </c>
      <c r="B89" t="inlineStr">
        <is>
          <t>아버지의 원수</t>
        </is>
      </c>
      <c r="C89" t="inlineStr">
        <is>
          <t>아버지의 이름으로</t>
        </is>
      </c>
    </row>
    <row r="90">
      <c r="A90" t="n">
        <v>89</v>
      </c>
      <c r="B90" t="inlineStr">
        <is>
          <t>오계의 만왕</t>
        </is>
      </c>
      <c r="C90" t="inlineStr">
        <is>
          <t>감녕을 쓰러뜨린 화살</t>
        </is>
      </c>
    </row>
    <row r="91">
      <c r="A91" t="n">
        <v>90</v>
      </c>
      <c r="B91" t="inlineStr">
        <is>
          <t>이릉대전</t>
        </is>
      </c>
      <c r="C91" t="inlineStr">
        <is>
          <t>칠백 리를 태운 불</t>
        </is>
      </c>
    </row>
    <row r="92">
      <c r="A92" t="n">
        <v>91</v>
      </c>
      <c r="B92" t="inlineStr">
        <is>
          <t>백제성 탁고</t>
        </is>
      </c>
      <c r="C92" t="inlineStr">
        <is>
          <t>유비가 운명하다</t>
        </is>
      </c>
    </row>
    <row r="93">
      <c r="A93" t="n">
        <v>92</v>
      </c>
      <c r="B93" t="inlineStr">
        <is>
          <t>서성의 가짜 성벽</t>
        </is>
      </c>
      <c r="C93" t="inlineStr">
        <is>
          <t>서성의 가짜 성벽</t>
        </is>
      </c>
    </row>
    <row r="94">
      <c r="A94" t="n">
        <v>93</v>
      </c>
      <c r="B94" t="inlineStr">
        <is>
          <t>칠종칠금</t>
        </is>
      </c>
      <c r="C94" t="inlineStr">
        <is>
          <t>일곱 번 잡고 일곱 번 놓아주다</t>
        </is>
      </c>
    </row>
    <row r="95">
      <c r="A95" t="n">
        <v>94</v>
      </c>
      <c r="B95" t="inlineStr">
        <is>
          <t>출사표</t>
        </is>
      </c>
      <c r="C95" t="inlineStr">
        <is>
          <t>출사표</t>
        </is>
      </c>
    </row>
    <row r="96">
      <c r="A96" t="n">
        <v>95</v>
      </c>
      <c r="B96" t="inlineStr">
        <is>
          <t>오두미도</t>
        </is>
      </c>
      <c r="C96" t="inlineStr">
        <is>
          <t>쌀 다섯 말의 교단</t>
        </is>
      </c>
    </row>
    <row r="97">
      <c r="A97" t="n">
        <v>96</v>
      </c>
      <c r="B97" t="inlineStr">
        <is>
          <t>천수의 강유</t>
        </is>
      </c>
      <c r="C97" t="inlineStr">
        <is>
          <t>제갈량, 강유를 만나다</t>
        </is>
      </c>
    </row>
    <row r="98">
      <c r="A98" t="n">
        <v>97</v>
      </c>
      <c r="B98" t="inlineStr">
        <is>
          <t>가정</t>
        </is>
      </c>
      <c r="C98" t="inlineStr">
        <is>
          <t>산 위에 진을 치다</t>
        </is>
      </c>
    </row>
    <row r="99">
      <c r="A99" t="n">
        <v>98</v>
      </c>
      <c r="B99" t="inlineStr">
        <is>
          <t>공성계</t>
        </is>
      </c>
      <c r="C99" t="inlineStr">
        <is>
          <t>거문고를 타는 제갈량</t>
        </is>
      </c>
    </row>
    <row r="100">
      <c r="A100" t="n">
        <v>99</v>
      </c>
      <c r="B100" t="inlineStr">
        <is>
          <t>진창 수성</t>
        </is>
      </c>
      <c r="C100" t="inlineStr">
        <is>
          <t>스무 날을 버틴 성</t>
        </is>
      </c>
    </row>
    <row r="101">
      <c r="A101" t="n">
        <v>100</v>
      </c>
      <c r="B101" t="inlineStr">
        <is>
          <t>목우유마</t>
        </is>
      </c>
      <c r="C101" t="inlineStr">
        <is>
          <t>나무로 만든 소와 말</t>
        </is>
      </c>
    </row>
    <row r="102">
      <c r="A102" t="n">
        <v>101</v>
      </c>
      <c r="B102" t="inlineStr">
        <is>
          <t>목문도</t>
        </is>
      </c>
      <c r="C102" t="inlineStr">
        <is>
          <t>장합, 화살비에 쓰러지다</t>
        </is>
      </c>
    </row>
    <row r="103">
      <c r="A103" t="n">
        <v>102</v>
      </c>
      <c r="B103" t="inlineStr">
        <is>
          <t>반골</t>
        </is>
      </c>
      <c r="C103" t="inlineStr">
        <is>
          <t>누가 감히 나를 죽이랴</t>
        </is>
      </c>
    </row>
    <row r="104">
      <c r="A104" t="n">
        <v>103</v>
      </c>
      <c r="B104" t="inlineStr">
        <is>
          <t>상방곡의 비</t>
        </is>
      </c>
      <c r="C104" t="inlineStr">
        <is>
          <t>하늘이 내린 소나기</t>
        </is>
      </c>
    </row>
    <row r="105">
      <c r="A105" t="n">
        <v>104</v>
      </c>
      <c r="B105" t="inlineStr">
        <is>
          <t>오장원</t>
        </is>
      </c>
      <c r="C105" t="inlineStr">
        <is>
          <t>죽은 자가 산 자를 물리치다</t>
        </is>
      </c>
    </row>
    <row r="106">
      <c r="A106" t="n">
        <v>105</v>
      </c>
      <c r="B106" t="inlineStr">
        <is>
          <t>고평릉</t>
        </is>
      </c>
      <c r="C106" t="inlineStr">
        <is>
          <t>늙은 이리가 일어나다</t>
        </is>
      </c>
    </row>
    <row r="107">
      <c r="A107" t="n">
        <v>106</v>
      </c>
      <c r="B107" t="inlineStr">
        <is>
          <t>구벌중원</t>
        </is>
      </c>
      <c r="C107" t="inlineStr">
        <is>
          <t>아홉 번의 북벌</t>
        </is>
      </c>
    </row>
    <row r="108">
      <c r="A108" t="n">
        <v>107</v>
      </c>
      <c r="B108" t="inlineStr">
        <is>
          <t>촉의 사상</t>
        </is>
      </c>
      <c r="C108" t="inlineStr">
        <is>
          <t>제갈량 이후의 촉</t>
        </is>
      </c>
    </row>
    <row r="109">
      <c r="A109" t="n">
        <v>108</v>
      </c>
      <c r="B109" t="inlineStr">
        <is>
          <t>오호대장군</t>
        </is>
      </c>
      <c r="C109" t="inlineStr">
        <is>
          <t>오호대장군</t>
        </is>
      </c>
    </row>
    <row r="110">
      <c r="A110" t="n">
        <v>109</v>
      </c>
      <c r="B110" t="inlineStr">
        <is>
          <t>오자양장</t>
        </is>
      </c>
      <c r="C110" t="inlineStr">
        <is>
          <t>조조의 다섯 명장</t>
        </is>
      </c>
    </row>
    <row r="111">
      <c r="A111" t="n">
        <v>110</v>
      </c>
      <c r="B111" t="inlineStr">
        <is>
          <t>동오 4대 도독</t>
        </is>
      </c>
      <c r="C111" t="inlineStr">
        <is>
          <t>강동의 네 도독</t>
        </is>
      </c>
    </row>
    <row r="112">
      <c r="A112" t="n">
        <v>111</v>
      </c>
      <c r="B112" t="inlineStr">
        <is>
          <t>위의 모사들</t>
        </is>
      </c>
      <c r="C112" t="inlineStr">
        <is>
          <t>조조의 책사들</t>
        </is>
      </c>
    </row>
    <row r="113">
      <c r="A113" t="n">
        <v>112</v>
      </c>
      <c r="B113" t="inlineStr">
        <is>
          <t>강동 호신</t>
        </is>
      </c>
      <c r="C113" t="inlineStr">
        <is>
          <t>손씨 3대를 지킨 장수들</t>
        </is>
      </c>
    </row>
    <row r="114">
      <c r="A114" t="n">
        <v>113</v>
      </c>
      <c r="B114" t="inlineStr">
        <is>
          <t>주태의 흉터</t>
        </is>
      </c>
      <c r="C114" t="inlineStr">
        <is>
          <t>흉터마다 한 잔</t>
        </is>
      </c>
    </row>
    <row r="115">
      <c r="A115" t="n">
        <v>114</v>
      </c>
      <c r="B115" t="inlineStr">
        <is>
          <t>하후 형제</t>
        </is>
      </c>
      <c r="C115" t="inlineStr">
        <is>
          <t>하후 형제</t>
        </is>
      </c>
    </row>
    <row r="116">
      <c r="A116" t="n">
        <v>115</v>
      </c>
      <c r="B116" t="inlineStr">
        <is>
          <t>마씨오상 백미최량</t>
        </is>
      </c>
      <c r="C116" t="inlineStr">
        <is>
          <t>다섯 형제 중의 백미</t>
        </is>
      </c>
    </row>
    <row r="117">
      <c r="A117" t="n">
        <v>116</v>
      </c>
      <c r="B117" t="inlineStr">
        <is>
          <t>서량의 마씨</t>
        </is>
      </c>
      <c r="C117" t="inlineStr">
        <is>
          <t>서량을 달린 마씨 일가</t>
        </is>
      </c>
    </row>
    <row r="118">
      <c r="A118" t="n">
        <v>117</v>
      </c>
      <c r="B118" t="inlineStr">
        <is>
          <t>형주의 유표</t>
        </is>
      </c>
      <c r="C118" t="inlineStr">
        <is>
          <t>두 아들 사이에서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7"/>
  <cols>
    <col width="14" customWidth="1" min="1" max="1"/>
    <col width="10" customWidth="1" min="2" max="3"/>
    <col width="60" customWidth="1" min="4" max="4"/>
  </cols>
  <sheetData>
    <row r="1" ht="30" customHeight="1">
      <c r="A1" s="1" t="inlineStr">
        <is>
          <t>구분</t>
        </is>
      </c>
      <c r="B1" s="1" t="inlineStr">
        <is>
          <t>키</t>
        </is>
      </c>
      <c r="C1" s="1" t="inlineStr">
        <is>
          <t>값</t>
        </is>
      </c>
      <c r="D1" s="1" t="inlineStr">
        <is>
          <t>설명</t>
        </is>
      </c>
    </row>
    <row r="2">
      <c r="A2" s="5" t="inlineStr">
        <is>
          <t>카드 단가</t>
        </is>
      </c>
      <c r="B2" s="5" t="inlineStr">
        <is>
          <t>S</t>
        </is>
      </c>
      <c r="C2" s="6" t="n">
        <v>10</v>
      </c>
      <c r="D2" s="5" t="inlineStr">
        <is>
          <t>S급 카드 1장</t>
        </is>
      </c>
    </row>
    <row r="3">
      <c r="A3" s="5" t="inlineStr">
        <is>
          <t>카드 단가</t>
        </is>
      </c>
      <c r="B3" s="5" t="inlineStr">
        <is>
          <t>E</t>
        </is>
      </c>
      <c r="C3" s="6" t="n">
        <v>10</v>
      </c>
      <c r="D3" s="5" t="inlineStr">
        <is>
          <t>E급(헌제) 카드 1장</t>
        </is>
      </c>
    </row>
    <row r="4">
      <c r="A4" s="5" t="inlineStr">
        <is>
          <t>카드 단가</t>
        </is>
      </c>
      <c r="B4" s="5" t="inlineStr">
        <is>
          <t>A</t>
        </is>
      </c>
      <c r="C4" s="6" t="n">
        <v>6</v>
      </c>
      <c r="D4" s="5" t="inlineStr">
        <is>
          <t>A급 카드 1장</t>
        </is>
      </c>
    </row>
    <row r="5">
      <c r="A5" s="5" t="inlineStr">
        <is>
          <t>카드 단가</t>
        </is>
      </c>
      <c r="B5" s="5" t="inlineStr">
        <is>
          <t>B</t>
        </is>
      </c>
      <c r="C5" s="6" t="n">
        <v>4</v>
      </c>
      <c r="D5" s="5" t="inlineStr">
        <is>
          <t>B급 카드 1장</t>
        </is>
      </c>
    </row>
    <row r="6">
      <c r="A6" s="5" t="inlineStr">
        <is>
          <t>카드 단가</t>
        </is>
      </c>
      <c r="B6" s="5" t="inlineStr">
        <is>
          <t>C</t>
        </is>
      </c>
      <c r="C6" s="6" t="n">
        <v>2</v>
      </c>
      <c r="D6" s="5" t="inlineStr">
        <is>
          <t>C급 — 가챠에 없고 전투 보상으로만 나온다</t>
        </is>
      </c>
    </row>
    <row r="7">
      <c r="A7" s="5" t="inlineStr">
        <is>
          <t>카드 단가</t>
        </is>
      </c>
      <c r="B7" s="5" t="inlineStr">
        <is>
          <t>D</t>
        </is>
      </c>
      <c r="C7" s="6" t="n">
        <v>2</v>
      </c>
      <c r="D7" s="5" t="inlineStr">
        <is>
          <t>D급 — 가챠에 없고 전투 보상으로만 나온다</t>
        </is>
      </c>
    </row>
    <row r="8">
      <c r="A8" s="5" t="inlineStr">
        <is>
          <t>품목 배수</t>
        </is>
      </c>
      <c r="B8" s="5" t="inlineStr">
        <is>
          <t>병기</t>
        </is>
      </c>
      <c r="C8" s="6" t="n">
        <v>3</v>
      </c>
      <c r="D8" s="5" t="inlineStr">
        <is>
          <t>병기 비용 = 대장간 해금 Lv × 이 값</t>
        </is>
      </c>
    </row>
    <row r="9">
      <c r="A9" s="5" t="inlineStr">
        <is>
          <t>품목 배수</t>
        </is>
      </c>
      <c r="B9" s="5" t="inlineStr">
        <is>
          <t>아이템</t>
        </is>
      </c>
      <c r="C9" s="6" t="n">
        <v>2</v>
      </c>
      <c r="D9" s="5" t="inlineStr">
        <is>
          <t>아이템 비용 = 시장 해금 Lv × 이 값</t>
        </is>
      </c>
    </row>
    <row r="11">
      <c r="A11" s="7" t="inlineStr">
        <is>
          <t>등급표</t>
        </is>
      </c>
    </row>
    <row r="12">
      <c r="A12" s="8" t="inlineStr">
        <is>
          <t>등급</t>
        </is>
      </c>
      <c r="B12" s="8" t="inlineStr">
        <is>
          <t>비용 하한</t>
        </is>
      </c>
      <c r="C12" s="8" t="inlineStr">
        <is>
          <t>점수</t>
        </is>
      </c>
      <c r="D12" s="8" t="inlineStr">
        <is>
          <t>설명</t>
        </is>
      </c>
    </row>
    <row r="13">
      <c r="A13" s="5" t="inlineStr">
        <is>
          <t>일반</t>
        </is>
      </c>
      <c r="B13" s="6" t="n">
        <v>0</v>
      </c>
      <c r="C13" s="6" t="n">
        <v>50</v>
      </c>
      <c r="D13" s="5" t="n"/>
    </row>
    <row r="14">
      <c r="A14" s="5" t="inlineStr">
        <is>
          <t>희귀</t>
        </is>
      </c>
      <c r="B14" s="6" t="n">
        <v>15</v>
      </c>
      <c r="C14" s="6" t="n">
        <v>100</v>
      </c>
      <c r="D14" s="5" t="n"/>
    </row>
    <row r="15">
      <c r="A15" s="5" t="inlineStr">
        <is>
          <t>영웅</t>
        </is>
      </c>
      <c r="B15" s="6" t="n">
        <v>28</v>
      </c>
      <c r="C15" s="6" t="n">
        <v>200</v>
      </c>
      <c r="D15" s="5" t="n"/>
    </row>
    <row r="16">
      <c r="A16" s="5" t="inlineStr">
        <is>
          <t>전설</t>
        </is>
      </c>
      <c r="B16" s="6" t="n">
        <v>34</v>
      </c>
      <c r="C16" s="6" t="n">
        <v>300</v>
      </c>
      <c r="D16" s="5" t="inlineStr">
        <is>
          <t>고유기술 SP −1 · 진영 SP +1은 전설 이상만</t>
        </is>
      </c>
    </row>
    <row r="17">
      <c r="A17" s="5" t="inlineStr">
        <is>
          <t>천하</t>
        </is>
      </c>
      <c r="B17" s="6" t="n">
        <v>50</v>
      </c>
      <c r="C17" s="6" t="n">
        <v>500</v>
      </c>
      <c r="D17" s="5" t="inlineStr">
        <is>
          <t>S급 다섯 — 5칸 상한에서 비용의 천장 (2026-10-14)</t>
        </is>
      </c>
    </row>
    <row r="19">
      <c r="A19" s="9" t="inlineStr">
        <is>
          <t>노란 칸(파란 글자)만 고치면 「칸」 · 「컬렉션」 시트의 비용 · 등급 · 점수가 다시 계산된다. 값은 2026-10-13 기획 세션 초안이다(3차: 카드는 컬렉션마다 장수당 1장). 2026-10-14: 칸 5개 상한에 맞춰 전설 42 → 34, 천하 60 → 50.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16"/>
  <sheetViews>
    <sheetView workbookViewId="0">
      <pane ySplit="1" topLeftCell="A2" activePane="bottomLeft" state="frozen"/>
      <selection pane="bottomLeft" activeCell="A1" sqref="A1"/>
    </sheetView>
  </sheetViews>
  <sheetFormatPr baseColWidth="8" defaultRowHeight="17"/>
  <cols>
    <col width="10" customWidth="1" min="1" max="1"/>
    <col width="7" customWidth="1" min="2" max="2"/>
    <col width="9" customWidth="1" min="3" max="3"/>
    <col width="14" customWidth="1" min="4" max="4"/>
    <col width="6" customWidth="1" min="5" max="5"/>
    <col width="13" customWidth="1" min="6" max="6"/>
    <col width="8" customWidth="1" min="7" max="8"/>
    <col width="40" customWidth="1" min="9" max="9"/>
  </cols>
  <sheetData>
    <row r="1" ht="30" customHeight="1">
      <c r="A1" s="1" t="inlineStr">
        <is>
          <t>컬렉션 #</t>
        </is>
      </c>
      <c r="B1" s="1" t="inlineStr">
        <is>
          <t>칸 #</t>
        </is>
      </c>
      <c r="C1" s="1" t="inlineStr">
        <is>
          <t>종류</t>
        </is>
      </c>
      <c r="D1" s="1" t="inlineStr">
        <is>
          <t>대상</t>
        </is>
      </c>
      <c r="E1" s="1" t="inlineStr">
        <is>
          <t>수</t>
        </is>
      </c>
      <c r="F1" s="1" t="inlineStr">
        <is>
          <t>등급 / 해금 Lv</t>
        </is>
      </c>
      <c r="G1" s="1" t="inlineStr">
        <is>
          <t>단가</t>
        </is>
      </c>
      <c r="H1" s="1" t="inlineStr">
        <is>
          <t>비용</t>
        </is>
      </c>
      <c r="I1" s="1" t="inlineStr">
        <is>
          <t>조건 누적 (보조)</t>
        </is>
      </c>
    </row>
    <row r="2">
      <c r="A2" s="5" t="n">
        <v>1</v>
      </c>
      <c r="B2" s="5" t="n">
        <v>1</v>
      </c>
      <c r="C2" s="5" t="inlineStr">
        <is>
          <t>카드</t>
        </is>
      </c>
      <c r="D2" s="5" t="inlineStr">
        <is>
          <t>유비</t>
        </is>
      </c>
      <c r="E2" s="5" t="n">
        <v>1</v>
      </c>
      <c r="F2" s="5" t="inlineStr">
        <is>
          <t>S</t>
        </is>
      </c>
      <c r="G2" s="5">
        <f>IF(C2="카드",INDEX(비용표!$C$2:$C$7,MATCH(F2,비용표!$B$2:$B$7,0)),F2*INDEX(비용표!$C$8:$C$9,MATCH(C2,비용표!$B$8:$B$9,0)))</f>
        <v/>
      </c>
      <c r="H2" s="5">
        <f>G2*E2</f>
        <v/>
      </c>
      <c r="I2" s="10">
        <f>IF(C2="카드",D2&amp;E2,"["&amp;C2&amp;"] "&amp;D2)</f>
        <v/>
      </c>
    </row>
    <row r="3">
      <c r="A3" s="5" t="n">
        <v>1</v>
      </c>
      <c r="B3" s="5" t="n">
        <v>2</v>
      </c>
      <c r="C3" s="5" t="inlineStr">
        <is>
          <t>카드</t>
        </is>
      </c>
      <c r="D3" s="5" t="inlineStr">
        <is>
          <t>관우</t>
        </is>
      </c>
      <c r="E3" s="5" t="n">
        <v>1</v>
      </c>
      <c r="F3" s="5" t="inlineStr">
        <is>
          <t>S</t>
        </is>
      </c>
      <c r="G3" s="5">
        <f>IF(C3="카드",INDEX(비용표!$C$2:$C$7,MATCH(F3,비용표!$B$2:$B$7,0)),F3*INDEX(비용표!$C$8:$C$9,MATCH(C3,비용표!$B$8:$B$9,0)))</f>
        <v/>
      </c>
      <c r="H3" s="5">
        <f>G3*E3</f>
        <v/>
      </c>
      <c r="I3" s="10">
        <f>IF(A3=A2,I2&amp;" · ","")&amp;IF(C3="카드",D3&amp;E3,"["&amp;C3&amp;"] "&amp;D3)</f>
        <v/>
      </c>
    </row>
    <row r="4">
      <c r="A4" s="5" t="n">
        <v>1</v>
      </c>
      <c r="B4" s="5" t="n">
        <v>3</v>
      </c>
      <c r="C4" s="5" t="inlineStr">
        <is>
          <t>카드</t>
        </is>
      </c>
      <c r="D4" s="5" t="inlineStr">
        <is>
          <t>장비</t>
        </is>
      </c>
      <c r="E4" s="5" t="n">
        <v>1</v>
      </c>
      <c r="F4" s="5" t="inlineStr">
        <is>
          <t>S</t>
        </is>
      </c>
      <c r="G4" s="5">
        <f>IF(C4="카드",INDEX(비용표!$C$2:$C$7,MATCH(F4,비용표!$B$2:$B$7,0)),F4*INDEX(비용표!$C$8:$C$9,MATCH(C4,비용표!$B$8:$B$9,0)))</f>
        <v/>
      </c>
      <c r="H4" s="5">
        <f>G4*E4</f>
        <v/>
      </c>
      <c r="I4" s="10">
        <f>IF(A4=A3,I3&amp;" · ","")&amp;IF(C4="카드",D4&amp;E4,"["&amp;C4&amp;"] "&amp;D4)</f>
        <v/>
      </c>
    </row>
    <row r="5">
      <c r="A5" s="5" t="n">
        <v>2</v>
      </c>
      <c r="B5" s="5" t="n">
        <v>1</v>
      </c>
      <c r="C5" s="5" t="inlineStr">
        <is>
          <t>카드</t>
        </is>
      </c>
      <c r="D5" s="5" t="inlineStr">
        <is>
          <t>유비</t>
        </is>
      </c>
      <c r="E5" s="5" t="n">
        <v>1</v>
      </c>
      <c r="F5" s="5" t="inlineStr">
        <is>
          <t>S</t>
        </is>
      </c>
      <c r="G5" s="5">
        <f>IF(C5="카드",INDEX(비용표!$C$2:$C$7,MATCH(F5,비용표!$B$2:$B$7,0)),F5*INDEX(비용표!$C$8:$C$9,MATCH(C5,비용표!$B$8:$B$9,0)))</f>
        <v/>
      </c>
      <c r="H5" s="5">
        <f>G5*E5</f>
        <v/>
      </c>
      <c r="I5" s="10">
        <f>IF(A5=A4,I4&amp;" · ","")&amp;IF(C5="카드",D5&amp;E5,"["&amp;C5&amp;"] "&amp;D5)</f>
        <v/>
      </c>
    </row>
    <row r="6">
      <c r="A6" s="5" t="n">
        <v>2</v>
      </c>
      <c r="B6" s="5" t="n">
        <v>2</v>
      </c>
      <c r="C6" s="5" t="inlineStr">
        <is>
          <t>카드</t>
        </is>
      </c>
      <c r="D6" s="5" t="inlineStr">
        <is>
          <t>조조</t>
        </is>
      </c>
      <c r="E6" s="5" t="n">
        <v>1</v>
      </c>
      <c r="F6" s="5" t="inlineStr">
        <is>
          <t>S</t>
        </is>
      </c>
      <c r="G6" s="5">
        <f>IF(C6="카드",INDEX(비용표!$C$2:$C$7,MATCH(F6,비용표!$B$2:$B$7,0)),F6*INDEX(비용표!$C$8:$C$9,MATCH(C6,비용표!$B$8:$B$9,0)))</f>
        <v/>
      </c>
      <c r="H6" s="5">
        <f>G6*E6</f>
        <v/>
      </c>
      <c r="I6" s="10">
        <f>IF(A6=A5,I5&amp;" · ","")&amp;IF(C6="카드",D6&amp;E6,"["&amp;C6&amp;"] "&amp;D6)</f>
        <v/>
      </c>
    </row>
    <row r="7">
      <c r="A7" s="5" t="n">
        <v>2</v>
      </c>
      <c r="B7" s="5" t="n">
        <v>3</v>
      </c>
      <c r="C7" s="5" t="inlineStr">
        <is>
          <t>카드</t>
        </is>
      </c>
      <c r="D7" s="5" t="inlineStr">
        <is>
          <t>손견</t>
        </is>
      </c>
      <c r="E7" s="5" t="n">
        <v>1</v>
      </c>
      <c r="F7" s="5" t="inlineStr">
        <is>
          <t>S</t>
        </is>
      </c>
      <c r="G7" s="5">
        <f>IF(C7="카드",INDEX(비용표!$C$2:$C$7,MATCH(F7,비용표!$B$2:$B$7,0)),F7*INDEX(비용표!$C$8:$C$9,MATCH(C7,비용표!$B$8:$B$9,0)))</f>
        <v/>
      </c>
      <c r="H7" s="5">
        <f>G7*E7</f>
        <v/>
      </c>
      <c r="I7" s="10">
        <f>IF(A7=A6,I6&amp;" · ","")&amp;IF(C7="카드",D7&amp;E7,"["&amp;C7&amp;"] "&amp;D7)</f>
        <v/>
      </c>
    </row>
    <row r="8">
      <c r="A8" s="5" t="n">
        <v>2</v>
      </c>
      <c r="B8" s="5" t="n">
        <v>4</v>
      </c>
      <c r="C8" s="5" t="inlineStr">
        <is>
          <t>아이템</t>
        </is>
      </c>
      <c r="D8" s="5" t="inlineStr">
        <is>
          <t>태평요술</t>
        </is>
      </c>
      <c r="E8" s="5" t="n">
        <v>1</v>
      </c>
      <c r="F8" s="5" t="n">
        <v>3</v>
      </c>
      <c r="G8" s="5">
        <f>IF(C8="카드",INDEX(비용표!$C$2:$C$7,MATCH(F8,비용표!$B$2:$B$7,0)),F8*INDEX(비용표!$C$8:$C$9,MATCH(C8,비용표!$B$8:$B$9,0)))</f>
        <v/>
      </c>
      <c r="H8" s="5">
        <f>G8*E8</f>
        <v/>
      </c>
      <c r="I8" s="10">
        <f>IF(A8=A7,I7&amp;" · ","")&amp;IF(C8="카드",D8&amp;E8,"["&amp;C8&amp;"] "&amp;D8)</f>
        <v/>
      </c>
    </row>
    <row r="9">
      <c r="A9" s="5" t="n">
        <v>3</v>
      </c>
      <c r="B9" s="5" t="n">
        <v>1</v>
      </c>
      <c r="C9" s="5" t="inlineStr">
        <is>
          <t>카드</t>
        </is>
      </c>
      <c r="D9" s="5" t="inlineStr">
        <is>
          <t>관우</t>
        </is>
      </c>
      <c r="E9" s="5" t="n">
        <v>1</v>
      </c>
      <c r="F9" s="5" t="inlineStr">
        <is>
          <t>S</t>
        </is>
      </c>
      <c r="G9" s="5">
        <f>IF(C9="카드",INDEX(비용표!$C$2:$C$7,MATCH(F9,비용표!$B$2:$B$7,0)),F9*INDEX(비용표!$C$8:$C$9,MATCH(C9,비용표!$B$8:$B$9,0)))</f>
        <v/>
      </c>
      <c r="H9" s="5">
        <f>G9*E9</f>
        <v/>
      </c>
      <c r="I9" s="10">
        <f>IF(A9=A8,I8&amp;" · ","")&amp;IF(C9="카드",D9&amp;E9,"["&amp;C9&amp;"] "&amp;D9)</f>
        <v/>
      </c>
    </row>
    <row r="10">
      <c r="A10" s="5" t="n">
        <v>3</v>
      </c>
      <c r="B10" s="5" t="n">
        <v>2</v>
      </c>
      <c r="C10" s="5" t="inlineStr">
        <is>
          <t>카드</t>
        </is>
      </c>
      <c r="D10" s="5" t="inlineStr">
        <is>
          <t>화웅</t>
        </is>
      </c>
      <c r="E10" s="5" t="n">
        <v>1</v>
      </c>
      <c r="F10" s="5" t="inlineStr">
        <is>
          <t>A</t>
        </is>
      </c>
      <c r="G10" s="5">
        <f>IF(C10="카드",INDEX(비용표!$C$2:$C$7,MATCH(F10,비용표!$B$2:$B$7,0)),F10*INDEX(비용표!$C$8:$C$9,MATCH(C10,비용표!$B$8:$B$9,0)))</f>
        <v/>
      </c>
      <c r="H10" s="5">
        <f>G10*E10</f>
        <v/>
      </c>
      <c r="I10" s="10">
        <f>IF(A10=A9,I9&amp;" · ","")&amp;IF(C10="카드",D10&amp;E10,"["&amp;C10&amp;"] "&amp;D10)</f>
        <v/>
      </c>
    </row>
    <row r="11">
      <c r="A11" s="5" t="n">
        <v>3</v>
      </c>
      <c r="B11" s="5" t="n">
        <v>3</v>
      </c>
      <c r="C11" s="5" t="inlineStr">
        <is>
          <t>카드</t>
        </is>
      </c>
      <c r="D11" s="5" t="inlineStr">
        <is>
          <t>조조</t>
        </is>
      </c>
      <c r="E11" s="5" t="n">
        <v>1</v>
      </c>
      <c r="F11" s="5" t="inlineStr">
        <is>
          <t>S</t>
        </is>
      </c>
      <c r="G11" s="5">
        <f>IF(C11="카드",INDEX(비용표!$C$2:$C$7,MATCH(F11,비용표!$B$2:$B$7,0)),F11*INDEX(비용표!$C$8:$C$9,MATCH(C11,비용표!$B$8:$B$9,0)))</f>
        <v/>
      </c>
      <c r="H11" s="5">
        <f>G11*E11</f>
        <v/>
      </c>
      <c r="I11" s="10">
        <f>IF(A11=A10,I10&amp;" · ","")&amp;IF(C11="카드",D11&amp;E11,"["&amp;C11&amp;"] "&amp;D11)</f>
        <v/>
      </c>
    </row>
    <row r="12">
      <c r="A12" s="5" t="n">
        <v>4</v>
      </c>
      <c r="B12" s="5" t="n">
        <v>1</v>
      </c>
      <c r="C12" s="5" t="inlineStr">
        <is>
          <t>카드</t>
        </is>
      </c>
      <c r="D12" s="5" t="inlineStr">
        <is>
          <t>여포</t>
        </is>
      </c>
      <c r="E12" s="5" t="n">
        <v>1</v>
      </c>
      <c r="F12" s="5" t="inlineStr">
        <is>
          <t>S</t>
        </is>
      </c>
      <c r="G12" s="5">
        <f>IF(C12="카드",INDEX(비용표!$C$2:$C$7,MATCH(F12,비용표!$B$2:$B$7,0)),F12*INDEX(비용표!$C$8:$C$9,MATCH(C12,비용표!$B$8:$B$9,0)))</f>
        <v/>
      </c>
      <c r="H12" s="5">
        <f>G12*E12</f>
        <v/>
      </c>
      <c r="I12" s="10">
        <f>IF(A12=A11,I11&amp;" · ","")&amp;IF(C12="카드",D12&amp;E12,"["&amp;C12&amp;"] "&amp;D12)</f>
        <v/>
      </c>
    </row>
    <row r="13">
      <c r="A13" s="5" t="n">
        <v>4</v>
      </c>
      <c r="B13" s="5" t="n">
        <v>2</v>
      </c>
      <c r="C13" s="5" t="inlineStr">
        <is>
          <t>카드</t>
        </is>
      </c>
      <c r="D13" s="5" t="inlineStr">
        <is>
          <t>유비</t>
        </is>
      </c>
      <c r="E13" s="5" t="n">
        <v>1</v>
      </c>
      <c r="F13" s="5" t="inlineStr">
        <is>
          <t>S</t>
        </is>
      </c>
      <c r="G13" s="5">
        <f>IF(C13="카드",INDEX(비용표!$C$2:$C$7,MATCH(F13,비용표!$B$2:$B$7,0)),F13*INDEX(비용표!$C$8:$C$9,MATCH(C13,비용표!$B$8:$B$9,0)))</f>
        <v/>
      </c>
      <c r="H13" s="5">
        <f>G13*E13</f>
        <v/>
      </c>
      <c r="I13" s="10">
        <f>IF(A13=A12,I12&amp;" · ","")&amp;IF(C13="카드",D13&amp;E13,"["&amp;C13&amp;"] "&amp;D13)</f>
        <v/>
      </c>
    </row>
    <row r="14">
      <c r="A14" s="5" t="n">
        <v>4</v>
      </c>
      <c r="B14" s="5" t="n">
        <v>3</v>
      </c>
      <c r="C14" s="5" t="inlineStr">
        <is>
          <t>카드</t>
        </is>
      </c>
      <c r="D14" s="5" t="inlineStr">
        <is>
          <t>관우</t>
        </is>
      </c>
      <c r="E14" s="5" t="n">
        <v>1</v>
      </c>
      <c r="F14" s="5" t="inlineStr">
        <is>
          <t>S</t>
        </is>
      </c>
      <c r="G14" s="5">
        <f>IF(C14="카드",INDEX(비용표!$C$2:$C$7,MATCH(F14,비용표!$B$2:$B$7,0)),F14*INDEX(비용표!$C$8:$C$9,MATCH(C14,비용표!$B$8:$B$9,0)))</f>
        <v/>
      </c>
      <c r="H14" s="5">
        <f>G14*E14</f>
        <v/>
      </c>
      <c r="I14" s="10">
        <f>IF(A14=A13,I13&amp;" · ","")&amp;IF(C14="카드",D14&amp;E14,"["&amp;C14&amp;"] "&amp;D14)</f>
        <v/>
      </c>
    </row>
    <row r="15">
      <c r="A15" s="5" t="n">
        <v>4</v>
      </c>
      <c r="B15" s="5" t="n">
        <v>4</v>
      </c>
      <c r="C15" s="5" t="inlineStr">
        <is>
          <t>카드</t>
        </is>
      </c>
      <c r="D15" s="5" t="inlineStr">
        <is>
          <t>장비</t>
        </is>
      </c>
      <c r="E15" s="5" t="n">
        <v>1</v>
      </c>
      <c r="F15" s="5" t="inlineStr">
        <is>
          <t>S</t>
        </is>
      </c>
      <c r="G15" s="5">
        <f>IF(C15="카드",INDEX(비용표!$C$2:$C$7,MATCH(F15,비용표!$B$2:$B$7,0)),F15*INDEX(비용표!$C$8:$C$9,MATCH(C15,비용표!$B$8:$B$9,0)))</f>
        <v/>
      </c>
      <c r="H15" s="5">
        <f>G15*E15</f>
        <v/>
      </c>
      <c r="I15" s="10">
        <f>IF(A15=A14,I14&amp;" · ","")&amp;IF(C15="카드",D15&amp;E15,"["&amp;C15&amp;"] "&amp;D15)</f>
        <v/>
      </c>
    </row>
    <row r="16">
      <c r="A16" s="5" t="n">
        <v>5</v>
      </c>
      <c r="B16" s="5" t="n">
        <v>1</v>
      </c>
      <c r="C16" s="5" t="inlineStr">
        <is>
          <t>카드</t>
        </is>
      </c>
      <c r="D16" s="5" t="inlineStr">
        <is>
          <t>원소</t>
        </is>
      </c>
      <c r="E16" s="5" t="n">
        <v>1</v>
      </c>
      <c r="F16" s="5" t="inlineStr">
        <is>
          <t>C</t>
        </is>
      </c>
      <c r="G16" s="5">
        <f>IF(C16="카드",INDEX(비용표!$C$2:$C$7,MATCH(F16,비용표!$B$2:$B$7,0)),F16*INDEX(비용표!$C$8:$C$9,MATCH(C16,비용표!$B$8:$B$9,0)))</f>
        <v/>
      </c>
      <c r="H16" s="5">
        <f>G16*E16</f>
        <v/>
      </c>
      <c r="I16" s="10">
        <f>IF(A16=A15,I15&amp;" · ","")&amp;IF(C16="카드",D16&amp;E16,"["&amp;C16&amp;"] "&amp;D16)</f>
        <v/>
      </c>
    </row>
    <row r="17">
      <c r="A17" s="5" t="n">
        <v>5</v>
      </c>
      <c r="B17" s="5" t="n">
        <v>2</v>
      </c>
      <c r="C17" s="5" t="inlineStr">
        <is>
          <t>카드</t>
        </is>
      </c>
      <c r="D17" s="5" t="inlineStr">
        <is>
          <t>조조</t>
        </is>
      </c>
      <c r="E17" s="5" t="n">
        <v>1</v>
      </c>
      <c r="F17" s="5" t="inlineStr">
        <is>
          <t>S</t>
        </is>
      </c>
      <c r="G17" s="5">
        <f>IF(C17="카드",INDEX(비용표!$C$2:$C$7,MATCH(F17,비용표!$B$2:$B$7,0)),F17*INDEX(비용표!$C$8:$C$9,MATCH(C17,비용표!$B$8:$B$9,0)))</f>
        <v/>
      </c>
      <c r="H17" s="5">
        <f>G17*E17</f>
        <v/>
      </c>
      <c r="I17" s="10">
        <f>IF(A17=A16,I16&amp;" · ","")&amp;IF(C17="카드",D17&amp;E17,"["&amp;C17&amp;"] "&amp;D17)</f>
        <v/>
      </c>
    </row>
    <row r="18">
      <c r="A18" s="5" t="n">
        <v>5</v>
      </c>
      <c r="B18" s="5" t="n">
        <v>3</v>
      </c>
      <c r="C18" s="5" t="inlineStr">
        <is>
          <t>카드</t>
        </is>
      </c>
      <c r="D18" s="5" t="inlineStr">
        <is>
          <t>손견</t>
        </is>
      </c>
      <c r="E18" s="5" t="n">
        <v>1</v>
      </c>
      <c r="F18" s="5" t="inlineStr">
        <is>
          <t>S</t>
        </is>
      </c>
      <c r="G18" s="5">
        <f>IF(C18="카드",INDEX(비용표!$C$2:$C$7,MATCH(F18,비용표!$B$2:$B$7,0)),F18*INDEX(비용표!$C$8:$C$9,MATCH(C18,비용표!$B$8:$B$9,0)))</f>
        <v/>
      </c>
      <c r="H18" s="5">
        <f>G18*E18</f>
        <v/>
      </c>
      <c r="I18" s="10">
        <f>IF(A18=A17,I17&amp;" · ","")&amp;IF(C18="카드",D18&amp;E18,"["&amp;C18&amp;"] "&amp;D18)</f>
        <v/>
      </c>
    </row>
    <row r="19">
      <c r="A19" s="5" t="n">
        <v>5</v>
      </c>
      <c r="B19" s="5" t="n">
        <v>4</v>
      </c>
      <c r="C19" s="5" t="inlineStr">
        <is>
          <t>카드</t>
        </is>
      </c>
      <c r="D19" s="5" t="inlineStr">
        <is>
          <t>공손찬</t>
        </is>
      </c>
      <c r="E19" s="5" t="n">
        <v>1</v>
      </c>
      <c r="F19" s="5" t="inlineStr">
        <is>
          <t>C</t>
        </is>
      </c>
      <c r="G19" s="5">
        <f>IF(C19="카드",INDEX(비용표!$C$2:$C$7,MATCH(F19,비용표!$B$2:$B$7,0)),F19*INDEX(비용표!$C$8:$C$9,MATCH(C19,비용표!$B$8:$B$9,0)))</f>
        <v/>
      </c>
      <c r="H19" s="5">
        <f>G19*E19</f>
        <v/>
      </c>
      <c r="I19" s="10">
        <f>IF(A19=A18,I18&amp;" · ","")&amp;IF(C19="카드",D19&amp;E19,"["&amp;C19&amp;"] "&amp;D19)</f>
        <v/>
      </c>
    </row>
    <row r="20">
      <c r="A20" s="5" t="n">
        <v>5</v>
      </c>
      <c r="B20" s="5" t="n">
        <v>5</v>
      </c>
      <c r="C20" s="5" t="inlineStr">
        <is>
          <t>카드</t>
        </is>
      </c>
      <c r="D20" s="5" t="inlineStr">
        <is>
          <t>원술</t>
        </is>
      </c>
      <c r="E20" s="5" t="n">
        <v>1</v>
      </c>
      <c r="F20" s="5" t="inlineStr">
        <is>
          <t>B</t>
        </is>
      </c>
      <c r="G20" s="5">
        <f>IF(C20="카드",INDEX(비용표!$C$2:$C$7,MATCH(F20,비용표!$B$2:$B$7,0)),F20*INDEX(비용표!$C$8:$C$9,MATCH(C20,비용표!$B$8:$B$9,0)))</f>
        <v/>
      </c>
      <c r="H20" s="5">
        <f>G20*E20</f>
        <v/>
      </c>
      <c r="I20" s="10">
        <f>IF(A20=A19,I19&amp;" · ","")&amp;IF(C20="카드",D20&amp;E20,"["&amp;C20&amp;"] "&amp;D20)</f>
        <v/>
      </c>
    </row>
    <row r="21">
      <c r="A21" s="5" t="n">
        <v>6</v>
      </c>
      <c r="B21" s="5" t="n">
        <v>1</v>
      </c>
      <c r="C21" s="5" t="inlineStr">
        <is>
          <t>카드</t>
        </is>
      </c>
      <c r="D21" s="5" t="inlineStr">
        <is>
          <t>동탁</t>
        </is>
      </c>
      <c r="E21" s="5" t="n">
        <v>1</v>
      </c>
      <c r="F21" s="5" t="inlineStr">
        <is>
          <t>A</t>
        </is>
      </c>
      <c r="G21" s="5">
        <f>IF(C21="카드",INDEX(비용표!$C$2:$C$7,MATCH(F21,비용표!$B$2:$B$7,0)),F21*INDEX(비용표!$C$8:$C$9,MATCH(C21,비용표!$B$8:$B$9,0)))</f>
        <v/>
      </c>
      <c r="H21" s="5">
        <f>G21*E21</f>
        <v/>
      </c>
      <c r="I21" s="10">
        <f>IF(A21=A20,I20&amp;" · ","")&amp;IF(C21="카드",D21&amp;E21,"["&amp;C21&amp;"] "&amp;D21)</f>
        <v/>
      </c>
    </row>
    <row r="22">
      <c r="A22" s="5" t="n">
        <v>6</v>
      </c>
      <c r="B22" s="5" t="n">
        <v>2</v>
      </c>
      <c r="C22" s="5" t="inlineStr">
        <is>
          <t>카드</t>
        </is>
      </c>
      <c r="D22" s="5" t="inlineStr">
        <is>
          <t>이유</t>
        </is>
      </c>
      <c r="E22" s="5" t="n">
        <v>1</v>
      </c>
      <c r="F22" s="5" t="inlineStr">
        <is>
          <t>A</t>
        </is>
      </c>
      <c r="G22" s="5">
        <f>IF(C22="카드",INDEX(비용표!$C$2:$C$7,MATCH(F22,비용표!$B$2:$B$7,0)),F22*INDEX(비용표!$C$8:$C$9,MATCH(C22,비용표!$B$8:$B$9,0)))</f>
        <v/>
      </c>
      <c r="H22" s="5">
        <f>G22*E22</f>
        <v/>
      </c>
      <c r="I22" s="10">
        <f>IF(A22=A21,I21&amp;" · ","")&amp;IF(C22="카드",D22&amp;E22,"["&amp;C22&amp;"] "&amp;D22)</f>
        <v/>
      </c>
    </row>
    <row r="23">
      <c r="A23" s="5" t="n">
        <v>6</v>
      </c>
      <c r="B23" s="5" t="n">
        <v>3</v>
      </c>
      <c r="C23" s="5" t="inlineStr">
        <is>
          <t>카드</t>
        </is>
      </c>
      <c r="D23" s="5" t="inlineStr">
        <is>
          <t>이각</t>
        </is>
      </c>
      <c r="E23" s="5" t="n">
        <v>1</v>
      </c>
      <c r="F23" s="5" t="inlineStr">
        <is>
          <t>C</t>
        </is>
      </c>
      <c r="G23" s="5">
        <f>IF(C23="카드",INDEX(비용표!$C$2:$C$7,MATCH(F23,비용표!$B$2:$B$7,0)),F23*INDEX(비용표!$C$8:$C$9,MATCH(C23,비용표!$B$8:$B$9,0)))</f>
        <v/>
      </c>
      <c r="H23" s="5">
        <f>G23*E23</f>
        <v/>
      </c>
      <c r="I23" s="10">
        <f>IF(A23=A22,I22&amp;" · ","")&amp;IF(C23="카드",D23&amp;E23,"["&amp;C23&amp;"] "&amp;D23)</f>
        <v/>
      </c>
    </row>
    <row r="24">
      <c r="A24" s="5" t="n">
        <v>6</v>
      </c>
      <c r="B24" s="5" t="n">
        <v>4</v>
      </c>
      <c r="C24" s="5" t="inlineStr">
        <is>
          <t>카드</t>
        </is>
      </c>
      <c r="D24" s="5" t="inlineStr">
        <is>
          <t>곽사</t>
        </is>
      </c>
      <c r="E24" s="5" t="n">
        <v>1</v>
      </c>
      <c r="F24" s="5" t="inlineStr">
        <is>
          <t>C</t>
        </is>
      </c>
      <c r="G24" s="5">
        <f>IF(C24="카드",INDEX(비용표!$C$2:$C$7,MATCH(F24,비용표!$B$2:$B$7,0)),F24*INDEX(비용표!$C$8:$C$9,MATCH(C24,비용표!$B$8:$B$9,0)))</f>
        <v/>
      </c>
      <c r="H24" s="5">
        <f>G24*E24</f>
        <v/>
      </c>
      <c r="I24" s="10">
        <f>IF(A24=A23,I23&amp;" · ","")&amp;IF(C24="카드",D24&amp;E24,"["&amp;C24&amp;"] "&amp;D24)</f>
        <v/>
      </c>
    </row>
    <row r="25">
      <c r="A25" s="5" t="n">
        <v>7</v>
      </c>
      <c r="B25" s="5" t="n">
        <v>1</v>
      </c>
      <c r="C25" s="5" t="inlineStr">
        <is>
          <t>카드</t>
        </is>
      </c>
      <c r="D25" s="5" t="inlineStr">
        <is>
          <t>조조</t>
        </is>
      </c>
      <c r="E25" s="5" t="n">
        <v>1</v>
      </c>
      <c r="F25" s="5" t="inlineStr">
        <is>
          <t>S</t>
        </is>
      </c>
      <c r="G25" s="5">
        <f>IF(C25="카드",INDEX(비용표!$C$2:$C$7,MATCH(F25,비용표!$B$2:$B$7,0)),F25*INDEX(비용표!$C$8:$C$9,MATCH(C25,비용표!$B$8:$B$9,0)))</f>
        <v/>
      </c>
      <c r="H25" s="5">
        <f>G25*E25</f>
        <v/>
      </c>
      <c r="I25" s="10">
        <f>IF(A25=A24,I24&amp;" · ","")&amp;IF(C25="카드",D25&amp;E25,"["&amp;C25&amp;"] "&amp;D25)</f>
        <v/>
      </c>
    </row>
    <row r="26">
      <c r="A26" s="5" t="n">
        <v>7</v>
      </c>
      <c r="B26" s="5" t="n">
        <v>2</v>
      </c>
      <c r="C26" s="5" t="inlineStr">
        <is>
          <t>카드</t>
        </is>
      </c>
      <c r="D26" s="5" t="inlineStr">
        <is>
          <t>동탁</t>
        </is>
      </c>
      <c r="E26" s="5" t="n">
        <v>1</v>
      </c>
      <c r="F26" s="5" t="inlineStr">
        <is>
          <t>A</t>
        </is>
      </c>
      <c r="G26" s="5">
        <f>IF(C26="카드",INDEX(비용표!$C$2:$C$7,MATCH(F26,비용표!$B$2:$B$7,0)),F26*INDEX(비용표!$C$8:$C$9,MATCH(C26,비용표!$B$8:$B$9,0)))</f>
        <v/>
      </c>
      <c r="H26" s="5">
        <f>G26*E26</f>
        <v/>
      </c>
      <c r="I26" s="10">
        <f>IF(A26=A25,I25&amp;" · ","")&amp;IF(C26="카드",D26&amp;E26,"["&amp;C26&amp;"] "&amp;D26)</f>
        <v/>
      </c>
    </row>
    <row r="27">
      <c r="A27" s="5" t="n">
        <v>7</v>
      </c>
      <c r="B27" s="5" t="n">
        <v>3</v>
      </c>
      <c r="C27" s="5" t="inlineStr">
        <is>
          <t>병기</t>
        </is>
      </c>
      <c r="D27" s="5" t="inlineStr">
        <is>
          <t>칠성보도</t>
        </is>
      </c>
      <c r="E27" s="5" t="n">
        <v>1</v>
      </c>
      <c r="F27" s="5" t="n">
        <v>3</v>
      </c>
      <c r="G27" s="5">
        <f>IF(C27="카드",INDEX(비용표!$C$2:$C$7,MATCH(F27,비용표!$B$2:$B$7,0)),F27*INDEX(비용표!$C$8:$C$9,MATCH(C27,비용표!$B$8:$B$9,0)))</f>
        <v/>
      </c>
      <c r="H27" s="5">
        <f>G27*E27</f>
        <v/>
      </c>
      <c r="I27" s="10">
        <f>IF(A27=A26,I26&amp;" · ","")&amp;IF(C27="카드",D27&amp;E27,"["&amp;C27&amp;"] "&amp;D27)</f>
        <v/>
      </c>
    </row>
    <row r="28">
      <c r="A28" s="5" t="n">
        <v>8</v>
      </c>
      <c r="B28" s="5" t="n">
        <v>1</v>
      </c>
      <c r="C28" s="5" t="inlineStr">
        <is>
          <t>카드</t>
        </is>
      </c>
      <c r="D28" s="5" t="inlineStr">
        <is>
          <t>진궁</t>
        </is>
      </c>
      <c r="E28" s="5" t="n">
        <v>1</v>
      </c>
      <c r="F28" s="5" t="inlineStr">
        <is>
          <t>B</t>
        </is>
      </c>
      <c r="G28" s="5">
        <f>IF(C28="카드",INDEX(비용표!$C$2:$C$7,MATCH(F28,비용표!$B$2:$B$7,0)),F28*INDEX(비용표!$C$8:$C$9,MATCH(C28,비용표!$B$8:$B$9,0)))</f>
        <v/>
      </c>
      <c r="H28" s="5">
        <f>G28*E28</f>
        <v/>
      </c>
      <c r="I28" s="10">
        <f>IF(A28=A27,I27&amp;" · ","")&amp;IF(C28="카드",D28&amp;E28,"["&amp;C28&amp;"] "&amp;D28)</f>
        <v/>
      </c>
    </row>
    <row r="29">
      <c r="A29" s="5" t="n">
        <v>8</v>
      </c>
      <c r="B29" s="5" t="n">
        <v>2</v>
      </c>
      <c r="C29" s="5" t="inlineStr">
        <is>
          <t>카드</t>
        </is>
      </c>
      <c r="D29" s="5" t="inlineStr">
        <is>
          <t>조조</t>
        </is>
      </c>
      <c r="E29" s="5" t="n">
        <v>1</v>
      </c>
      <c r="F29" s="5" t="inlineStr">
        <is>
          <t>S</t>
        </is>
      </c>
      <c r="G29" s="5">
        <f>IF(C29="카드",INDEX(비용표!$C$2:$C$7,MATCH(F29,비용표!$B$2:$B$7,0)),F29*INDEX(비용표!$C$8:$C$9,MATCH(C29,비용표!$B$8:$B$9,0)))</f>
        <v/>
      </c>
      <c r="H29" s="5">
        <f>G29*E29</f>
        <v/>
      </c>
      <c r="I29" s="10">
        <f>IF(A29=A28,I28&amp;" · ","")&amp;IF(C29="카드",D29&amp;E29,"["&amp;C29&amp;"] "&amp;D29)</f>
        <v/>
      </c>
    </row>
    <row r="30">
      <c r="A30" s="5" t="n">
        <v>9</v>
      </c>
      <c r="B30" s="5" t="n">
        <v>1</v>
      </c>
      <c r="C30" s="5" t="inlineStr">
        <is>
          <t>카드</t>
        </is>
      </c>
      <c r="D30" s="5" t="inlineStr">
        <is>
          <t>조조</t>
        </is>
      </c>
      <c r="E30" s="5" t="n">
        <v>1</v>
      </c>
      <c r="F30" s="5" t="inlineStr">
        <is>
          <t>S</t>
        </is>
      </c>
      <c r="G30" s="5">
        <f>IF(C30="카드",INDEX(비용표!$C$2:$C$7,MATCH(F30,비용표!$B$2:$B$7,0)),F30*INDEX(비용표!$C$8:$C$9,MATCH(C30,비용표!$B$8:$B$9,0)))</f>
        <v/>
      </c>
      <c r="H30" s="5">
        <f>G30*E30</f>
        <v/>
      </c>
      <c r="I30" s="10">
        <f>IF(A30=A29,I29&amp;" · ","")&amp;IF(C30="카드",D30&amp;E30,"["&amp;C30&amp;"] "&amp;D30)</f>
        <v/>
      </c>
    </row>
    <row r="31">
      <c r="A31" s="5" t="n">
        <v>9</v>
      </c>
      <c r="B31" s="5" t="n">
        <v>2</v>
      </c>
      <c r="C31" s="5" t="inlineStr">
        <is>
          <t>카드</t>
        </is>
      </c>
      <c r="D31" s="5" t="inlineStr">
        <is>
          <t>조홍</t>
        </is>
      </c>
      <c r="E31" s="5" t="n">
        <v>1</v>
      </c>
      <c r="F31" s="5" t="inlineStr">
        <is>
          <t>B</t>
        </is>
      </c>
      <c r="G31" s="5">
        <f>IF(C31="카드",INDEX(비용표!$C$2:$C$7,MATCH(F31,비용표!$B$2:$B$7,0)),F31*INDEX(비용표!$C$8:$C$9,MATCH(C31,비용표!$B$8:$B$9,0)))</f>
        <v/>
      </c>
      <c r="H31" s="5">
        <f>G31*E31</f>
        <v/>
      </c>
      <c r="I31" s="10">
        <f>IF(A31=A30,I30&amp;" · ","")&amp;IF(C31="카드",D31&amp;E31,"["&amp;C31&amp;"] "&amp;D31)</f>
        <v/>
      </c>
    </row>
    <row r="32">
      <c r="A32" s="5" t="n">
        <v>9</v>
      </c>
      <c r="B32" s="5" t="n">
        <v>3</v>
      </c>
      <c r="C32" s="5" t="inlineStr">
        <is>
          <t>카드</t>
        </is>
      </c>
      <c r="D32" s="5" t="inlineStr">
        <is>
          <t>서영</t>
        </is>
      </c>
      <c r="E32" s="5" t="n">
        <v>1</v>
      </c>
      <c r="F32" s="5" t="inlineStr">
        <is>
          <t>D</t>
        </is>
      </c>
      <c r="G32" s="5">
        <f>IF(C32="카드",INDEX(비용표!$C$2:$C$7,MATCH(F32,비용표!$B$2:$B$7,0)),F32*INDEX(비용표!$C$8:$C$9,MATCH(C32,비용표!$B$8:$B$9,0)))</f>
        <v/>
      </c>
      <c r="H32" s="5">
        <f>G32*E32</f>
        <v/>
      </c>
      <c r="I32" s="10">
        <f>IF(A32=A31,I31&amp;" · ","")&amp;IF(C32="카드",D32&amp;E32,"["&amp;C32&amp;"] "&amp;D32)</f>
        <v/>
      </c>
    </row>
    <row r="33">
      <c r="A33" s="5" t="n">
        <v>10</v>
      </c>
      <c r="B33" s="5" t="n">
        <v>1</v>
      </c>
      <c r="C33" s="5" t="inlineStr">
        <is>
          <t>카드</t>
        </is>
      </c>
      <c r="D33" s="5" t="inlineStr">
        <is>
          <t>손견</t>
        </is>
      </c>
      <c r="E33" s="5" t="n">
        <v>1</v>
      </c>
      <c r="F33" s="5" t="inlineStr">
        <is>
          <t>S</t>
        </is>
      </c>
      <c r="G33" s="5">
        <f>IF(C33="카드",INDEX(비용표!$C$2:$C$7,MATCH(F33,비용표!$B$2:$B$7,0)),F33*INDEX(비용표!$C$8:$C$9,MATCH(C33,비용표!$B$8:$B$9,0)))</f>
        <v/>
      </c>
      <c r="H33" s="5">
        <f>G33*E33</f>
        <v/>
      </c>
      <c r="I33" s="10">
        <f>IF(A33=A32,I32&amp;" · ","")&amp;IF(C33="카드",D33&amp;E33,"["&amp;C33&amp;"] "&amp;D33)</f>
        <v/>
      </c>
    </row>
    <row r="34">
      <c r="A34" s="5" t="n">
        <v>10</v>
      </c>
      <c r="B34" s="5" t="n">
        <v>2</v>
      </c>
      <c r="C34" s="5" t="inlineStr">
        <is>
          <t>카드</t>
        </is>
      </c>
      <c r="D34" s="5" t="inlineStr">
        <is>
          <t>정보</t>
        </is>
      </c>
      <c r="E34" s="5" t="n">
        <v>1</v>
      </c>
      <c r="F34" s="5" t="inlineStr">
        <is>
          <t>A</t>
        </is>
      </c>
      <c r="G34" s="5">
        <f>IF(C34="카드",INDEX(비용표!$C$2:$C$7,MATCH(F34,비용표!$B$2:$B$7,0)),F34*INDEX(비용표!$C$8:$C$9,MATCH(C34,비용표!$B$8:$B$9,0)))</f>
        <v/>
      </c>
      <c r="H34" s="5">
        <f>G34*E34</f>
        <v/>
      </c>
      <c r="I34" s="10">
        <f>IF(A34=A33,I33&amp;" · ","")&amp;IF(C34="카드",D34&amp;E34,"["&amp;C34&amp;"] "&amp;D34)</f>
        <v/>
      </c>
    </row>
    <row r="35">
      <c r="A35" s="5" t="n">
        <v>10</v>
      </c>
      <c r="B35" s="5" t="n">
        <v>3</v>
      </c>
      <c r="C35" s="5" t="inlineStr">
        <is>
          <t>카드</t>
        </is>
      </c>
      <c r="D35" s="5" t="inlineStr">
        <is>
          <t>황개</t>
        </is>
      </c>
      <c r="E35" s="5" t="n">
        <v>1</v>
      </c>
      <c r="F35" s="5" t="inlineStr">
        <is>
          <t>A</t>
        </is>
      </c>
      <c r="G35" s="5">
        <f>IF(C35="카드",INDEX(비용표!$C$2:$C$7,MATCH(F35,비용표!$B$2:$B$7,0)),F35*INDEX(비용표!$C$8:$C$9,MATCH(C35,비용표!$B$8:$B$9,0)))</f>
        <v/>
      </c>
      <c r="H35" s="5">
        <f>G35*E35</f>
        <v/>
      </c>
      <c r="I35" s="10">
        <f>IF(A35=A34,I34&amp;" · ","")&amp;IF(C35="카드",D35&amp;E35,"["&amp;C35&amp;"] "&amp;D35)</f>
        <v/>
      </c>
    </row>
    <row r="36">
      <c r="A36" s="5" t="n">
        <v>10</v>
      </c>
      <c r="B36" s="5" t="n">
        <v>4</v>
      </c>
      <c r="C36" s="5" t="inlineStr">
        <is>
          <t>카드</t>
        </is>
      </c>
      <c r="D36" s="5" t="inlineStr">
        <is>
          <t>한당</t>
        </is>
      </c>
      <c r="E36" s="5" t="n">
        <v>1</v>
      </c>
      <c r="F36" s="5" t="inlineStr">
        <is>
          <t>C</t>
        </is>
      </c>
      <c r="G36" s="5">
        <f>IF(C36="카드",INDEX(비용표!$C$2:$C$7,MATCH(F36,비용표!$B$2:$B$7,0)),F36*INDEX(비용표!$C$8:$C$9,MATCH(C36,비용표!$B$8:$B$9,0)))</f>
        <v/>
      </c>
      <c r="H36" s="5">
        <f>G36*E36</f>
        <v/>
      </c>
      <c r="I36" s="10">
        <f>IF(A36=A35,I35&amp;" · ","")&amp;IF(C36="카드",D36&amp;E36,"["&amp;C36&amp;"] "&amp;D36)</f>
        <v/>
      </c>
    </row>
    <row r="37">
      <c r="A37" s="5" t="n">
        <v>11</v>
      </c>
      <c r="B37" s="5" t="n">
        <v>1</v>
      </c>
      <c r="C37" s="5" t="inlineStr">
        <is>
          <t>카드</t>
        </is>
      </c>
      <c r="D37" s="5" t="inlineStr">
        <is>
          <t>손견</t>
        </is>
      </c>
      <c r="E37" s="5" t="n">
        <v>1</v>
      </c>
      <c r="F37" s="5" t="inlineStr">
        <is>
          <t>S</t>
        </is>
      </c>
      <c r="G37" s="5">
        <f>IF(C37="카드",INDEX(비용표!$C$2:$C$7,MATCH(F37,비용표!$B$2:$B$7,0)),F37*INDEX(비용표!$C$8:$C$9,MATCH(C37,비용표!$B$8:$B$9,0)))</f>
        <v/>
      </c>
      <c r="H37" s="5">
        <f>G37*E37</f>
        <v/>
      </c>
      <c r="I37" s="10">
        <f>IF(A37=A36,I36&amp;" · ","")&amp;IF(C37="카드",D37&amp;E37,"["&amp;C37&amp;"] "&amp;D37)</f>
        <v/>
      </c>
    </row>
    <row r="38">
      <c r="A38" s="5" t="n">
        <v>11</v>
      </c>
      <c r="B38" s="5" t="n">
        <v>2</v>
      </c>
      <c r="C38" s="5" t="inlineStr">
        <is>
          <t>카드</t>
        </is>
      </c>
      <c r="D38" s="5" t="inlineStr">
        <is>
          <t>유표</t>
        </is>
      </c>
      <c r="E38" s="5" t="n">
        <v>1</v>
      </c>
      <c r="F38" s="5" t="inlineStr">
        <is>
          <t>B</t>
        </is>
      </c>
      <c r="G38" s="5">
        <f>IF(C38="카드",INDEX(비용표!$C$2:$C$7,MATCH(F38,비용표!$B$2:$B$7,0)),F38*INDEX(비용표!$C$8:$C$9,MATCH(C38,비용표!$B$8:$B$9,0)))</f>
        <v/>
      </c>
      <c r="H38" s="5">
        <f>G38*E38</f>
        <v/>
      </c>
      <c r="I38" s="10">
        <f>IF(A38=A37,I37&amp;" · ","")&amp;IF(C38="카드",D38&amp;E38,"["&amp;C38&amp;"] "&amp;D38)</f>
        <v/>
      </c>
    </row>
    <row r="39">
      <c r="A39" s="5" t="n">
        <v>11</v>
      </c>
      <c r="B39" s="5" t="n">
        <v>3</v>
      </c>
      <c r="C39" s="5" t="inlineStr">
        <is>
          <t>카드</t>
        </is>
      </c>
      <c r="D39" s="5" t="inlineStr">
        <is>
          <t>괴월</t>
        </is>
      </c>
      <c r="E39" s="5" t="n">
        <v>1</v>
      </c>
      <c r="F39" s="5" t="inlineStr">
        <is>
          <t>B</t>
        </is>
      </c>
      <c r="G39" s="5">
        <f>IF(C39="카드",INDEX(비용표!$C$2:$C$7,MATCH(F39,비용표!$B$2:$B$7,0)),F39*INDEX(비용표!$C$8:$C$9,MATCH(C39,비용표!$B$8:$B$9,0)))</f>
        <v/>
      </c>
      <c r="H39" s="5">
        <f>G39*E39</f>
        <v/>
      </c>
      <c r="I39" s="10">
        <f>IF(A39=A38,I38&amp;" · ","")&amp;IF(C39="카드",D39&amp;E39,"["&amp;C39&amp;"] "&amp;D39)</f>
        <v/>
      </c>
    </row>
    <row r="40">
      <c r="A40" s="5" t="n">
        <v>11</v>
      </c>
      <c r="B40" s="5" t="n">
        <v>4</v>
      </c>
      <c r="C40" s="5" t="inlineStr">
        <is>
          <t>카드</t>
        </is>
      </c>
      <c r="D40" s="5" t="inlineStr">
        <is>
          <t>채모</t>
        </is>
      </c>
      <c r="E40" s="5" t="n">
        <v>1</v>
      </c>
      <c r="F40" s="5" t="inlineStr">
        <is>
          <t>B</t>
        </is>
      </c>
      <c r="G40" s="5">
        <f>IF(C40="카드",INDEX(비용표!$C$2:$C$7,MATCH(F40,비용표!$B$2:$B$7,0)),F40*INDEX(비용표!$C$8:$C$9,MATCH(C40,비용표!$B$8:$B$9,0)))</f>
        <v/>
      </c>
      <c r="H40" s="5">
        <f>G40*E40</f>
        <v/>
      </c>
      <c r="I40" s="10">
        <f>IF(A40=A39,I39&amp;" · ","")&amp;IF(C40="카드",D40&amp;E40,"["&amp;C40&amp;"] "&amp;D40)</f>
        <v/>
      </c>
    </row>
    <row r="41">
      <c r="A41" s="5" t="n">
        <v>12</v>
      </c>
      <c r="B41" s="5" t="n">
        <v>1</v>
      </c>
      <c r="C41" s="5" t="inlineStr">
        <is>
          <t>카드</t>
        </is>
      </c>
      <c r="D41" s="5" t="inlineStr">
        <is>
          <t>공손찬</t>
        </is>
      </c>
      <c r="E41" s="5" t="n">
        <v>1</v>
      </c>
      <c r="F41" s="5" t="inlineStr">
        <is>
          <t>C</t>
        </is>
      </c>
      <c r="G41" s="5">
        <f>IF(C41="카드",INDEX(비용표!$C$2:$C$7,MATCH(F41,비용표!$B$2:$B$7,0)),F41*INDEX(비용표!$C$8:$C$9,MATCH(C41,비용표!$B$8:$B$9,0)))</f>
        <v/>
      </c>
      <c r="H41" s="5">
        <f>G41*E41</f>
        <v/>
      </c>
      <c r="I41" s="10">
        <f>IF(A41=A40,I40&amp;" · ","")&amp;IF(C41="카드",D41&amp;E41,"["&amp;C41&amp;"] "&amp;D41)</f>
        <v/>
      </c>
    </row>
    <row r="42">
      <c r="A42" s="5" t="n">
        <v>12</v>
      </c>
      <c r="B42" s="5" t="n">
        <v>2</v>
      </c>
      <c r="C42" s="5" t="inlineStr">
        <is>
          <t>카드</t>
        </is>
      </c>
      <c r="D42" s="5" t="inlineStr">
        <is>
          <t>조운</t>
        </is>
      </c>
      <c r="E42" s="5" t="n">
        <v>1</v>
      </c>
      <c r="F42" s="5" t="inlineStr">
        <is>
          <t>S</t>
        </is>
      </c>
      <c r="G42" s="5">
        <f>IF(C42="카드",INDEX(비용표!$C$2:$C$7,MATCH(F42,비용표!$B$2:$B$7,0)),F42*INDEX(비용표!$C$8:$C$9,MATCH(C42,비용표!$B$8:$B$9,0)))</f>
        <v/>
      </c>
      <c r="H42" s="5">
        <f>G42*E42</f>
        <v/>
      </c>
      <c r="I42" s="10">
        <f>IF(A42=A41,I41&amp;" · ","")&amp;IF(C42="카드",D42&amp;E42,"["&amp;C42&amp;"] "&amp;D42)</f>
        <v/>
      </c>
    </row>
    <row r="43">
      <c r="A43" s="5" t="n">
        <v>12</v>
      </c>
      <c r="B43" s="5" t="n">
        <v>3</v>
      </c>
      <c r="C43" s="5" t="inlineStr">
        <is>
          <t>카드</t>
        </is>
      </c>
      <c r="D43" s="5" t="inlineStr">
        <is>
          <t>엄강</t>
        </is>
      </c>
      <c r="E43" s="5" t="n">
        <v>1</v>
      </c>
      <c r="F43" s="5" t="inlineStr">
        <is>
          <t>C</t>
        </is>
      </c>
      <c r="G43" s="5">
        <f>IF(C43="카드",INDEX(비용표!$C$2:$C$7,MATCH(F43,비용표!$B$2:$B$7,0)),F43*INDEX(비용표!$C$8:$C$9,MATCH(C43,비용표!$B$8:$B$9,0)))</f>
        <v/>
      </c>
      <c r="H43" s="5">
        <f>G43*E43</f>
        <v/>
      </c>
      <c r="I43" s="10">
        <f>IF(A43=A42,I42&amp;" · ","")&amp;IF(C43="카드",D43&amp;E43,"["&amp;C43&amp;"] "&amp;D43)</f>
        <v/>
      </c>
    </row>
    <row r="44">
      <c r="A44" s="5" t="n">
        <v>12</v>
      </c>
      <c r="B44" s="5" t="n">
        <v>4</v>
      </c>
      <c r="C44" s="5" t="inlineStr">
        <is>
          <t>아이템</t>
        </is>
      </c>
      <c r="D44" s="5" t="inlineStr">
        <is>
          <t>대완마</t>
        </is>
      </c>
      <c r="E44" s="5" t="n">
        <v>1</v>
      </c>
      <c r="F44" s="5" t="n">
        <v>2</v>
      </c>
      <c r="G44" s="5">
        <f>IF(C44="카드",INDEX(비용표!$C$2:$C$7,MATCH(F44,비용표!$B$2:$B$7,0)),F44*INDEX(비용표!$C$8:$C$9,MATCH(C44,비용표!$B$8:$B$9,0)))</f>
        <v/>
      </c>
      <c r="H44" s="5">
        <f>G44*E44</f>
        <v/>
      </c>
      <c r="I44" s="10">
        <f>IF(A44=A43,I43&amp;" · ","")&amp;IF(C44="카드",D44&amp;E44,"["&amp;C44&amp;"] "&amp;D44)</f>
        <v/>
      </c>
    </row>
    <row r="45">
      <c r="A45" s="5" t="n">
        <v>13</v>
      </c>
      <c r="B45" s="5" t="n">
        <v>1</v>
      </c>
      <c r="C45" s="5" t="inlineStr">
        <is>
          <t>카드</t>
        </is>
      </c>
      <c r="D45" s="5" t="inlineStr">
        <is>
          <t>국의</t>
        </is>
      </c>
      <c r="E45" s="5" t="n">
        <v>1</v>
      </c>
      <c r="F45" s="5" t="inlineStr">
        <is>
          <t>C</t>
        </is>
      </c>
      <c r="G45" s="5">
        <f>IF(C45="카드",INDEX(비용표!$C$2:$C$7,MATCH(F45,비용표!$B$2:$B$7,0)),F45*INDEX(비용표!$C$8:$C$9,MATCH(C45,비용표!$B$8:$B$9,0)))</f>
        <v/>
      </c>
      <c r="H45" s="5">
        <f>G45*E45</f>
        <v/>
      </c>
      <c r="I45" s="10">
        <f>IF(A45=A44,I44&amp;" · ","")&amp;IF(C45="카드",D45&amp;E45,"["&amp;C45&amp;"] "&amp;D45)</f>
        <v/>
      </c>
    </row>
    <row r="46">
      <c r="A46" s="5" t="n">
        <v>13</v>
      </c>
      <c r="B46" s="5" t="n">
        <v>2</v>
      </c>
      <c r="C46" s="5" t="inlineStr">
        <is>
          <t>카드</t>
        </is>
      </c>
      <c r="D46" s="5" t="inlineStr">
        <is>
          <t>원소</t>
        </is>
      </c>
      <c r="E46" s="5" t="n">
        <v>1</v>
      </c>
      <c r="F46" s="5" t="inlineStr">
        <is>
          <t>C</t>
        </is>
      </c>
      <c r="G46" s="5">
        <f>IF(C46="카드",INDEX(비용표!$C$2:$C$7,MATCH(F46,비용표!$B$2:$B$7,0)),F46*INDEX(비용표!$C$8:$C$9,MATCH(C46,비용표!$B$8:$B$9,0)))</f>
        <v/>
      </c>
      <c r="H46" s="5">
        <f>G46*E46</f>
        <v/>
      </c>
      <c r="I46" s="10">
        <f>IF(A46=A45,I45&amp;" · ","")&amp;IF(C46="카드",D46&amp;E46,"["&amp;C46&amp;"] "&amp;D46)</f>
        <v/>
      </c>
    </row>
    <row r="47">
      <c r="A47" s="5" t="n">
        <v>13</v>
      </c>
      <c r="B47" s="5" t="n">
        <v>3</v>
      </c>
      <c r="C47" s="5" t="inlineStr">
        <is>
          <t>카드</t>
        </is>
      </c>
      <c r="D47" s="5" t="inlineStr">
        <is>
          <t>공손찬</t>
        </is>
      </c>
      <c r="E47" s="5" t="n">
        <v>1</v>
      </c>
      <c r="F47" s="5" t="inlineStr">
        <is>
          <t>C</t>
        </is>
      </c>
      <c r="G47" s="5">
        <f>IF(C47="카드",INDEX(비용표!$C$2:$C$7,MATCH(F47,비용표!$B$2:$B$7,0)),F47*INDEX(비용표!$C$8:$C$9,MATCH(C47,비용표!$B$8:$B$9,0)))</f>
        <v/>
      </c>
      <c r="H47" s="5">
        <f>G47*E47</f>
        <v/>
      </c>
      <c r="I47" s="10">
        <f>IF(A47=A46,I46&amp;" · ","")&amp;IF(C47="카드",D47&amp;E47,"["&amp;C47&amp;"] "&amp;D47)</f>
        <v/>
      </c>
    </row>
    <row r="48">
      <c r="A48" s="5" t="n">
        <v>14</v>
      </c>
      <c r="B48" s="5" t="n">
        <v>1</v>
      </c>
      <c r="C48" s="5" t="inlineStr">
        <is>
          <t>카드</t>
        </is>
      </c>
      <c r="D48" s="5" t="inlineStr">
        <is>
          <t>이각</t>
        </is>
      </c>
      <c r="E48" s="5" t="n">
        <v>1</v>
      </c>
      <c r="F48" s="5" t="inlineStr">
        <is>
          <t>C</t>
        </is>
      </c>
      <c r="G48" s="5">
        <f>IF(C48="카드",INDEX(비용표!$C$2:$C$7,MATCH(F48,비용표!$B$2:$B$7,0)),F48*INDEX(비용표!$C$8:$C$9,MATCH(C48,비용표!$B$8:$B$9,0)))</f>
        <v/>
      </c>
      <c r="H48" s="5">
        <f>G48*E48</f>
        <v/>
      </c>
      <c r="I48" s="10">
        <f>IF(A48=A47,I47&amp;" · ","")&amp;IF(C48="카드",D48&amp;E48,"["&amp;C48&amp;"] "&amp;D48)</f>
        <v/>
      </c>
    </row>
    <row r="49">
      <c r="A49" s="5" t="n">
        <v>14</v>
      </c>
      <c r="B49" s="5" t="n">
        <v>2</v>
      </c>
      <c r="C49" s="5" t="inlineStr">
        <is>
          <t>카드</t>
        </is>
      </c>
      <c r="D49" s="5" t="inlineStr">
        <is>
          <t>곽사</t>
        </is>
      </c>
      <c r="E49" s="5" t="n">
        <v>1</v>
      </c>
      <c r="F49" s="5" t="inlineStr">
        <is>
          <t>C</t>
        </is>
      </c>
      <c r="G49" s="5">
        <f>IF(C49="카드",INDEX(비용표!$C$2:$C$7,MATCH(F49,비용표!$B$2:$B$7,0)),F49*INDEX(비용표!$C$8:$C$9,MATCH(C49,비용표!$B$8:$B$9,0)))</f>
        <v/>
      </c>
      <c r="H49" s="5">
        <f>G49*E49</f>
        <v/>
      </c>
      <c r="I49" s="10">
        <f>IF(A49=A48,I48&amp;" · ","")&amp;IF(C49="카드",D49&amp;E49,"["&amp;C49&amp;"] "&amp;D49)</f>
        <v/>
      </c>
    </row>
    <row r="50">
      <c r="A50" s="5" t="n">
        <v>15</v>
      </c>
      <c r="B50" s="5" t="n">
        <v>1</v>
      </c>
      <c r="C50" s="5" t="inlineStr">
        <is>
          <t>카드</t>
        </is>
      </c>
      <c r="D50" s="5" t="inlineStr">
        <is>
          <t>헌제</t>
        </is>
      </c>
      <c r="E50" s="5" t="n">
        <v>1</v>
      </c>
      <c r="F50" s="5" t="inlineStr">
        <is>
          <t>E</t>
        </is>
      </c>
      <c r="G50" s="5">
        <f>IF(C50="카드",INDEX(비용표!$C$2:$C$7,MATCH(F50,비용표!$B$2:$B$7,0)),F50*INDEX(비용표!$C$8:$C$9,MATCH(C50,비용표!$B$8:$B$9,0)))</f>
        <v/>
      </c>
      <c r="H50" s="5">
        <f>G50*E50</f>
        <v/>
      </c>
      <c r="I50" s="10">
        <f>IF(A50=A49,I49&amp;" · ","")&amp;IF(C50="카드",D50&amp;E50,"["&amp;C50&amp;"] "&amp;D50)</f>
        <v/>
      </c>
    </row>
    <row r="51">
      <c r="A51" s="5" t="n">
        <v>15</v>
      </c>
      <c r="B51" s="5" t="n">
        <v>2</v>
      </c>
      <c r="C51" s="5" t="inlineStr">
        <is>
          <t>카드</t>
        </is>
      </c>
      <c r="D51" s="5" t="inlineStr">
        <is>
          <t>조조</t>
        </is>
      </c>
      <c r="E51" s="5" t="n">
        <v>1</v>
      </c>
      <c r="F51" s="5" t="inlineStr">
        <is>
          <t>S</t>
        </is>
      </c>
      <c r="G51" s="5">
        <f>IF(C51="카드",INDEX(비용표!$C$2:$C$7,MATCH(F51,비용표!$B$2:$B$7,0)),F51*INDEX(비용표!$C$8:$C$9,MATCH(C51,비용표!$B$8:$B$9,0)))</f>
        <v/>
      </c>
      <c r="H51" s="5">
        <f>G51*E51</f>
        <v/>
      </c>
      <c r="I51" s="10">
        <f>IF(A51=A50,I50&amp;" · ","")&amp;IF(C51="카드",D51&amp;E51,"["&amp;C51&amp;"] "&amp;D51)</f>
        <v/>
      </c>
    </row>
    <row r="52">
      <c r="A52" s="5" t="n">
        <v>15</v>
      </c>
      <c r="B52" s="5" t="n">
        <v>3</v>
      </c>
      <c r="C52" s="5" t="inlineStr">
        <is>
          <t>카드</t>
        </is>
      </c>
      <c r="D52" s="5" t="inlineStr">
        <is>
          <t>서황</t>
        </is>
      </c>
      <c r="E52" s="5" t="n">
        <v>1</v>
      </c>
      <c r="F52" s="5" t="inlineStr">
        <is>
          <t>S</t>
        </is>
      </c>
      <c r="G52" s="5">
        <f>IF(C52="카드",INDEX(비용표!$C$2:$C$7,MATCH(F52,비용표!$B$2:$B$7,0)),F52*INDEX(비용표!$C$8:$C$9,MATCH(C52,비용표!$B$8:$B$9,0)))</f>
        <v/>
      </c>
      <c r="H52" s="5">
        <f>G52*E52</f>
        <v/>
      </c>
      <c r="I52" s="10">
        <f>IF(A52=A51,I51&amp;" · ","")&amp;IF(C52="카드",D52&amp;E52,"["&amp;C52&amp;"] "&amp;D52)</f>
        <v/>
      </c>
    </row>
    <row r="53">
      <c r="A53" s="5" t="n">
        <v>15</v>
      </c>
      <c r="B53" s="5" t="n">
        <v>4</v>
      </c>
      <c r="C53" s="5" t="inlineStr">
        <is>
          <t>카드</t>
        </is>
      </c>
      <c r="D53" s="5" t="inlineStr">
        <is>
          <t>한섬</t>
        </is>
      </c>
      <c r="E53" s="5" t="n">
        <v>1</v>
      </c>
      <c r="F53" s="5" t="inlineStr">
        <is>
          <t>D</t>
        </is>
      </c>
      <c r="G53" s="5">
        <f>IF(C53="카드",INDEX(비용표!$C$2:$C$7,MATCH(F53,비용표!$B$2:$B$7,0)),F53*INDEX(비용표!$C$8:$C$9,MATCH(C53,비용표!$B$8:$B$9,0)))</f>
        <v/>
      </c>
      <c r="H53" s="5">
        <f>G53*E53</f>
        <v/>
      </c>
      <c r="I53" s="10">
        <f>IF(A53=A52,I52&amp;" · ","")&amp;IF(C53="카드",D53&amp;E53,"["&amp;C53&amp;"] "&amp;D53)</f>
        <v/>
      </c>
    </row>
    <row r="54">
      <c r="A54" s="5" t="n">
        <v>15</v>
      </c>
      <c r="B54" s="5" t="n">
        <v>5</v>
      </c>
      <c r="C54" s="5" t="inlineStr">
        <is>
          <t>카드</t>
        </is>
      </c>
      <c r="D54" s="5" t="inlineStr">
        <is>
          <t>순욱</t>
        </is>
      </c>
      <c r="E54" s="5" t="n">
        <v>1</v>
      </c>
      <c r="F54" s="5" t="inlineStr">
        <is>
          <t>S</t>
        </is>
      </c>
      <c r="G54" s="5">
        <f>IF(C54="카드",INDEX(비용표!$C$2:$C$7,MATCH(F54,비용표!$B$2:$B$7,0)),F54*INDEX(비용표!$C$8:$C$9,MATCH(C54,비용표!$B$8:$B$9,0)))</f>
        <v/>
      </c>
      <c r="H54" s="5">
        <f>G54*E54</f>
        <v/>
      </c>
      <c r="I54" s="10">
        <f>IF(A54=A53,I53&amp;" · ","")&amp;IF(C54="카드",D54&amp;E54,"["&amp;C54&amp;"] "&amp;D54)</f>
        <v/>
      </c>
    </row>
    <row r="55">
      <c r="A55" s="5" t="n">
        <v>16</v>
      </c>
      <c r="B55" s="5" t="n">
        <v>1</v>
      </c>
      <c r="C55" s="5" t="inlineStr">
        <is>
          <t>카드</t>
        </is>
      </c>
      <c r="D55" s="5" t="inlineStr">
        <is>
          <t>한호</t>
        </is>
      </c>
      <c r="E55" s="5" t="n">
        <v>1</v>
      </c>
      <c r="F55" s="5" t="inlineStr">
        <is>
          <t>C</t>
        </is>
      </c>
      <c r="G55" s="5">
        <f>IF(C55="카드",INDEX(비용표!$C$2:$C$7,MATCH(F55,비용표!$B$2:$B$7,0)),F55*INDEX(비용표!$C$8:$C$9,MATCH(C55,비용표!$B$8:$B$9,0)))</f>
        <v/>
      </c>
      <c r="H55" s="5">
        <f>G55*E55</f>
        <v/>
      </c>
      <c r="I55" s="10">
        <f>IF(A55=A54,I54&amp;" · ","")&amp;IF(C55="카드",D55&amp;E55,"["&amp;C55&amp;"] "&amp;D55)</f>
        <v/>
      </c>
    </row>
    <row r="56">
      <c r="A56" s="5" t="n">
        <v>16</v>
      </c>
      <c r="B56" s="5" t="n">
        <v>2</v>
      </c>
      <c r="C56" s="5" t="inlineStr">
        <is>
          <t>카드</t>
        </is>
      </c>
      <c r="D56" s="5" t="inlineStr">
        <is>
          <t>모개</t>
        </is>
      </c>
      <c r="E56" s="5" t="n">
        <v>1</v>
      </c>
      <c r="F56" s="5" t="inlineStr">
        <is>
          <t>C</t>
        </is>
      </c>
      <c r="G56" s="5">
        <f>IF(C56="카드",INDEX(비용표!$C$2:$C$7,MATCH(F56,비용표!$B$2:$B$7,0)),F56*INDEX(비용표!$C$8:$C$9,MATCH(C56,비용표!$B$8:$B$9,0)))</f>
        <v/>
      </c>
      <c r="H56" s="5">
        <f>G56*E56</f>
        <v/>
      </c>
      <c r="I56" s="10">
        <f>IF(A56=A55,I55&amp;" · ","")&amp;IF(C56="카드",D56&amp;E56,"["&amp;C56&amp;"] "&amp;D56)</f>
        <v/>
      </c>
    </row>
    <row r="57">
      <c r="A57" s="5" t="n">
        <v>16</v>
      </c>
      <c r="B57" s="5" t="n">
        <v>3</v>
      </c>
      <c r="C57" s="5" t="inlineStr">
        <is>
          <t>카드</t>
        </is>
      </c>
      <c r="D57" s="5" t="inlineStr">
        <is>
          <t>조조</t>
        </is>
      </c>
      <c r="E57" s="5" t="n">
        <v>1</v>
      </c>
      <c r="F57" s="5" t="inlineStr">
        <is>
          <t>S</t>
        </is>
      </c>
      <c r="G57" s="5">
        <f>IF(C57="카드",INDEX(비용표!$C$2:$C$7,MATCH(F57,비용표!$B$2:$B$7,0)),F57*INDEX(비용표!$C$8:$C$9,MATCH(C57,비용표!$B$8:$B$9,0)))</f>
        <v/>
      </c>
      <c r="H57" s="5">
        <f>G57*E57</f>
        <v/>
      </c>
      <c r="I57" s="10">
        <f>IF(A57=A56,I56&amp;" · ","")&amp;IF(C57="카드",D57&amp;E57,"["&amp;C57&amp;"] "&amp;D57)</f>
        <v/>
      </c>
    </row>
    <row r="58">
      <c r="A58" s="5" t="n">
        <v>17</v>
      </c>
      <c r="B58" s="5" t="n">
        <v>1</v>
      </c>
      <c r="C58" s="5" t="inlineStr">
        <is>
          <t>카드</t>
        </is>
      </c>
      <c r="D58" s="5" t="inlineStr">
        <is>
          <t>도겸</t>
        </is>
      </c>
      <c r="E58" s="5" t="n">
        <v>1</v>
      </c>
      <c r="F58" s="5" t="inlineStr">
        <is>
          <t>C</t>
        </is>
      </c>
      <c r="G58" s="5">
        <f>IF(C58="카드",INDEX(비용표!$C$2:$C$7,MATCH(F58,비용표!$B$2:$B$7,0)),F58*INDEX(비용표!$C$8:$C$9,MATCH(C58,비용표!$B$8:$B$9,0)))</f>
        <v/>
      </c>
      <c r="H58" s="5">
        <f>G58*E58</f>
        <v/>
      </c>
      <c r="I58" s="10">
        <f>IF(A58=A57,I57&amp;" · ","")&amp;IF(C58="카드",D58&amp;E58,"["&amp;C58&amp;"] "&amp;D58)</f>
        <v/>
      </c>
    </row>
    <row r="59">
      <c r="A59" s="5" t="n">
        <v>17</v>
      </c>
      <c r="B59" s="5" t="n">
        <v>2</v>
      </c>
      <c r="C59" s="5" t="inlineStr">
        <is>
          <t>카드</t>
        </is>
      </c>
      <c r="D59" s="5" t="inlineStr">
        <is>
          <t>미축</t>
        </is>
      </c>
      <c r="E59" s="5" t="n">
        <v>1</v>
      </c>
      <c r="F59" s="5" t="inlineStr">
        <is>
          <t>D</t>
        </is>
      </c>
      <c r="G59" s="5">
        <f>IF(C59="카드",INDEX(비용표!$C$2:$C$7,MATCH(F59,비용표!$B$2:$B$7,0)),F59*INDEX(비용표!$C$8:$C$9,MATCH(C59,비용표!$B$8:$B$9,0)))</f>
        <v/>
      </c>
      <c r="H59" s="5">
        <f>G59*E59</f>
        <v/>
      </c>
      <c r="I59" s="10">
        <f>IF(A59=A58,I58&amp;" · ","")&amp;IF(C59="카드",D59&amp;E59,"["&amp;C59&amp;"] "&amp;D59)</f>
        <v/>
      </c>
    </row>
    <row r="60">
      <c r="A60" s="5" t="n">
        <v>17</v>
      </c>
      <c r="B60" s="5" t="n">
        <v>3</v>
      </c>
      <c r="C60" s="5" t="inlineStr">
        <is>
          <t>카드</t>
        </is>
      </c>
      <c r="D60" s="5" t="inlineStr">
        <is>
          <t>손건</t>
        </is>
      </c>
      <c r="E60" s="5" t="n">
        <v>1</v>
      </c>
      <c r="F60" s="5" t="inlineStr">
        <is>
          <t>B</t>
        </is>
      </c>
      <c r="G60" s="5">
        <f>IF(C60="카드",INDEX(비용표!$C$2:$C$7,MATCH(F60,비용표!$B$2:$B$7,0)),F60*INDEX(비용표!$C$8:$C$9,MATCH(C60,비용표!$B$8:$B$9,0)))</f>
        <v/>
      </c>
      <c r="H60" s="5">
        <f>G60*E60</f>
        <v/>
      </c>
      <c r="I60" s="10">
        <f>IF(A60=A59,I59&amp;" · ","")&amp;IF(C60="카드",D60&amp;E60,"["&amp;C60&amp;"] "&amp;D60)</f>
        <v/>
      </c>
    </row>
    <row r="61">
      <c r="A61" s="5" t="n">
        <v>17</v>
      </c>
      <c r="B61" s="5" t="n">
        <v>4</v>
      </c>
      <c r="C61" s="5" t="inlineStr">
        <is>
          <t>카드</t>
        </is>
      </c>
      <c r="D61" s="5" t="inlineStr">
        <is>
          <t>유비</t>
        </is>
      </c>
      <c r="E61" s="5" t="n">
        <v>1</v>
      </c>
      <c r="F61" s="5" t="inlineStr">
        <is>
          <t>S</t>
        </is>
      </c>
      <c r="G61" s="5">
        <f>IF(C61="카드",INDEX(비용표!$C$2:$C$7,MATCH(F61,비용표!$B$2:$B$7,0)),F61*INDEX(비용표!$C$8:$C$9,MATCH(C61,비용표!$B$8:$B$9,0)))</f>
        <v/>
      </c>
      <c r="H61" s="5">
        <f>G61*E61</f>
        <v/>
      </c>
      <c r="I61" s="10">
        <f>IF(A61=A60,I60&amp;" · ","")&amp;IF(C61="카드",D61&amp;E61,"["&amp;C61&amp;"] "&amp;D61)</f>
        <v/>
      </c>
    </row>
    <row r="62">
      <c r="A62" s="5" t="n">
        <v>18</v>
      </c>
      <c r="B62" s="5" t="n">
        <v>1</v>
      </c>
      <c r="C62" s="5" t="inlineStr">
        <is>
          <t>카드</t>
        </is>
      </c>
      <c r="D62" s="5" t="inlineStr">
        <is>
          <t>조표</t>
        </is>
      </c>
      <c r="E62" s="5" t="n">
        <v>1</v>
      </c>
      <c r="F62" s="5" t="inlineStr">
        <is>
          <t>D</t>
        </is>
      </c>
      <c r="G62" s="5">
        <f>IF(C62="카드",INDEX(비용표!$C$2:$C$7,MATCH(F62,비용표!$B$2:$B$7,0)),F62*INDEX(비용표!$C$8:$C$9,MATCH(C62,비용표!$B$8:$B$9,0)))</f>
        <v/>
      </c>
      <c r="H62" s="5">
        <f>G62*E62</f>
        <v/>
      </c>
      <c r="I62" s="10">
        <f>IF(A62=A61,I61&amp;" · ","")&amp;IF(C62="카드",D62&amp;E62,"["&amp;C62&amp;"] "&amp;D62)</f>
        <v/>
      </c>
    </row>
    <row r="63">
      <c r="A63" s="5" t="n">
        <v>18</v>
      </c>
      <c r="B63" s="5" t="n">
        <v>2</v>
      </c>
      <c r="C63" s="5" t="inlineStr">
        <is>
          <t>카드</t>
        </is>
      </c>
      <c r="D63" s="5" t="inlineStr">
        <is>
          <t>장비</t>
        </is>
      </c>
      <c r="E63" s="5" t="n">
        <v>1</v>
      </c>
      <c r="F63" s="5" t="inlineStr">
        <is>
          <t>S</t>
        </is>
      </c>
      <c r="G63" s="5">
        <f>IF(C63="카드",INDEX(비용표!$C$2:$C$7,MATCH(F63,비용표!$B$2:$B$7,0)),F63*INDEX(비용표!$C$8:$C$9,MATCH(C63,비용표!$B$8:$B$9,0)))</f>
        <v/>
      </c>
      <c r="H63" s="5">
        <f>G63*E63</f>
        <v/>
      </c>
      <c r="I63" s="10">
        <f>IF(A63=A62,I62&amp;" · ","")&amp;IF(C63="카드",D63&amp;E63,"["&amp;C63&amp;"] "&amp;D63)</f>
        <v/>
      </c>
    </row>
    <row r="64">
      <c r="A64" s="5" t="n">
        <v>18</v>
      </c>
      <c r="B64" s="5" t="n">
        <v>3</v>
      </c>
      <c r="C64" s="5" t="inlineStr">
        <is>
          <t>카드</t>
        </is>
      </c>
      <c r="D64" s="5" t="inlineStr">
        <is>
          <t>여포</t>
        </is>
      </c>
      <c r="E64" s="5" t="n">
        <v>1</v>
      </c>
      <c r="F64" s="5" t="inlineStr">
        <is>
          <t>S</t>
        </is>
      </c>
      <c r="G64" s="5">
        <f>IF(C64="카드",INDEX(비용표!$C$2:$C$7,MATCH(F64,비용표!$B$2:$B$7,0)),F64*INDEX(비용표!$C$8:$C$9,MATCH(C64,비용표!$B$8:$B$9,0)))</f>
        <v/>
      </c>
      <c r="H64" s="5">
        <f>G64*E64</f>
        <v/>
      </c>
      <c r="I64" s="10">
        <f>IF(A64=A63,I63&amp;" · ","")&amp;IF(C64="카드",D64&amp;E64,"["&amp;C64&amp;"] "&amp;D64)</f>
        <v/>
      </c>
    </row>
    <row r="65">
      <c r="A65" s="5" t="n">
        <v>19</v>
      </c>
      <c r="B65" s="5" t="n">
        <v>1</v>
      </c>
      <c r="C65" s="5" t="inlineStr">
        <is>
          <t>카드</t>
        </is>
      </c>
      <c r="D65" s="5" t="inlineStr">
        <is>
          <t>여포</t>
        </is>
      </c>
      <c r="E65" s="5" t="n">
        <v>1</v>
      </c>
      <c r="F65" s="5" t="inlineStr">
        <is>
          <t>S</t>
        </is>
      </c>
      <c r="G65" s="5">
        <f>IF(C65="카드",INDEX(비용표!$C$2:$C$7,MATCH(F65,비용표!$B$2:$B$7,0)),F65*INDEX(비용표!$C$8:$C$9,MATCH(C65,비용표!$B$8:$B$9,0)))</f>
        <v/>
      </c>
      <c r="H65" s="5">
        <f>G65*E65</f>
        <v/>
      </c>
      <c r="I65" s="10">
        <f>IF(A65=A64,I64&amp;" · ","")&amp;IF(C65="카드",D65&amp;E65,"["&amp;C65&amp;"] "&amp;D65)</f>
        <v/>
      </c>
    </row>
    <row r="66">
      <c r="A66" s="5" t="n">
        <v>19</v>
      </c>
      <c r="B66" s="5" t="n">
        <v>2</v>
      </c>
      <c r="C66" s="5" t="inlineStr">
        <is>
          <t>카드</t>
        </is>
      </c>
      <c r="D66" s="5" t="inlineStr">
        <is>
          <t>유비</t>
        </is>
      </c>
      <c r="E66" s="5" t="n">
        <v>1</v>
      </c>
      <c r="F66" s="5" t="inlineStr">
        <is>
          <t>S</t>
        </is>
      </c>
      <c r="G66" s="5">
        <f>IF(C66="카드",INDEX(비용표!$C$2:$C$7,MATCH(F66,비용표!$B$2:$B$7,0)),F66*INDEX(비용표!$C$8:$C$9,MATCH(C66,비용표!$B$8:$B$9,0)))</f>
        <v/>
      </c>
      <c r="H66" s="5">
        <f>G66*E66</f>
        <v/>
      </c>
      <c r="I66" s="10">
        <f>IF(A66=A65,I65&amp;" · ","")&amp;IF(C66="카드",D66&amp;E66,"["&amp;C66&amp;"] "&amp;D66)</f>
        <v/>
      </c>
    </row>
    <row r="67">
      <c r="A67" s="5" t="n">
        <v>19</v>
      </c>
      <c r="B67" s="5" t="n">
        <v>3</v>
      </c>
      <c r="C67" s="5" t="inlineStr">
        <is>
          <t>카드</t>
        </is>
      </c>
      <c r="D67" s="5" t="inlineStr">
        <is>
          <t>기령</t>
        </is>
      </c>
      <c r="E67" s="5" t="n">
        <v>1</v>
      </c>
      <c r="F67" s="5" t="inlineStr">
        <is>
          <t>C</t>
        </is>
      </c>
      <c r="G67" s="5">
        <f>IF(C67="카드",INDEX(비용표!$C$2:$C$7,MATCH(F67,비용표!$B$2:$B$7,0)),F67*INDEX(비용표!$C$8:$C$9,MATCH(C67,비용표!$B$8:$B$9,0)))</f>
        <v/>
      </c>
      <c r="H67" s="5">
        <f>G67*E67</f>
        <v/>
      </c>
      <c r="I67" s="10">
        <f>IF(A67=A66,I66&amp;" · ","")&amp;IF(C67="카드",D67&amp;E67,"["&amp;C67&amp;"] "&amp;D67)</f>
        <v/>
      </c>
    </row>
    <row r="68">
      <c r="A68" s="5" t="n">
        <v>19</v>
      </c>
      <c r="B68" s="5" t="n">
        <v>4</v>
      </c>
      <c r="C68" s="5" t="inlineStr">
        <is>
          <t>카드</t>
        </is>
      </c>
      <c r="D68" s="5" t="inlineStr">
        <is>
          <t>원술</t>
        </is>
      </c>
      <c r="E68" s="5" t="n">
        <v>1</v>
      </c>
      <c r="F68" s="5" t="inlineStr">
        <is>
          <t>B</t>
        </is>
      </c>
      <c r="G68" s="5">
        <f>IF(C68="카드",INDEX(비용표!$C$2:$C$7,MATCH(F68,비용표!$B$2:$B$7,0)),F68*INDEX(비용표!$C$8:$C$9,MATCH(C68,비용표!$B$8:$B$9,0)))</f>
        <v/>
      </c>
      <c r="H68" s="5">
        <f>G68*E68</f>
        <v/>
      </c>
      <c r="I68" s="10">
        <f>IF(A68=A67,I67&amp;" · ","")&amp;IF(C68="카드",D68&amp;E68,"["&amp;C68&amp;"] "&amp;D68)</f>
        <v/>
      </c>
    </row>
    <row r="69">
      <c r="A69" s="5" t="n">
        <v>20</v>
      </c>
      <c r="B69" s="5" t="n">
        <v>1</v>
      </c>
      <c r="C69" s="5" t="inlineStr">
        <is>
          <t>카드</t>
        </is>
      </c>
      <c r="D69" s="5" t="inlineStr">
        <is>
          <t>공융</t>
        </is>
      </c>
      <c r="E69" s="5" t="n">
        <v>1</v>
      </c>
      <c r="F69" s="5" t="inlineStr">
        <is>
          <t>B</t>
        </is>
      </c>
      <c r="G69" s="5">
        <f>IF(C69="카드",INDEX(비용표!$C$2:$C$7,MATCH(F69,비용표!$B$2:$B$7,0)),F69*INDEX(비용표!$C$8:$C$9,MATCH(C69,비용표!$B$8:$B$9,0)))</f>
        <v/>
      </c>
      <c r="H69" s="5">
        <f>G69*E69</f>
        <v/>
      </c>
      <c r="I69" s="10">
        <f>IF(A69=A68,I68&amp;" · ","")&amp;IF(C69="카드",D69&amp;E69,"["&amp;C69&amp;"] "&amp;D69)</f>
        <v/>
      </c>
    </row>
    <row r="70">
      <c r="A70" s="5" t="n">
        <v>20</v>
      </c>
      <c r="B70" s="5" t="n">
        <v>2</v>
      </c>
      <c r="C70" s="5" t="inlineStr">
        <is>
          <t>카드</t>
        </is>
      </c>
      <c r="D70" s="5" t="inlineStr">
        <is>
          <t>태사자</t>
        </is>
      </c>
      <c r="E70" s="5" t="n">
        <v>1</v>
      </c>
      <c r="F70" s="5" t="inlineStr">
        <is>
          <t>S</t>
        </is>
      </c>
      <c r="G70" s="5">
        <f>IF(C70="카드",INDEX(비용표!$C$2:$C$7,MATCH(F70,비용표!$B$2:$B$7,0)),F70*INDEX(비용표!$C$8:$C$9,MATCH(C70,비용표!$B$8:$B$9,0)))</f>
        <v/>
      </c>
      <c r="H70" s="5">
        <f>G70*E70</f>
        <v/>
      </c>
      <c r="I70" s="10">
        <f>IF(A70=A69,I69&amp;" · ","")&amp;IF(C70="카드",D70&amp;E70,"["&amp;C70&amp;"] "&amp;D70)</f>
        <v/>
      </c>
    </row>
    <row r="71">
      <c r="A71" s="5" t="n">
        <v>21</v>
      </c>
      <c r="B71" s="5" t="n">
        <v>1</v>
      </c>
      <c r="C71" s="5" t="inlineStr">
        <is>
          <t>카드</t>
        </is>
      </c>
      <c r="D71" s="5" t="inlineStr">
        <is>
          <t>여포</t>
        </is>
      </c>
      <c r="E71" s="5" t="n">
        <v>1</v>
      </c>
      <c r="F71" s="5" t="inlineStr">
        <is>
          <t>S</t>
        </is>
      </c>
      <c r="G71" s="5">
        <f>IF(C71="카드",INDEX(비용표!$C$2:$C$7,MATCH(F71,비용표!$B$2:$B$7,0)),F71*INDEX(비용표!$C$8:$C$9,MATCH(C71,비용표!$B$8:$B$9,0)))</f>
        <v/>
      </c>
      <c r="H71" s="5">
        <f>G71*E71</f>
        <v/>
      </c>
      <c r="I71" s="10">
        <f>IF(A71=A70,I70&amp;" · ","")&amp;IF(C71="카드",D71&amp;E71,"["&amp;C71&amp;"] "&amp;D71)</f>
        <v/>
      </c>
    </row>
    <row r="72">
      <c r="A72" s="5" t="n">
        <v>21</v>
      </c>
      <c r="B72" s="5" t="n">
        <v>2</v>
      </c>
      <c r="C72" s="5" t="inlineStr">
        <is>
          <t>병기</t>
        </is>
      </c>
      <c r="D72" s="5" t="inlineStr">
        <is>
          <t>방천화극</t>
        </is>
      </c>
      <c r="E72" s="5" t="n">
        <v>1</v>
      </c>
      <c r="F72" s="5" t="n">
        <v>5</v>
      </c>
      <c r="G72" s="5">
        <f>IF(C72="카드",INDEX(비용표!$C$2:$C$7,MATCH(F72,비용표!$B$2:$B$7,0)),F72*INDEX(비용표!$C$8:$C$9,MATCH(C72,비용표!$B$8:$B$9,0)))</f>
        <v/>
      </c>
      <c r="H72" s="5">
        <f>G72*E72</f>
        <v/>
      </c>
      <c r="I72" s="10">
        <f>IF(A72=A71,I71&amp;" · ","")&amp;IF(C72="카드",D72&amp;E72,"["&amp;C72&amp;"] "&amp;D72)</f>
        <v/>
      </c>
    </row>
    <row r="73">
      <c r="A73" s="5" t="n">
        <v>21</v>
      </c>
      <c r="B73" s="5" t="n">
        <v>3</v>
      </c>
      <c r="C73" s="5" t="inlineStr">
        <is>
          <t>아이템</t>
        </is>
      </c>
      <c r="D73" s="5" t="inlineStr">
        <is>
          <t>적토마</t>
        </is>
      </c>
      <c r="E73" s="5" t="n">
        <v>1</v>
      </c>
      <c r="F73" s="5" t="n">
        <v>5</v>
      </c>
      <c r="G73" s="5">
        <f>IF(C73="카드",INDEX(비용표!$C$2:$C$7,MATCH(F73,비용표!$B$2:$B$7,0)),F73*INDEX(비용표!$C$8:$C$9,MATCH(C73,비용표!$B$8:$B$9,0)))</f>
        <v/>
      </c>
      <c r="H73" s="5">
        <f>G73*E73</f>
        <v/>
      </c>
      <c r="I73" s="10">
        <f>IF(A73=A72,I72&amp;" · ","")&amp;IF(C73="카드",D73&amp;E73,"["&amp;C73&amp;"] "&amp;D73)</f>
        <v/>
      </c>
    </row>
    <row r="74">
      <c r="A74" s="5" t="n">
        <v>21</v>
      </c>
      <c r="B74" s="5" t="n">
        <v>4</v>
      </c>
      <c r="C74" s="5" t="inlineStr">
        <is>
          <t>카드</t>
        </is>
      </c>
      <c r="D74" s="5" t="inlineStr">
        <is>
          <t>진궁</t>
        </is>
      </c>
      <c r="E74" s="5" t="n">
        <v>1</v>
      </c>
      <c r="F74" s="5" t="inlineStr">
        <is>
          <t>B</t>
        </is>
      </c>
      <c r="G74" s="5">
        <f>IF(C74="카드",INDEX(비용표!$C$2:$C$7,MATCH(F74,비용표!$B$2:$B$7,0)),F74*INDEX(비용표!$C$8:$C$9,MATCH(C74,비용표!$B$8:$B$9,0)))</f>
        <v/>
      </c>
      <c r="H74" s="5">
        <f>G74*E74</f>
        <v/>
      </c>
      <c r="I74" s="10">
        <f>IF(A74=A73,I73&amp;" · ","")&amp;IF(C74="카드",D74&amp;E74,"["&amp;C74&amp;"] "&amp;D74)</f>
        <v/>
      </c>
    </row>
    <row r="75">
      <c r="A75" s="5" t="n">
        <v>21</v>
      </c>
      <c r="B75" s="5" t="n">
        <v>5</v>
      </c>
      <c r="C75" s="5" t="inlineStr">
        <is>
          <t>카드</t>
        </is>
      </c>
      <c r="D75" s="5" t="inlineStr">
        <is>
          <t>고순</t>
        </is>
      </c>
      <c r="E75" s="5" t="n">
        <v>1</v>
      </c>
      <c r="F75" s="5" t="inlineStr">
        <is>
          <t>C</t>
        </is>
      </c>
      <c r="G75" s="5">
        <f>IF(C75="카드",INDEX(비용표!$C$2:$C$7,MATCH(F75,비용표!$B$2:$B$7,0)),F75*INDEX(비용표!$C$8:$C$9,MATCH(C75,비용표!$B$8:$B$9,0)))</f>
        <v/>
      </c>
      <c r="H75" s="5">
        <f>G75*E75</f>
        <v/>
      </c>
      <c r="I75" s="10">
        <f>IF(A75=A74,I74&amp;" · ","")&amp;IF(C75="카드",D75&amp;E75,"["&amp;C75&amp;"] "&amp;D75)</f>
        <v/>
      </c>
    </row>
    <row r="76">
      <c r="A76" s="5" t="n">
        <v>22</v>
      </c>
      <c r="B76" s="5" t="n">
        <v>1</v>
      </c>
      <c r="C76" s="5" t="inlineStr">
        <is>
          <t>카드</t>
        </is>
      </c>
      <c r="D76" s="5" t="inlineStr">
        <is>
          <t>고순</t>
        </is>
      </c>
      <c r="E76" s="5" t="n">
        <v>1</v>
      </c>
      <c r="F76" s="5" t="inlineStr">
        <is>
          <t>C</t>
        </is>
      </c>
      <c r="G76" s="5">
        <f>IF(C76="카드",INDEX(비용표!$C$2:$C$7,MATCH(F76,비용표!$B$2:$B$7,0)),F76*INDEX(비용표!$C$8:$C$9,MATCH(C76,비용표!$B$8:$B$9,0)))</f>
        <v/>
      </c>
      <c r="H76" s="5">
        <f>G76*E76</f>
        <v/>
      </c>
      <c r="I76" s="10">
        <f>IF(A76=A75,I75&amp;" · ","")&amp;IF(C76="카드",D76&amp;E76,"["&amp;C76&amp;"] "&amp;D76)</f>
        <v/>
      </c>
    </row>
    <row r="77">
      <c r="A77" s="5" t="n">
        <v>22</v>
      </c>
      <c r="B77" s="5" t="n">
        <v>2</v>
      </c>
      <c r="C77" s="5" t="inlineStr">
        <is>
          <t>카드</t>
        </is>
      </c>
      <c r="D77" s="5" t="inlineStr">
        <is>
          <t>여포</t>
        </is>
      </c>
      <c r="E77" s="5" t="n">
        <v>1</v>
      </c>
      <c r="F77" s="5" t="inlineStr">
        <is>
          <t>S</t>
        </is>
      </c>
      <c r="G77" s="5">
        <f>IF(C77="카드",INDEX(비용표!$C$2:$C$7,MATCH(F77,비용표!$B$2:$B$7,0)),F77*INDEX(비용표!$C$8:$C$9,MATCH(C77,비용표!$B$8:$B$9,0)))</f>
        <v/>
      </c>
      <c r="H77" s="5">
        <f>G77*E77</f>
        <v/>
      </c>
      <c r="I77" s="10">
        <f>IF(A77=A76,I76&amp;" · ","")&amp;IF(C77="카드",D77&amp;E77,"["&amp;C77&amp;"] "&amp;D77)</f>
        <v/>
      </c>
    </row>
    <row r="78">
      <c r="A78" s="5" t="n">
        <v>23</v>
      </c>
      <c r="B78" s="5" t="n">
        <v>1</v>
      </c>
      <c r="C78" s="5" t="inlineStr">
        <is>
          <t>카드</t>
        </is>
      </c>
      <c r="D78" s="5" t="inlineStr">
        <is>
          <t>여포</t>
        </is>
      </c>
      <c r="E78" s="5" t="n">
        <v>1</v>
      </c>
      <c r="F78" s="5" t="inlineStr">
        <is>
          <t>S</t>
        </is>
      </c>
      <c r="G78" s="5">
        <f>IF(C78="카드",INDEX(비용표!$C$2:$C$7,MATCH(F78,비용표!$B$2:$B$7,0)),F78*INDEX(비용표!$C$8:$C$9,MATCH(C78,비용표!$B$8:$B$9,0)))</f>
        <v/>
      </c>
      <c r="H78" s="5">
        <f>G78*E78</f>
        <v/>
      </c>
      <c r="I78" s="10">
        <f>IF(A78=A77,I77&amp;" · ","")&amp;IF(C78="카드",D78&amp;E78,"["&amp;C78&amp;"] "&amp;D78)</f>
        <v/>
      </c>
    </row>
    <row r="79">
      <c r="A79" s="5" t="n">
        <v>23</v>
      </c>
      <c r="B79" s="5" t="n">
        <v>2</v>
      </c>
      <c r="C79" s="5" t="inlineStr">
        <is>
          <t>카드</t>
        </is>
      </c>
      <c r="D79" s="5" t="inlineStr">
        <is>
          <t>진궁</t>
        </is>
      </c>
      <c r="E79" s="5" t="n">
        <v>1</v>
      </c>
      <c r="F79" s="5" t="inlineStr">
        <is>
          <t>B</t>
        </is>
      </c>
      <c r="G79" s="5">
        <f>IF(C79="카드",INDEX(비용표!$C$2:$C$7,MATCH(F79,비용표!$B$2:$B$7,0)),F79*INDEX(비용표!$C$8:$C$9,MATCH(C79,비용표!$B$8:$B$9,0)))</f>
        <v/>
      </c>
      <c r="H79" s="5">
        <f>G79*E79</f>
        <v/>
      </c>
      <c r="I79" s="10">
        <f>IF(A79=A78,I78&amp;" · ","")&amp;IF(C79="카드",D79&amp;E79,"["&amp;C79&amp;"] "&amp;D79)</f>
        <v/>
      </c>
    </row>
    <row r="80">
      <c r="A80" s="5" t="n">
        <v>23</v>
      </c>
      <c r="B80" s="5" t="n">
        <v>3</v>
      </c>
      <c r="C80" s="5" t="inlineStr">
        <is>
          <t>카드</t>
        </is>
      </c>
      <c r="D80" s="5" t="inlineStr">
        <is>
          <t>고순</t>
        </is>
      </c>
      <c r="E80" s="5" t="n">
        <v>1</v>
      </c>
      <c r="F80" s="5" t="inlineStr">
        <is>
          <t>C</t>
        </is>
      </c>
      <c r="G80" s="5">
        <f>IF(C80="카드",INDEX(비용표!$C$2:$C$7,MATCH(F80,비용표!$B$2:$B$7,0)),F80*INDEX(비용표!$C$8:$C$9,MATCH(C80,비용표!$B$8:$B$9,0)))</f>
        <v/>
      </c>
      <c r="H80" s="5">
        <f>G80*E80</f>
        <v/>
      </c>
      <c r="I80" s="10">
        <f>IF(A80=A79,I79&amp;" · ","")&amp;IF(C80="카드",D80&amp;E80,"["&amp;C80&amp;"] "&amp;D80)</f>
        <v/>
      </c>
    </row>
    <row r="81">
      <c r="A81" s="5" t="n">
        <v>23</v>
      </c>
      <c r="B81" s="5" t="n">
        <v>4</v>
      </c>
      <c r="C81" s="5" t="inlineStr">
        <is>
          <t>카드</t>
        </is>
      </c>
      <c r="D81" s="5" t="inlineStr">
        <is>
          <t>장료</t>
        </is>
      </c>
      <c r="E81" s="5" t="n">
        <v>1</v>
      </c>
      <c r="F81" s="5" t="inlineStr">
        <is>
          <t>S</t>
        </is>
      </c>
      <c r="G81" s="5">
        <f>IF(C81="카드",INDEX(비용표!$C$2:$C$7,MATCH(F81,비용표!$B$2:$B$7,0)),F81*INDEX(비용표!$C$8:$C$9,MATCH(C81,비용표!$B$8:$B$9,0)))</f>
        <v/>
      </c>
      <c r="H81" s="5">
        <f>G81*E81</f>
        <v/>
      </c>
      <c r="I81" s="10">
        <f>IF(A81=A80,I80&amp;" · ","")&amp;IF(C81="카드",D81&amp;E81,"["&amp;C81&amp;"] "&amp;D81)</f>
        <v/>
      </c>
    </row>
    <row r="82">
      <c r="A82" s="5" t="n">
        <v>23</v>
      </c>
      <c r="B82" s="5" t="n">
        <v>5</v>
      </c>
      <c r="C82" s="5" t="inlineStr">
        <is>
          <t>카드</t>
        </is>
      </c>
      <c r="D82" s="5" t="inlineStr">
        <is>
          <t>후성</t>
        </is>
      </c>
      <c r="E82" s="5" t="n">
        <v>1</v>
      </c>
      <c r="F82" s="5" t="inlineStr">
        <is>
          <t>C</t>
        </is>
      </c>
      <c r="G82" s="5">
        <f>IF(C82="카드",INDEX(비용표!$C$2:$C$7,MATCH(F82,비용표!$B$2:$B$7,0)),F82*INDEX(비용표!$C$8:$C$9,MATCH(C82,비용표!$B$8:$B$9,0)))</f>
        <v/>
      </c>
      <c r="H82" s="5">
        <f>G82*E82</f>
        <v/>
      </c>
      <c r="I82" s="10">
        <f>IF(A82=A81,I81&amp;" · ","")&amp;IF(C82="카드",D82&amp;E82,"["&amp;C82&amp;"] "&amp;D82)</f>
        <v/>
      </c>
    </row>
    <row r="83">
      <c r="A83" s="5" t="n">
        <v>24</v>
      </c>
      <c r="B83" s="5" t="n">
        <v>1</v>
      </c>
      <c r="C83" s="5" t="inlineStr">
        <is>
          <t>카드</t>
        </is>
      </c>
      <c r="D83" s="5" t="inlineStr">
        <is>
          <t>진등</t>
        </is>
      </c>
      <c r="E83" s="5" t="n">
        <v>1</v>
      </c>
      <c r="F83" s="5" t="inlineStr">
        <is>
          <t>C</t>
        </is>
      </c>
      <c r="G83" s="5">
        <f>IF(C83="카드",INDEX(비용표!$C$2:$C$7,MATCH(F83,비용표!$B$2:$B$7,0)),F83*INDEX(비용표!$C$8:$C$9,MATCH(C83,비용표!$B$8:$B$9,0)))</f>
        <v/>
      </c>
      <c r="H83" s="5">
        <f>G83*E83</f>
        <v/>
      </c>
      <c r="I83" s="10">
        <f>IF(A83=A82,I82&amp;" · ","")&amp;IF(C83="카드",D83&amp;E83,"["&amp;C83&amp;"] "&amp;D83)</f>
        <v/>
      </c>
    </row>
    <row r="84">
      <c r="A84" s="5" t="n">
        <v>24</v>
      </c>
      <c r="B84" s="5" t="n">
        <v>2</v>
      </c>
      <c r="C84" s="5" t="inlineStr">
        <is>
          <t>카드</t>
        </is>
      </c>
      <c r="D84" s="5" t="inlineStr">
        <is>
          <t>여포</t>
        </is>
      </c>
      <c r="E84" s="5" t="n">
        <v>1</v>
      </c>
      <c r="F84" s="5" t="inlineStr">
        <is>
          <t>S</t>
        </is>
      </c>
      <c r="G84" s="5">
        <f>IF(C84="카드",INDEX(비용표!$C$2:$C$7,MATCH(F84,비용표!$B$2:$B$7,0)),F84*INDEX(비용표!$C$8:$C$9,MATCH(C84,비용표!$B$8:$B$9,0)))</f>
        <v/>
      </c>
      <c r="H84" s="5">
        <f>G84*E84</f>
        <v/>
      </c>
      <c r="I84" s="10">
        <f>IF(A84=A83,I83&amp;" · ","")&amp;IF(C84="카드",D84&amp;E84,"["&amp;C84&amp;"] "&amp;D84)</f>
        <v/>
      </c>
    </row>
    <row r="85">
      <c r="A85" s="5" t="n">
        <v>24</v>
      </c>
      <c r="B85" s="5" t="n">
        <v>3</v>
      </c>
      <c r="C85" s="5" t="inlineStr">
        <is>
          <t>카드</t>
        </is>
      </c>
      <c r="D85" s="5" t="inlineStr">
        <is>
          <t>유비</t>
        </is>
      </c>
      <c r="E85" s="5" t="n">
        <v>1</v>
      </c>
      <c r="F85" s="5" t="inlineStr">
        <is>
          <t>S</t>
        </is>
      </c>
      <c r="G85" s="5">
        <f>IF(C85="카드",INDEX(비용표!$C$2:$C$7,MATCH(F85,비용표!$B$2:$B$7,0)),F85*INDEX(비용표!$C$8:$C$9,MATCH(C85,비용표!$B$8:$B$9,0)))</f>
        <v/>
      </c>
      <c r="H85" s="5">
        <f>G85*E85</f>
        <v/>
      </c>
      <c r="I85" s="10">
        <f>IF(A85=A84,I84&amp;" · ","")&amp;IF(C85="카드",D85&amp;E85,"["&amp;C85&amp;"] "&amp;D85)</f>
        <v/>
      </c>
    </row>
    <row r="86">
      <c r="A86" s="5" t="n">
        <v>25</v>
      </c>
      <c r="B86" s="5" t="n">
        <v>1</v>
      </c>
      <c r="C86" s="5" t="inlineStr">
        <is>
          <t>카드</t>
        </is>
      </c>
      <c r="D86" s="5" t="inlineStr">
        <is>
          <t>원술</t>
        </is>
      </c>
      <c r="E86" s="5" t="n">
        <v>1</v>
      </c>
      <c r="F86" s="5" t="inlineStr">
        <is>
          <t>B</t>
        </is>
      </c>
      <c r="G86" s="5">
        <f>IF(C86="카드",INDEX(비용표!$C$2:$C$7,MATCH(F86,비용표!$B$2:$B$7,0)),F86*INDEX(비용표!$C$8:$C$9,MATCH(C86,비용표!$B$8:$B$9,0)))</f>
        <v/>
      </c>
      <c r="H86" s="5">
        <f>G86*E86</f>
        <v/>
      </c>
      <c r="I86" s="10">
        <f>IF(A86=A85,I85&amp;" · ","")&amp;IF(C86="카드",D86&amp;E86,"["&amp;C86&amp;"] "&amp;D86)</f>
        <v/>
      </c>
    </row>
    <row r="87">
      <c r="A87" s="5" t="n">
        <v>25</v>
      </c>
      <c r="B87" s="5" t="n">
        <v>2</v>
      </c>
      <c r="C87" s="5" t="inlineStr">
        <is>
          <t>카드</t>
        </is>
      </c>
      <c r="D87" s="5" t="inlineStr">
        <is>
          <t>기령</t>
        </is>
      </c>
      <c r="E87" s="5" t="n">
        <v>1</v>
      </c>
      <c r="F87" s="5" t="inlineStr">
        <is>
          <t>C</t>
        </is>
      </c>
      <c r="G87" s="5">
        <f>IF(C87="카드",INDEX(비용표!$C$2:$C$7,MATCH(F87,비용표!$B$2:$B$7,0)),F87*INDEX(비용표!$C$8:$C$9,MATCH(C87,비용표!$B$8:$B$9,0)))</f>
        <v/>
      </c>
      <c r="H87" s="5">
        <f>G87*E87</f>
        <v/>
      </c>
      <c r="I87" s="10">
        <f>IF(A87=A86,I86&amp;" · ","")&amp;IF(C87="카드",D87&amp;E87,"["&amp;C87&amp;"] "&amp;D87)</f>
        <v/>
      </c>
    </row>
    <row r="88">
      <c r="A88" s="5" t="n">
        <v>25</v>
      </c>
      <c r="B88" s="5" t="n">
        <v>3</v>
      </c>
      <c r="C88" s="5" t="inlineStr">
        <is>
          <t>카드</t>
        </is>
      </c>
      <c r="D88" s="5" t="inlineStr">
        <is>
          <t>원윤</t>
        </is>
      </c>
      <c r="E88" s="5" t="n">
        <v>1</v>
      </c>
      <c r="F88" s="5" t="inlineStr">
        <is>
          <t>D</t>
        </is>
      </c>
      <c r="G88" s="5">
        <f>IF(C88="카드",INDEX(비용표!$C$2:$C$7,MATCH(F88,비용표!$B$2:$B$7,0)),F88*INDEX(비용표!$C$8:$C$9,MATCH(C88,비용표!$B$8:$B$9,0)))</f>
        <v/>
      </c>
      <c r="H88" s="5">
        <f>G88*E88</f>
        <v/>
      </c>
      <c r="I88" s="10">
        <f>IF(A88=A87,I87&amp;" · ","")&amp;IF(C88="카드",D88&amp;E88,"["&amp;C88&amp;"] "&amp;D88)</f>
        <v/>
      </c>
    </row>
    <row r="89">
      <c r="A89" s="5" t="n">
        <v>25</v>
      </c>
      <c r="B89" s="5" t="n">
        <v>4</v>
      </c>
      <c r="C89" s="5" t="inlineStr">
        <is>
          <t>카드</t>
        </is>
      </c>
      <c r="D89" s="5" t="inlineStr">
        <is>
          <t>이풍</t>
        </is>
      </c>
      <c r="E89" s="5" t="n">
        <v>1</v>
      </c>
      <c r="F89" s="5" t="inlineStr">
        <is>
          <t>C</t>
        </is>
      </c>
      <c r="G89" s="5">
        <f>IF(C89="카드",INDEX(비용표!$C$2:$C$7,MATCH(F89,비용표!$B$2:$B$7,0)),F89*INDEX(비용표!$C$8:$C$9,MATCH(C89,비용표!$B$8:$B$9,0)))</f>
        <v/>
      </c>
      <c r="H89" s="5">
        <f>G89*E89</f>
        <v/>
      </c>
      <c r="I89" s="10">
        <f>IF(A89=A88,I88&amp;" · ","")&amp;IF(C89="카드",D89&amp;E89,"["&amp;C89&amp;"] "&amp;D89)</f>
        <v/>
      </c>
    </row>
    <row r="90">
      <c r="A90" s="5" t="n">
        <v>25</v>
      </c>
      <c r="B90" s="5" t="n">
        <v>5</v>
      </c>
      <c r="C90" s="5" t="inlineStr">
        <is>
          <t>카드</t>
        </is>
      </c>
      <c r="D90" s="5" t="inlineStr">
        <is>
          <t>진기</t>
        </is>
      </c>
      <c r="E90" s="5" t="n">
        <v>1</v>
      </c>
      <c r="F90" s="5" t="inlineStr">
        <is>
          <t>C</t>
        </is>
      </c>
      <c r="G90" s="5">
        <f>IF(C90="카드",INDEX(비용표!$C$2:$C$7,MATCH(F90,비용표!$B$2:$B$7,0)),F90*INDEX(비용표!$C$8:$C$9,MATCH(C90,비용표!$B$8:$B$9,0)))</f>
        <v/>
      </c>
      <c r="H90" s="5">
        <f>G90*E90</f>
        <v/>
      </c>
      <c r="I90" s="10">
        <f>IF(A90=A89,I89&amp;" · ","")&amp;IF(C90="카드",D90&amp;E90,"["&amp;C90&amp;"] "&amp;D90)</f>
        <v/>
      </c>
    </row>
    <row r="91">
      <c r="A91" s="5" t="n">
        <v>26</v>
      </c>
      <c r="B91" s="5" t="n">
        <v>1</v>
      </c>
      <c r="C91" s="5" t="inlineStr">
        <is>
          <t>카드</t>
        </is>
      </c>
      <c r="D91" s="5" t="inlineStr">
        <is>
          <t>원소</t>
        </is>
      </c>
      <c r="E91" s="5" t="n">
        <v>1</v>
      </c>
      <c r="F91" s="5" t="inlineStr">
        <is>
          <t>C</t>
        </is>
      </c>
      <c r="G91" s="5">
        <f>IF(C91="카드",INDEX(비용표!$C$2:$C$7,MATCH(F91,비용표!$B$2:$B$7,0)),F91*INDEX(비용표!$C$8:$C$9,MATCH(C91,비용표!$B$8:$B$9,0)))</f>
        <v/>
      </c>
      <c r="H91" s="5">
        <f>G91*E91</f>
        <v/>
      </c>
      <c r="I91" s="10">
        <f>IF(A91=A90,I90&amp;" · ","")&amp;IF(C91="카드",D91&amp;E91,"["&amp;C91&amp;"] "&amp;D91)</f>
        <v/>
      </c>
    </row>
    <row r="92">
      <c r="A92" s="5" t="n">
        <v>26</v>
      </c>
      <c r="B92" s="5" t="n">
        <v>2</v>
      </c>
      <c r="C92" s="5" t="inlineStr">
        <is>
          <t>카드</t>
        </is>
      </c>
      <c r="D92" s="5" t="inlineStr">
        <is>
          <t>공손찬</t>
        </is>
      </c>
      <c r="E92" s="5" t="n">
        <v>1</v>
      </c>
      <c r="F92" s="5" t="inlineStr">
        <is>
          <t>C</t>
        </is>
      </c>
      <c r="G92" s="5">
        <f>IF(C92="카드",INDEX(비용표!$C$2:$C$7,MATCH(F92,비용표!$B$2:$B$7,0)),F92*INDEX(비용표!$C$8:$C$9,MATCH(C92,비용표!$B$8:$B$9,0)))</f>
        <v/>
      </c>
      <c r="H92" s="5">
        <f>G92*E92</f>
        <v/>
      </c>
      <c r="I92" s="10">
        <f>IF(A92=A91,I91&amp;" · ","")&amp;IF(C92="카드",D92&amp;E92,"["&amp;C92&amp;"] "&amp;D92)</f>
        <v/>
      </c>
    </row>
    <row r="93">
      <c r="A93" s="5" t="n">
        <v>26</v>
      </c>
      <c r="B93" s="5" t="n">
        <v>3</v>
      </c>
      <c r="C93" s="5" t="inlineStr">
        <is>
          <t>카드</t>
        </is>
      </c>
      <c r="D93" s="5" t="inlineStr">
        <is>
          <t>국의</t>
        </is>
      </c>
      <c r="E93" s="5" t="n">
        <v>1</v>
      </c>
      <c r="F93" s="5" t="inlineStr">
        <is>
          <t>C</t>
        </is>
      </c>
      <c r="G93" s="5">
        <f>IF(C93="카드",INDEX(비용표!$C$2:$C$7,MATCH(F93,비용표!$B$2:$B$7,0)),F93*INDEX(비용표!$C$8:$C$9,MATCH(C93,비용표!$B$8:$B$9,0)))</f>
        <v/>
      </c>
      <c r="H93" s="5">
        <f>G93*E93</f>
        <v/>
      </c>
      <c r="I93" s="10">
        <f>IF(A93=A92,I92&amp;" · ","")&amp;IF(C93="카드",D93&amp;E93,"["&amp;C93&amp;"] "&amp;D93)</f>
        <v/>
      </c>
    </row>
    <row r="94">
      <c r="A94" s="5" t="n">
        <v>27</v>
      </c>
      <c r="B94" s="5" t="n">
        <v>1</v>
      </c>
      <c r="C94" s="5" t="inlineStr">
        <is>
          <t>카드</t>
        </is>
      </c>
      <c r="D94" s="5" t="inlineStr">
        <is>
          <t>태사자</t>
        </is>
      </c>
      <c r="E94" s="5" t="n">
        <v>1</v>
      </c>
      <c r="F94" s="5" t="inlineStr">
        <is>
          <t>S</t>
        </is>
      </c>
      <c r="G94" s="5">
        <f>IF(C94="카드",INDEX(비용표!$C$2:$C$7,MATCH(F94,비용표!$B$2:$B$7,0)),F94*INDEX(비용표!$C$8:$C$9,MATCH(C94,비용표!$B$8:$B$9,0)))</f>
        <v/>
      </c>
      <c r="H94" s="5">
        <f>G94*E94</f>
        <v/>
      </c>
      <c r="I94" s="10">
        <f>IF(A94=A93,I93&amp;" · ","")&amp;IF(C94="카드",D94&amp;E94,"["&amp;C94&amp;"] "&amp;D94)</f>
        <v/>
      </c>
    </row>
    <row r="95">
      <c r="A95" s="5" t="n">
        <v>27</v>
      </c>
      <c r="B95" s="5" t="n">
        <v>2</v>
      </c>
      <c r="C95" s="5" t="inlineStr">
        <is>
          <t>병기</t>
        </is>
      </c>
      <c r="D95" s="5" t="inlineStr">
        <is>
          <t>수극</t>
        </is>
      </c>
      <c r="E95" s="5" t="n">
        <v>1</v>
      </c>
      <c r="F95" s="5" t="n">
        <v>1</v>
      </c>
      <c r="G95" s="5">
        <f>IF(C95="카드",INDEX(비용표!$C$2:$C$7,MATCH(F95,비용표!$B$2:$B$7,0)),F95*INDEX(비용표!$C$8:$C$9,MATCH(C95,비용표!$B$8:$B$9,0)))</f>
        <v/>
      </c>
      <c r="H95" s="5">
        <f>G95*E95</f>
        <v/>
      </c>
      <c r="I95" s="10">
        <f>IF(A95=A94,I94&amp;" · ","")&amp;IF(C95="카드",D95&amp;E95,"["&amp;C95&amp;"] "&amp;D95)</f>
        <v/>
      </c>
    </row>
    <row r="96">
      <c r="A96" s="5" t="n">
        <v>28</v>
      </c>
      <c r="B96" s="5" t="n">
        <v>1</v>
      </c>
      <c r="C96" s="5" t="inlineStr">
        <is>
          <t>카드</t>
        </is>
      </c>
      <c r="D96" s="5" t="inlineStr">
        <is>
          <t>손권</t>
        </is>
      </c>
      <c r="E96" s="5" t="n">
        <v>1</v>
      </c>
      <c r="F96" s="5" t="inlineStr">
        <is>
          <t>S</t>
        </is>
      </c>
      <c r="G96" s="5">
        <f>IF(C96="카드",INDEX(비용표!$C$2:$C$7,MATCH(F96,비용표!$B$2:$B$7,0)),F96*INDEX(비용표!$C$8:$C$9,MATCH(C96,비용표!$B$8:$B$9,0)))</f>
        <v/>
      </c>
      <c r="H96" s="5">
        <f>G96*E96</f>
        <v/>
      </c>
      <c r="I96" s="10">
        <f>IF(A96=A95,I95&amp;" · ","")&amp;IF(C96="카드",D96&amp;E96,"["&amp;C96&amp;"] "&amp;D96)</f>
        <v/>
      </c>
    </row>
    <row r="97">
      <c r="A97" s="5" t="n">
        <v>28</v>
      </c>
      <c r="B97" s="5" t="n">
        <v>2</v>
      </c>
      <c r="C97" s="5" t="inlineStr">
        <is>
          <t>카드</t>
        </is>
      </c>
      <c r="D97" s="5" t="inlineStr">
        <is>
          <t>장소</t>
        </is>
      </c>
      <c r="E97" s="5" t="n">
        <v>1</v>
      </c>
      <c r="F97" s="5" t="inlineStr">
        <is>
          <t>A</t>
        </is>
      </c>
      <c r="G97" s="5">
        <f>IF(C97="카드",INDEX(비용표!$C$2:$C$7,MATCH(F97,비용표!$B$2:$B$7,0)),F97*INDEX(비용표!$C$8:$C$9,MATCH(C97,비용표!$B$8:$B$9,0)))</f>
        <v/>
      </c>
      <c r="H97" s="5">
        <f>G97*E97</f>
        <v/>
      </c>
      <c r="I97" s="10">
        <f>IF(A97=A96,I96&amp;" · ","")&amp;IF(C97="카드",D97&amp;E97,"["&amp;C97&amp;"] "&amp;D97)</f>
        <v/>
      </c>
    </row>
    <row r="98">
      <c r="A98" s="5" t="n">
        <v>28</v>
      </c>
      <c r="B98" s="5" t="n">
        <v>3</v>
      </c>
      <c r="C98" s="5" t="inlineStr">
        <is>
          <t>카드</t>
        </is>
      </c>
      <c r="D98" s="5" t="inlineStr">
        <is>
          <t>주유</t>
        </is>
      </c>
      <c r="E98" s="5" t="n">
        <v>1</v>
      </c>
      <c r="F98" s="5" t="inlineStr">
        <is>
          <t>S</t>
        </is>
      </c>
      <c r="G98" s="5">
        <f>IF(C98="카드",INDEX(비용표!$C$2:$C$7,MATCH(F98,비용표!$B$2:$B$7,0)),F98*INDEX(비용표!$C$8:$C$9,MATCH(C98,비용표!$B$8:$B$9,0)))</f>
        <v/>
      </c>
      <c r="H98" s="5">
        <f>G98*E98</f>
        <v/>
      </c>
      <c r="I98" s="10">
        <f>IF(A98=A97,I97&amp;" · ","")&amp;IF(C98="카드",D98&amp;E98,"["&amp;C98&amp;"] "&amp;D98)</f>
        <v/>
      </c>
    </row>
    <row r="99">
      <c r="A99" s="5" t="n">
        <v>29</v>
      </c>
      <c r="B99" s="5" t="n">
        <v>1</v>
      </c>
      <c r="C99" s="5" t="inlineStr">
        <is>
          <t>카드</t>
        </is>
      </c>
      <c r="D99" s="5" t="inlineStr">
        <is>
          <t>장수</t>
        </is>
      </c>
      <c r="E99" s="5" t="n">
        <v>1</v>
      </c>
      <c r="F99" s="5" t="inlineStr">
        <is>
          <t>B</t>
        </is>
      </c>
      <c r="G99" s="5">
        <f>IF(C99="카드",INDEX(비용표!$C$2:$C$7,MATCH(F99,비용표!$B$2:$B$7,0)),F99*INDEX(비용표!$C$8:$C$9,MATCH(C99,비용표!$B$8:$B$9,0)))</f>
        <v/>
      </c>
      <c r="H99" s="5">
        <f>G99*E99</f>
        <v/>
      </c>
      <c r="I99" s="10">
        <f>IF(A99=A98,I98&amp;" · ","")&amp;IF(C99="카드",D99&amp;E99,"["&amp;C99&amp;"] "&amp;D99)</f>
        <v/>
      </c>
    </row>
    <row r="100">
      <c r="A100" s="5" t="n">
        <v>29</v>
      </c>
      <c r="B100" s="5" t="n">
        <v>2</v>
      </c>
      <c r="C100" s="5" t="inlineStr">
        <is>
          <t>카드</t>
        </is>
      </c>
      <c r="D100" s="5" t="inlineStr">
        <is>
          <t>가후</t>
        </is>
      </c>
      <c r="E100" s="5" t="n">
        <v>1</v>
      </c>
      <c r="F100" s="5" t="inlineStr">
        <is>
          <t>S</t>
        </is>
      </c>
      <c r="G100" s="5">
        <f>IF(C100="카드",INDEX(비용표!$C$2:$C$7,MATCH(F100,비용표!$B$2:$B$7,0)),F100*INDEX(비용표!$C$8:$C$9,MATCH(C100,비용표!$B$8:$B$9,0)))</f>
        <v/>
      </c>
      <c r="H100" s="5">
        <f>G100*E100</f>
        <v/>
      </c>
      <c r="I100" s="10">
        <f>IF(A100=A99,I99&amp;" · ","")&amp;IF(C100="카드",D100&amp;E100,"["&amp;C100&amp;"] "&amp;D100)</f>
        <v/>
      </c>
    </row>
    <row r="101">
      <c r="A101" s="5" t="n">
        <v>29</v>
      </c>
      <c r="B101" s="5" t="n">
        <v>3</v>
      </c>
      <c r="C101" s="5" t="inlineStr">
        <is>
          <t>카드</t>
        </is>
      </c>
      <c r="D101" s="5" t="inlineStr">
        <is>
          <t>조조</t>
        </is>
      </c>
      <c r="E101" s="5" t="n">
        <v>1</v>
      </c>
      <c r="F101" s="5" t="inlineStr">
        <is>
          <t>S</t>
        </is>
      </c>
      <c r="G101" s="5">
        <f>IF(C101="카드",INDEX(비용표!$C$2:$C$7,MATCH(F101,비용표!$B$2:$B$7,0)),F101*INDEX(비용표!$C$8:$C$9,MATCH(C101,비용표!$B$8:$B$9,0)))</f>
        <v/>
      </c>
      <c r="H101" s="5">
        <f>G101*E101</f>
        <v/>
      </c>
      <c r="I101" s="10">
        <f>IF(A101=A100,I100&amp;" · ","")&amp;IF(C101="카드",D101&amp;E101,"["&amp;C101&amp;"] "&amp;D101)</f>
        <v/>
      </c>
    </row>
    <row r="102">
      <c r="A102" s="5" t="n">
        <v>29</v>
      </c>
      <c r="B102" s="5" t="n">
        <v>4</v>
      </c>
      <c r="C102" s="5" t="inlineStr">
        <is>
          <t>아이템</t>
        </is>
      </c>
      <c r="D102" s="5" t="inlineStr">
        <is>
          <t>절영</t>
        </is>
      </c>
      <c r="E102" s="5" t="n">
        <v>1</v>
      </c>
      <c r="F102" s="5" t="n">
        <v>4</v>
      </c>
      <c r="G102" s="5">
        <f>IF(C102="카드",INDEX(비용표!$C$2:$C$7,MATCH(F102,비용표!$B$2:$B$7,0)),F102*INDEX(비용표!$C$8:$C$9,MATCH(C102,비용표!$B$8:$B$9,0)))</f>
        <v/>
      </c>
      <c r="H102" s="5">
        <f>G102*E102</f>
        <v/>
      </c>
      <c r="I102" s="10">
        <f>IF(A102=A101,I101&amp;" · ","")&amp;IF(C102="카드",D102&amp;E102,"["&amp;C102&amp;"] "&amp;D102)</f>
        <v/>
      </c>
    </row>
    <row r="103">
      <c r="A103" s="5" t="n">
        <v>30</v>
      </c>
      <c r="B103" s="5" t="n">
        <v>1</v>
      </c>
      <c r="C103" s="5" t="inlineStr">
        <is>
          <t>카드</t>
        </is>
      </c>
      <c r="D103" s="5" t="inlineStr">
        <is>
          <t>가후</t>
        </is>
      </c>
      <c r="E103" s="5" t="n">
        <v>1</v>
      </c>
      <c r="F103" s="5" t="inlineStr">
        <is>
          <t>S</t>
        </is>
      </c>
      <c r="G103" s="5">
        <f>IF(C103="카드",INDEX(비용표!$C$2:$C$7,MATCH(F103,비용표!$B$2:$B$7,0)),F103*INDEX(비용표!$C$8:$C$9,MATCH(C103,비용표!$B$8:$B$9,0)))</f>
        <v/>
      </c>
      <c r="H103" s="5">
        <f>G103*E103</f>
        <v/>
      </c>
      <c r="I103" s="10">
        <f>IF(A103=A102,I102&amp;" · ","")&amp;IF(C103="카드",D103&amp;E103,"["&amp;C103&amp;"] "&amp;D103)</f>
        <v/>
      </c>
    </row>
    <row r="104">
      <c r="A104" s="5" t="n">
        <v>30</v>
      </c>
      <c r="B104" s="5" t="n">
        <v>2</v>
      </c>
      <c r="C104" s="5" t="inlineStr">
        <is>
          <t>카드</t>
        </is>
      </c>
      <c r="D104" s="5" t="inlineStr">
        <is>
          <t>장수</t>
        </is>
      </c>
      <c r="E104" s="5" t="n">
        <v>1</v>
      </c>
      <c r="F104" s="5" t="inlineStr">
        <is>
          <t>B</t>
        </is>
      </c>
      <c r="G104" s="5">
        <f>IF(C104="카드",INDEX(비용표!$C$2:$C$7,MATCH(F104,비용표!$B$2:$B$7,0)),F104*INDEX(비용표!$C$8:$C$9,MATCH(C104,비용표!$B$8:$B$9,0)))</f>
        <v/>
      </c>
      <c r="H104" s="5">
        <f>G104*E104</f>
        <v/>
      </c>
      <c r="I104" s="10">
        <f>IF(A104=A103,I103&amp;" · ","")&amp;IF(C104="카드",D104&amp;E104,"["&amp;C104&amp;"] "&amp;D104)</f>
        <v/>
      </c>
    </row>
    <row r="105">
      <c r="A105" s="5" t="n">
        <v>31</v>
      </c>
      <c r="B105" s="5" t="n">
        <v>1</v>
      </c>
      <c r="C105" s="5" t="inlineStr">
        <is>
          <t>카드</t>
        </is>
      </c>
      <c r="D105" s="5" t="inlineStr">
        <is>
          <t>조조</t>
        </is>
      </c>
      <c r="E105" s="5" t="n">
        <v>1</v>
      </c>
      <c r="F105" s="5" t="inlineStr">
        <is>
          <t>S</t>
        </is>
      </c>
      <c r="G105" s="5">
        <f>IF(C105="카드",INDEX(비용표!$C$2:$C$7,MATCH(F105,비용표!$B$2:$B$7,0)),F105*INDEX(비용표!$C$8:$C$9,MATCH(C105,비용표!$B$8:$B$9,0)))</f>
        <v/>
      </c>
      <c r="H105" s="5">
        <f>G105*E105</f>
        <v/>
      </c>
      <c r="I105" s="10">
        <f>IF(A105=A104,I104&amp;" · ","")&amp;IF(C105="카드",D105&amp;E105,"["&amp;C105&amp;"] "&amp;D105)</f>
        <v/>
      </c>
    </row>
    <row r="106">
      <c r="A106" s="5" t="n">
        <v>31</v>
      </c>
      <c r="B106" s="5" t="n">
        <v>2</v>
      </c>
      <c r="C106" s="5" t="inlineStr">
        <is>
          <t>카드</t>
        </is>
      </c>
      <c r="D106" s="5" t="inlineStr">
        <is>
          <t>유비</t>
        </is>
      </c>
      <c r="E106" s="5" t="n">
        <v>1</v>
      </c>
      <c r="F106" s="5" t="inlineStr">
        <is>
          <t>S</t>
        </is>
      </c>
      <c r="G106" s="5">
        <f>IF(C106="카드",INDEX(비용표!$C$2:$C$7,MATCH(F106,비용표!$B$2:$B$7,0)),F106*INDEX(비용표!$C$8:$C$9,MATCH(C106,비용표!$B$8:$B$9,0)))</f>
        <v/>
      </c>
      <c r="H106" s="5">
        <f>G106*E106</f>
        <v/>
      </c>
      <c r="I106" s="10">
        <f>IF(A106=A105,I105&amp;" · ","")&amp;IF(C106="카드",D106&amp;E106,"["&amp;C106&amp;"] "&amp;D106)</f>
        <v/>
      </c>
    </row>
    <row r="107">
      <c r="A107" s="5" t="n">
        <v>32</v>
      </c>
      <c r="B107" s="5" t="n">
        <v>1</v>
      </c>
      <c r="C107" s="5" t="inlineStr">
        <is>
          <t>카드</t>
        </is>
      </c>
      <c r="D107" s="5" t="inlineStr">
        <is>
          <t>헌제</t>
        </is>
      </c>
      <c r="E107" s="5" t="n">
        <v>1</v>
      </c>
      <c r="F107" s="5" t="inlineStr">
        <is>
          <t>E</t>
        </is>
      </c>
      <c r="G107" s="5">
        <f>IF(C107="카드",INDEX(비용표!$C$2:$C$7,MATCH(F107,비용표!$B$2:$B$7,0)),F107*INDEX(비용표!$C$8:$C$9,MATCH(C107,비용표!$B$8:$B$9,0)))</f>
        <v/>
      </c>
      <c r="H107" s="5">
        <f>G107*E107</f>
        <v/>
      </c>
      <c r="I107" s="10">
        <f>IF(A107=A106,I106&amp;" · ","")&amp;IF(C107="카드",D107&amp;E107,"["&amp;C107&amp;"] "&amp;D107)</f>
        <v/>
      </c>
    </row>
    <row r="108">
      <c r="A108" s="5" t="n">
        <v>32</v>
      </c>
      <c r="B108" s="5" t="n">
        <v>2</v>
      </c>
      <c r="C108" s="5" t="inlineStr">
        <is>
          <t>카드</t>
        </is>
      </c>
      <c r="D108" s="5" t="inlineStr">
        <is>
          <t>유비</t>
        </is>
      </c>
      <c r="E108" s="5" t="n">
        <v>1</v>
      </c>
      <c r="F108" s="5" t="inlineStr">
        <is>
          <t>S</t>
        </is>
      </c>
      <c r="G108" s="5">
        <f>IF(C108="카드",INDEX(비용표!$C$2:$C$7,MATCH(F108,비용표!$B$2:$B$7,0)),F108*INDEX(비용표!$C$8:$C$9,MATCH(C108,비용표!$B$8:$B$9,0)))</f>
        <v/>
      </c>
      <c r="H108" s="5">
        <f>G108*E108</f>
        <v/>
      </c>
      <c r="I108" s="10">
        <f>IF(A108=A107,I107&amp;" · ","")&amp;IF(C108="카드",D108&amp;E108,"["&amp;C108&amp;"] "&amp;D108)</f>
        <v/>
      </c>
    </row>
    <row r="109">
      <c r="A109" s="5" t="n">
        <v>32</v>
      </c>
      <c r="B109" s="5" t="n">
        <v>3</v>
      </c>
      <c r="C109" s="5" t="inlineStr">
        <is>
          <t>카드</t>
        </is>
      </c>
      <c r="D109" s="5" t="inlineStr">
        <is>
          <t>마등</t>
        </is>
      </c>
      <c r="E109" s="5" t="n">
        <v>1</v>
      </c>
      <c r="F109" s="5" t="inlineStr">
        <is>
          <t>A</t>
        </is>
      </c>
      <c r="G109" s="5">
        <f>IF(C109="카드",INDEX(비용표!$C$2:$C$7,MATCH(F109,비용표!$B$2:$B$7,0)),F109*INDEX(비용표!$C$8:$C$9,MATCH(C109,비용표!$B$8:$B$9,0)))</f>
        <v/>
      </c>
      <c r="H109" s="5">
        <f>G109*E109</f>
        <v/>
      </c>
      <c r="I109" s="10">
        <f>IF(A109=A108,I108&amp;" · ","")&amp;IF(C109="카드",D109&amp;E109,"["&amp;C109&amp;"] "&amp;D109)</f>
        <v/>
      </c>
    </row>
    <row r="110">
      <c r="A110" s="5" t="n">
        <v>33</v>
      </c>
      <c r="B110" s="5" t="n">
        <v>1</v>
      </c>
      <c r="C110" s="5" t="inlineStr">
        <is>
          <t>카드</t>
        </is>
      </c>
      <c r="D110" s="5" t="inlineStr">
        <is>
          <t>관우</t>
        </is>
      </c>
      <c r="E110" s="5" t="n">
        <v>1</v>
      </c>
      <c r="F110" s="5" t="inlineStr">
        <is>
          <t>S</t>
        </is>
      </c>
      <c r="G110" s="5">
        <f>IF(C110="카드",INDEX(비용표!$C$2:$C$7,MATCH(F110,비용표!$B$2:$B$7,0)),F110*INDEX(비용표!$C$8:$C$9,MATCH(C110,비용표!$B$8:$B$9,0)))</f>
        <v/>
      </c>
      <c r="H110" s="5">
        <f>G110*E110</f>
        <v/>
      </c>
      <c r="I110" s="10">
        <f>IF(A110=A109,I109&amp;" · ","")&amp;IF(C110="카드",D110&amp;E110,"["&amp;C110&amp;"] "&amp;D110)</f>
        <v/>
      </c>
    </row>
    <row r="111">
      <c r="A111" s="5" t="n">
        <v>33</v>
      </c>
      <c r="B111" s="5" t="n">
        <v>2</v>
      </c>
      <c r="C111" s="5" t="inlineStr">
        <is>
          <t>카드</t>
        </is>
      </c>
      <c r="D111" s="5" t="inlineStr">
        <is>
          <t>장료</t>
        </is>
      </c>
      <c r="E111" s="5" t="n">
        <v>1</v>
      </c>
      <c r="F111" s="5" t="inlineStr">
        <is>
          <t>S</t>
        </is>
      </c>
      <c r="G111" s="5">
        <f>IF(C111="카드",INDEX(비용표!$C$2:$C$7,MATCH(F111,비용표!$B$2:$B$7,0)),F111*INDEX(비용표!$C$8:$C$9,MATCH(C111,비용표!$B$8:$B$9,0)))</f>
        <v/>
      </c>
      <c r="H111" s="5">
        <f>G111*E111</f>
        <v/>
      </c>
      <c r="I111" s="10">
        <f>IF(A111=A110,I110&amp;" · ","")&amp;IF(C111="카드",D111&amp;E111,"["&amp;C111&amp;"] "&amp;D111)</f>
        <v/>
      </c>
    </row>
    <row r="112">
      <c r="A112" s="5" t="n">
        <v>33</v>
      </c>
      <c r="B112" s="5" t="n">
        <v>3</v>
      </c>
      <c r="C112" s="5" t="inlineStr">
        <is>
          <t>카드</t>
        </is>
      </c>
      <c r="D112" s="5" t="inlineStr">
        <is>
          <t>조조</t>
        </is>
      </c>
      <c r="E112" s="5" t="n">
        <v>1</v>
      </c>
      <c r="F112" s="5" t="inlineStr">
        <is>
          <t>S</t>
        </is>
      </c>
      <c r="G112" s="5">
        <f>IF(C112="카드",INDEX(비용표!$C$2:$C$7,MATCH(F112,비용표!$B$2:$B$7,0)),F112*INDEX(비용표!$C$8:$C$9,MATCH(C112,비용표!$B$8:$B$9,0)))</f>
        <v/>
      </c>
      <c r="H112" s="5">
        <f>G112*E112</f>
        <v/>
      </c>
      <c r="I112" s="10">
        <f>IF(A112=A111,I111&amp;" · ","")&amp;IF(C112="카드",D112&amp;E112,"["&amp;C112&amp;"] "&amp;D112)</f>
        <v/>
      </c>
    </row>
    <row r="113">
      <c r="A113" s="5" t="n">
        <v>34</v>
      </c>
      <c r="B113" s="5" t="n">
        <v>1</v>
      </c>
      <c r="C113" s="5" t="inlineStr">
        <is>
          <t>카드</t>
        </is>
      </c>
      <c r="D113" s="5" t="inlineStr">
        <is>
          <t>곽가</t>
        </is>
      </c>
      <c r="E113" s="5" t="n">
        <v>1</v>
      </c>
      <c r="F113" s="5" t="inlineStr">
        <is>
          <t>S</t>
        </is>
      </c>
      <c r="G113" s="5">
        <f>IF(C113="카드",INDEX(비용표!$C$2:$C$7,MATCH(F113,비용표!$B$2:$B$7,0)),F113*INDEX(비용표!$C$8:$C$9,MATCH(C113,비용표!$B$8:$B$9,0)))</f>
        <v/>
      </c>
      <c r="H113" s="5">
        <f>G113*E113</f>
        <v/>
      </c>
      <c r="I113" s="10">
        <f>IF(A113=A112,I112&amp;" · ","")&amp;IF(C113="카드",D113&amp;E113,"["&amp;C113&amp;"] "&amp;D113)</f>
        <v/>
      </c>
    </row>
    <row r="114">
      <c r="A114" s="5" t="n">
        <v>34</v>
      </c>
      <c r="B114" s="5" t="n">
        <v>2</v>
      </c>
      <c r="C114" s="5" t="inlineStr">
        <is>
          <t>카드</t>
        </is>
      </c>
      <c r="D114" s="5" t="inlineStr">
        <is>
          <t>조조</t>
        </is>
      </c>
      <c r="E114" s="5" t="n">
        <v>1</v>
      </c>
      <c r="F114" s="5" t="inlineStr">
        <is>
          <t>S</t>
        </is>
      </c>
      <c r="G114" s="5">
        <f>IF(C114="카드",INDEX(비용표!$C$2:$C$7,MATCH(F114,비용표!$B$2:$B$7,0)),F114*INDEX(비용표!$C$8:$C$9,MATCH(C114,비용표!$B$8:$B$9,0)))</f>
        <v/>
      </c>
      <c r="H114" s="5">
        <f>G114*E114</f>
        <v/>
      </c>
      <c r="I114" s="10">
        <f>IF(A114=A113,I113&amp;" · ","")&amp;IF(C114="카드",D114&amp;E114,"["&amp;C114&amp;"] "&amp;D114)</f>
        <v/>
      </c>
    </row>
    <row r="115">
      <c r="A115" s="5" t="n">
        <v>34</v>
      </c>
      <c r="B115" s="5" t="n">
        <v>3</v>
      </c>
      <c r="C115" s="5" t="inlineStr">
        <is>
          <t>카드</t>
        </is>
      </c>
      <c r="D115" s="5" t="inlineStr">
        <is>
          <t>원소</t>
        </is>
      </c>
      <c r="E115" s="5" t="n">
        <v>1</v>
      </c>
      <c r="F115" s="5" t="inlineStr">
        <is>
          <t>C</t>
        </is>
      </c>
      <c r="G115" s="5">
        <f>IF(C115="카드",INDEX(비용표!$C$2:$C$7,MATCH(F115,비용표!$B$2:$B$7,0)),F115*INDEX(비용표!$C$8:$C$9,MATCH(C115,비용표!$B$8:$B$9,0)))</f>
        <v/>
      </c>
      <c r="H115" s="5">
        <f>G115*E115</f>
        <v/>
      </c>
      <c r="I115" s="10">
        <f>IF(A115=A114,I114&amp;" · ","")&amp;IF(C115="카드",D115&amp;E115,"["&amp;C115&amp;"] "&amp;D115)</f>
        <v/>
      </c>
    </row>
    <row r="116">
      <c r="A116" s="5" t="n">
        <v>35</v>
      </c>
      <c r="B116" s="5" t="n">
        <v>1</v>
      </c>
      <c r="C116" s="5" t="inlineStr">
        <is>
          <t>카드</t>
        </is>
      </c>
      <c r="D116" s="5" t="inlineStr">
        <is>
          <t>순욱</t>
        </is>
      </c>
      <c r="E116" s="5" t="n">
        <v>1</v>
      </c>
      <c r="F116" s="5" t="inlineStr">
        <is>
          <t>S</t>
        </is>
      </c>
      <c r="G116" s="5">
        <f>IF(C116="카드",INDEX(비용표!$C$2:$C$7,MATCH(F116,비용표!$B$2:$B$7,0)),F116*INDEX(비용표!$C$8:$C$9,MATCH(C116,비용표!$B$8:$B$9,0)))</f>
        <v/>
      </c>
      <c r="H116" s="5">
        <f>G116*E116</f>
        <v/>
      </c>
      <c r="I116" s="10">
        <f>IF(A116=A115,I115&amp;" · ","")&amp;IF(C116="카드",D116&amp;E116,"["&amp;C116&amp;"] "&amp;D116)</f>
        <v/>
      </c>
    </row>
    <row r="117">
      <c r="A117" s="5" t="n">
        <v>35</v>
      </c>
      <c r="B117" s="5" t="n">
        <v>2</v>
      </c>
      <c r="C117" s="5" t="inlineStr">
        <is>
          <t>카드</t>
        </is>
      </c>
      <c r="D117" s="5" t="inlineStr">
        <is>
          <t>순유</t>
        </is>
      </c>
      <c r="E117" s="5" t="n">
        <v>1</v>
      </c>
      <c r="F117" s="5" t="inlineStr">
        <is>
          <t>A</t>
        </is>
      </c>
      <c r="G117" s="5">
        <f>IF(C117="카드",INDEX(비용표!$C$2:$C$7,MATCH(F117,비용표!$B$2:$B$7,0)),F117*INDEX(비용표!$C$8:$C$9,MATCH(C117,비용표!$B$8:$B$9,0)))</f>
        <v/>
      </c>
      <c r="H117" s="5">
        <f>G117*E117</f>
        <v/>
      </c>
      <c r="I117" s="10">
        <f>IF(A117=A116,I116&amp;" · ","")&amp;IF(C117="카드",D117&amp;E117,"["&amp;C117&amp;"] "&amp;D117)</f>
        <v/>
      </c>
    </row>
    <row r="118">
      <c r="A118" s="5" t="n">
        <v>35</v>
      </c>
      <c r="B118" s="5" t="n">
        <v>3</v>
      </c>
      <c r="C118" s="5" t="inlineStr">
        <is>
          <t>카드</t>
        </is>
      </c>
      <c r="D118" s="5" t="inlineStr">
        <is>
          <t>조조</t>
        </is>
      </c>
      <c r="E118" s="5" t="n">
        <v>1</v>
      </c>
      <c r="F118" s="5" t="inlineStr">
        <is>
          <t>S</t>
        </is>
      </c>
      <c r="G118" s="5">
        <f>IF(C118="카드",INDEX(비용표!$C$2:$C$7,MATCH(F118,비용표!$B$2:$B$7,0)),F118*INDEX(비용표!$C$8:$C$9,MATCH(C118,비용표!$B$8:$B$9,0)))</f>
        <v/>
      </c>
      <c r="H118" s="5">
        <f>G118*E118</f>
        <v/>
      </c>
      <c r="I118" s="10">
        <f>IF(A118=A117,I117&amp;" · ","")&amp;IF(C118="카드",D118&amp;E118,"["&amp;C118&amp;"] "&amp;D118)</f>
        <v/>
      </c>
    </row>
    <row r="119">
      <c r="A119" s="5" t="n">
        <v>36</v>
      </c>
      <c r="B119" s="5" t="n">
        <v>1</v>
      </c>
      <c r="C119" s="5" t="inlineStr">
        <is>
          <t>카드</t>
        </is>
      </c>
      <c r="D119" s="5" t="inlineStr">
        <is>
          <t>전풍</t>
        </is>
      </c>
      <c r="E119" s="5" t="n">
        <v>1</v>
      </c>
      <c r="F119" s="5" t="inlineStr">
        <is>
          <t>A</t>
        </is>
      </c>
      <c r="G119" s="5">
        <f>IF(C119="카드",INDEX(비용표!$C$2:$C$7,MATCH(F119,비용표!$B$2:$B$7,0)),F119*INDEX(비용표!$C$8:$C$9,MATCH(C119,비용표!$B$8:$B$9,0)))</f>
        <v/>
      </c>
      <c r="H119" s="5">
        <f>G119*E119</f>
        <v/>
      </c>
      <c r="I119" s="10">
        <f>IF(A119=A118,I118&amp;" · ","")&amp;IF(C119="카드",D119&amp;E119,"["&amp;C119&amp;"] "&amp;D119)</f>
        <v/>
      </c>
    </row>
    <row r="120">
      <c r="A120" s="5" t="n">
        <v>36</v>
      </c>
      <c r="B120" s="5" t="n">
        <v>2</v>
      </c>
      <c r="C120" s="5" t="inlineStr">
        <is>
          <t>카드</t>
        </is>
      </c>
      <c r="D120" s="5" t="inlineStr">
        <is>
          <t>저수</t>
        </is>
      </c>
      <c r="E120" s="5" t="n">
        <v>1</v>
      </c>
      <c r="F120" s="5" t="inlineStr">
        <is>
          <t>A</t>
        </is>
      </c>
      <c r="G120" s="5">
        <f>IF(C120="카드",INDEX(비용표!$C$2:$C$7,MATCH(F120,비용표!$B$2:$B$7,0)),F120*INDEX(비용표!$C$8:$C$9,MATCH(C120,비용표!$B$8:$B$9,0)))</f>
        <v/>
      </c>
      <c r="H120" s="5">
        <f>G120*E120</f>
        <v/>
      </c>
      <c r="I120" s="10">
        <f>IF(A120=A119,I119&amp;" · ","")&amp;IF(C120="카드",D120&amp;E120,"["&amp;C120&amp;"] "&amp;D120)</f>
        <v/>
      </c>
    </row>
    <row r="121">
      <c r="A121" s="5" t="n">
        <v>36</v>
      </c>
      <c r="B121" s="5" t="n">
        <v>3</v>
      </c>
      <c r="C121" s="5" t="inlineStr">
        <is>
          <t>카드</t>
        </is>
      </c>
      <c r="D121" s="5" t="inlineStr">
        <is>
          <t>심배</t>
        </is>
      </c>
      <c r="E121" s="5" t="n">
        <v>1</v>
      </c>
      <c r="F121" s="5" t="inlineStr">
        <is>
          <t>B</t>
        </is>
      </c>
      <c r="G121" s="5">
        <f>IF(C121="카드",INDEX(비용표!$C$2:$C$7,MATCH(F121,비용표!$B$2:$B$7,0)),F121*INDEX(비용표!$C$8:$C$9,MATCH(C121,비용표!$B$8:$B$9,0)))</f>
        <v/>
      </c>
      <c r="H121" s="5">
        <f>G121*E121</f>
        <v/>
      </c>
      <c r="I121" s="10">
        <f>IF(A121=A120,I120&amp;" · ","")&amp;IF(C121="카드",D121&amp;E121,"["&amp;C121&amp;"] "&amp;D121)</f>
        <v/>
      </c>
    </row>
    <row r="122">
      <c r="A122" s="5" t="n">
        <v>36</v>
      </c>
      <c r="B122" s="5" t="n">
        <v>4</v>
      </c>
      <c r="C122" s="5" t="inlineStr">
        <is>
          <t>카드</t>
        </is>
      </c>
      <c r="D122" s="5" t="inlineStr">
        <is>
          <t>곽도</t>
        </is>
      </c>
      <c r="E122" s="5" t="n">
        <v>1</v>
      </c>
      <c r="F122" s="5" t="inlineStr">
        <is>
          <t>B</t>
        </is>
      </c>
      <c r="G122" s="5">
        <f>IF(C122="카드",INDEX(비용표!$C$2:$C$7,MATCH(F122,비용표!$B$2:$B$7,0)),F122*INDEX(비용표!$C$8:$C$9,MATCH(C122,비용표!$B$8:$B$9,0)))</f>
        <v/>
      </c>
      <c r="H122" s="5">
        <f>G122*E122</f>
        <v/>
      </c>
      <c r="I122" s="10">
        <f>IF(A122=A121,I121&amp;" · ","")&amp;IF(C122="카드",D122&amp;E122,"["&amp;C122&amp;"] "&amp;D122)</f>
        <v/>
      </c>
    </row>
    <row r="123">
      <c r="A123" s="5" t="n">
        <v>36</v>
      </c>
      <c r="B123" s="5" t="n">
        <v>5</v>
      </c>
      <c r="C123" s="5" t="inlineStr">
        <is>
          <t>카드</t>
        </is>
      </c>
      <c r="D123" s="5" t="inlineStr">
        <is>
          <t>허유</t>
        </is>
      </c>
      <c r="E123" s="5" t="n">
        <v>1</v>
      </c>
      <c r="F123" s="5" t="inlineStr">
        <is>
          <t>D</t>
        </is>
      </c>
      <c r="G123" s="5">
        <f>IF(C123="카드",INDEX(비용표!$C$2:$C$7,MATCH(F123,비용표!$B$2:$B$7,0)),F123*INDEX(비용표!$C$8:$C$9,MATCH(C123,비용표!$B$8:$B$9,0)))</f>
        <v/>
      </c>
      <c r="H123" s="5">
        <f>G123*E123</f>
        <v/>
      </c>
      <c r="I123" s="10">
        <f>IF(A123=A122,I122&amp;" · ","")&amp;IF(C123="카드",D123&amp;E123,"["&amp;C123&amp;"] "&amp;D123)</f>
        <v/>
      </c>
    </row>
    <row r="124">
      <c r="A124" s="5" t="n">
        <v>37</v>
      </c>
      <c r="B124" s="5" t="n">
        <v>1</v>
      </c>
      <c r="C124" s="5" t="inlineStr">
        <is>
          <t>카드</t>
        </is>
      </c>
      <c r="D124" s="5" t="inlineStr">
        <is>
          <t>안량</t>
        </is>
      </c>
      <c r="E124" s="5" t="n">
        <v>1</v>
      </c>
      <c r="F124" s="5" t="inlineStr">
        <is>
          <t>A</t>
        </is>
      </c>
      <c r="G124" s="5">
        <f>IF(C124="카드",INDEX(비용표!$C$2:$C$7,MATCH(F124,비용표!$B$2:$B$7,0)),F124*INDEX(비용표!$C$8:$C$9,MATCH(C124,비용표!$B$8:$B$9,0)))</f>
        <v/>
      </c>
      <c r="H124" s="5">
        <f>G124*E124</f>
        <v/>
      </c>
      <c r="I124" s="10">
        <f>IF(A124=A123,I123&amp;" · ","")&amp;IF(C124="카드",D124&amp;E124,"["&amp;C124&amp;"] "&amp;D124)</f>
        <v/>
      </c>
    </row>
    <row r="125">
      <c r="A125" s="5" t="n">
        <v>37</v>
      </c>
      <c r="B125" s="5" t="n">
        <v>2</v>
      </c>
      <c r="C125" s="5" t="inlineStr">
        <is>
          <t>카드</t>
        </is>
      </c>
      <c r="D125" s="5" t="inlineStr">
        <is>
          <t>문추</t>
        </is>
      </c>
      <c r="E125" s="5" t="n">
        <v>1</v>
      </c>
      <c r="F125" s="5" t="inlineStr">
        <is>
          <t>A</t>
        </is>
      </c>
      <c r="G125" s="5">
        <f>IF(C125="카드",INDEX(비용표!$C$2:$C$7,MATCH(F125,비용표!$B$2:$B$7,0)),F125*INDEX(비용표!$C$8:$C$9,MATCH(C125,비용표!$B$8:$B$9,0)))</f>
        <v/>
      </c>
      <c r="H125" s="5">
        <f>G125*E125</f>
        <v/>
      </c>
      <c r="I125" s="10">
        <f>IF(A125=A124,I124&amp;" · ","")&amp;IF(C125="카드",D125&amp;E125,"["&amp;C125&amp;"] "&amp;D125)</f>
        <v/>
      </c>
    </row>
    <row r="126">
      <c r="A126" s="5" t="n">
        <v>37</v>
      </c>
      <c r="B126" s="5" t="n">
        <v>3</v>
      </c>
      <c r="C126" s="5" t="inlineStr">
        <is>
          <t>카드</t>
        </is>
      </c>
      <c r="D126" s="5" t="inlineStr">
        <is>
          <t>원소</t>
        </is>
      </c>
      <c r="E126" s="5" t="n">
        <v>1</v>
      </c>
      <c r="F126" s="5" t="inlineStr">
        <is>
          <t>C</t>
        </is>
      </c>
      <c r="G126" s="5">
        <f>IF(C126="카드",INDEX(비용표!$C$2:$C$7,MATCH(F126,비용표!$B$2:$B$7,0)),F126*INDEX(비용표!$C$8:$C$9,MATCH(C126,비용표!$B$8:$B$9,0)))</f>
        <v/>
      </c>
      <c r="H126" s="5">
        <f>G126*E126</f>
        <v/>
      </c>
      <c r="I126" s="10">
        <f>IF(A126=A125,I125&amp;" · ","")&amp;IF(C126="카드",D126&amp;E126,"["&amp;C126&amp;"] "&amp;D126)</f>
        <v/>
      </c>
    </row>
    <row r="127">
      <c r="A127" s="5" t="n">
        <v>38</v>
      </c>
      <c r="B127" s="5" t="n">
        <v>1</v>
      </c>
      <c r="C127" s="5" t="inlineStr">
        <is>
          <t>카드</t>
        </is>
      </c>
      <c r="D127" s="5" t="inlineStr">
        <is>
          <t>조조</t>
        </is>
      </c>
      <c r="E127" s="5" t="n">
        <v>1</v>
      </c>
      <c r="F127" s="5" t="inlineStr">
        <is>
          <t>S</t>
        </is>
      </c>
      <c r="G127" s="5">
        <f>IF(C127="카드",INDEX(비용표!$C$2:$C$7,MATCH(F127,비용표!$B$2:$B$7,0)),F127*INDEX(비용표!$C$8:$C$9,MATCH(C127,비용표!$B$8:$B$9,0)))</f>
        <v/>
      </c>
      <c r="H127" s="5">
        <f>G127*E127</f>
        <v/>
      </c>
      <c r="I127" s="10">
        <f>IF(A127=A126,I126&amp;" · ","")&amp;IF(C127="카드",D127&amp;E127,"["&amp;C127&amp;"] "&amp;D127)</f>
        <v/>
      </c>
    </row>
    <row r="128">
      <c r="A128" s="5" t="n">
        <v>38</v>
      </c>
      <c r="B128" s="5" t="n">
        <v>2</v>
      </c>
      <c r="C128" s="5" t="inlineStr">
        <is>
          <t>카드</t>
        </is>
      </c>
      <c r="D128" s="5" t="inlineStr">
        <is>
          <t>관우</t>
        </is>
      </c>
      <c r="E128" s="5" t="n">
        <v>1</v>
      </c>
      <c r="F128" s="5" t="inlineStr">
        <is>
          <t>S</t>
        </is>
      </c>
      <c r="G128" s="5">
        <f>IF(C128="카드",INDEX(비용표!$C$2:$C$7,MATCH(F128,비용표!$B$2:$B$7,0)),F128*INDEX(비용표!$C$8:$C$9,MATCH(C128,비용표!$B$8:$B$9,0)))</f>
        <v/>
      </c>
      <c r="H128" s="5">
        <f>G128*E128</f>
        <v/>
      </c>
      <c r="I128" s="10">
        <f>IF(A128=A127,I127&amp;" · ","")&amp;IF(C128="카드",D128&amp;E128,"["&amp;C128&amp;"] "&amp;D128)</f>
        <v/>
      </c>
    </row>
    <row r="129">
      <c r="A129" s="5" t="n">
        <v>38</v>
      </c>
      <c r="B129" s="5" t="n">
        <v>3</v>
      </c>
      <c r="C129" s="5" t="inlineStr">
        <is>
          <t>카드</t>
        </is>
      </c>
      <c r="D129" s="5" t="inlineStr">
        <is>
          <t>원소</t>
        </is>
      </c>
      <c r="E129" s="5" t="n">
        <v>1</v>
      </c>
      <c r="F129" s="5" t="inlineStr">
        <is>
          <t>C</t>
        </is>
      </c>
      <c r="G129" s="5">
        <f>IF(C129="카드",INDEX(비용표!$C$2:$C$7,MATCH(F129,비용표!$B$2:$B$7,0)),F129*INDEX(비용표!$C$8:$C$9,MATCH(C129,비용표!$B$8:$B$9,0)))</f>
        <v/>
      </c>
      <c r="H129" s="5">
        <f>G129*E129</f>
        <v/>
      </c>
      <c r="I129" s="10">
        <f>IF(A129=A128,I128&amp;" · ","")&amp;IF(C129="카드",D129&amp;E129,"["&amp;C129&amp;"] "&amp;D129)</f>
        <v/>
      </c>
    </row>
    <row r="130">
      <c r="A130" s="5" t="n">
        <v>38</v>
      </c>
      <c r="B130" s="5" t="n">
        <v>4</v>
      </c>
      <c r="C130" s="5" t="inlineStr">
        <is>
          <t>카드</t>
        </is>
      </c>
      <c r="D130" s="5" t="inlineStr">
        <is>
          <t>안량</t>
        </is>
      </c>
      <c r="E130" s="5" t="n">
        <v>1</v>
      </c>
      <c r="F130" s="5" t="inlineStr">
        <is>
          <t>A</t>
        </is>
      </c>
      <c r="G130" s="5">
        <f>IF(C130="카드",INDEX(비용표!$C$2:$C$7,MATCH(F130,비용표!$B$2:$B$7,0)),F130*INDEX(비용표!$C$8:$C$9,MATCH(C130,비용표!$B$8:$B$9,0)))</f>
        <v/>
      </c>
      <c r="H130" s="5">
        <f>G130*E130</f>
        <v/>
      </c>
      <c r="I130" s="10">
        <f>IF(A130=A129,I129&amp;" · ","")&amp;IF(C130="카드",D130&amp;E130,"["&amp;C130&amp;"] "&amp;D130)</f>
        <v/>
      </c>
    </row>
    <row r="131">
      <c r="A131" s="5" t="n">
        <v>38</v>
      </c>
      <c r="B131" s="5" t="n">
        <v>5</v>
      </c>
      <c r="C131" s="5" t="inlineStr">
        <is>
          <t>카드</t>
        </is>
      </c>
      <c r="D131" s="5" t="inlineStr">
        <is>
          <t>문추</t>
        </is>
      </c>
      <c r="E131" s="5" t="n">
        <v>1</v>
      </c>
      <c r="F131" s="5" t="inlineStr">
        <is>
          <t>A</t>
        </is>
      </c>
      <c r="G131" s="5">
        <f>IF(C131="카드",INDEX(비용표!$C$2:$C$7,MATCH(F131,비용표!$B$2:$B$7,0)),F131*INDEX(비용표!$C$8:$C$9,MATCH(C131,비용표!$B$8:$B$9,0)))</f>
        <v/>
      </c>
      <c r="H131" s="5">
        <f>G131*E131</f>
        <v/>
      </c>
      <c r="I131" s="10">
        <f>IF(A131=A130,I130&amp;" · ","")&amp;IF(C131="카드",D131&amp;E131,"["&amp;C131&amp;"] "&amp;D131)</f>
        <v/>
      </c>
    </row>
    <row r="132">
      <c r="A132" s="5" t="n">
        <v>39</v>
      </c>
      <c r="B132" s="5" t="n">
        <v>1</v>
      </c>
      <c r="C132" s="5" t="inlineStr">
        <is>
          <t>카드</t>
        </is>
      </c>
      <c r="D132" s="5" t="inlineStr">
        <is>
          <t>허유</t>
        </is>
      </c>
      <c r="E132" s="5" t="n">
        <v>1</v>
      </c>
      <c r="F132" s="5" t="inlineStr">
        <is>
          <t>D</t>
        </is>
      </c>
      <c r="G132" s="5">
        <f>IF(C132="카드",INDEX(비용표!$C$2:$C$7,MATCH(F132,비용표!$B$2:$B$7,0)),F132*INDEX(비용표!$C$8:$C$9,MATCH(C132,비용표!$B$8:$B$9,0)))</f>
        <v/>
      </c>
      <c r="H132" s="5">
        <f>G132*E132</f>
        <v/>
      </c>
      <c r="I132" s="10">
        <f>IF(A132=A131,I131&amp;" · ","")&amp;IF(C132="카드",D132&amp;E132,"["&amp;C132&amp;"] "&amp;D132)</f>
        <v/>
      </c>
    </row>
    <row r="133">
      <c r="A133" s="5" t="n">
        <v>39</v>
      </c>
      <c r="B133" s="5" t="n">
        <v>2</v>
      </c>
      <c r="C133" s="5" t="inlineStr">
        <is>
          <t>카드</t>
        </is>
      </c>
      <c r="D133" s="5" t="inlineStr">
        <is>
          <t>조조</t>
        </is>
      </c>
      <c r="E133" s="5" t="n">
        <v>1</v>
      </c>
      <c r="F133" s="5" t="inlineStr">
        <is>
          <t>S</t>
        </is>
      </c>
      <c r="G133" s="5">
        <f>IF(C133="카드",INDEX(비용표!$C$2:$C$7,MATCH(F133,비용표!$B$2:$B$7,0)),F133*INDEX(비용표!$C$8:$C$9,MATCH(C133,비용표!$B$8:$B$9,0)))</f>
        <v/>
      </c>
      <c r="H133" s="5">
        <f>G133*E133</f>
        <v/>
      </c>
      <c r="I133" s="10">
        <f>IF(A133=A132,I132&amp;" · ","")&amp;IF(C133="카드",D133&amp;E133,"["&amp;C133&amp;"] "&amp;D133)</f>
        <v/>
      </c>
    </row>
    <row r="134">
      <c r="A134" s="5" t="n">
        <v>39</v>
      </c>
      <c r="B134" s="5" t="n">
        <v>3</v>
      </c>
      <c r="C134" s="5" t="inlineStr">
        <is>
          <t>카드</t>
        </is>
      </c>
      <c r="D134" s="5" t="inlineStr">
        <is>
          <t>순우경</t>
        </is>
      </c>
      <c r="E134" s="5" t="n">
        <v>1</v>
      </c>
      <c r="F134" s="5" t="inlineStr">
        <is>
          <t>B</t>
        </is>
      </c>
      <c r="G134" s="5">
        <f>IF(C134="카드",INDEX(비용표!$C$2:$C$7,MATCH(F134,비용표!$B$2:$B$7,0)),F134*INDEX(비용표!$C$8:$C$9,MATCH(C134,비용표!$B$8:$B$9,0)))</f>
        <v/>
      </c>
      <c r="H134" s="5">
        <f>G134*E134</f>
        <v/>
      </c>
      <c r="I134" s="10">
        <f>IF(A134=A133,I133&amp;" · ","")&amp;IF(C134="카드",D134&amp;E134,"["&amp;C134&amp;"] "&amp;D134)</f>
        <v/>
      </c>
    </row>
    <row r="135">
      <c r="A135" s="5" t="n">
        <v>39</v>
      </c>
      <c r="B135" s="5" t="n">
        <v>4</v>
      </c>
      <c r="C135" s="5" t="inlineStr">
        <is>
          <t>카드</t>
        </is>
      </c>
      <c r="D135" s="5" t="inlineStr">
        <is>
          <t>저수</t>
        </is>
      </c>
      <c r="E135" s="5" t="n">
        <v>1</v>
      </c>
      <c r="F135" s="5" t="inlineStr">
        <is>
          <t>A</t>
        </is>
      </c>
      <c r="G135" s="5">
        <f>IF(C135="카드",INDEX(비용표!$C$2:$C$7,MATCH(F135,비용표!$B$2:$B$7,0)),F135*INDEX(비용표!$C$8:$C$9,MATCH(C135,비용표!$B$8:$B$9,0)))</f>
        <v/>
      </c>
      <c r="H135" s="5">
        <f>G135*E135</f>
        <v/>
      </c>
      <c r="I135" s="10">
        <f>IF(A135=A134,I134&amp;" · ","")&amp;IF(C135="카드",D135&amp;E135,"["&amp;C135&amp;"] "&amp;D135)</f>
        <v/>
      </c>
    </row>
    <row r="136">
      <c r="A136" s="5" t="n">
        <v>40</v>
      </c>
      <c r="B136" s="5" t="n">
        <v>1</v>
      </c>
      <c r="C136" s="5" t="inlineStr">
        <is>
          <t>카드</t>
        </is>
      </c>
      <c r="D136" s="5" t="inlineStr">
        <is>
          <t>관우</t>
        </is>
      </c>
      <c r="E136" s="5" t="n">
        <v>1</v>
      </c>
      <c r="F136" s="5" t="inlineStr">
        <is>
          <t>S</t>
        </is>
      </c>
      <c r="G136" s="5">
        <f>IF(C136="카드",INDEX(비용표!$C$2:$C$7,MATCH(F136,비용표!$B$2:$B$7,0)),F136*INDEX(비용표!$C$8:$C$9,MATCH(C136,비용표!$B$8:$B$9,0)))</f>
        <v/>
      </c>
      <c r="H136" s="5">
        <f>G136*E136</f>
        <v/>
      </c>
      <c r="I136" s="10">
        <f>IF(A136=A135,I135&amp;" · ","")&amp;IF(C136="카드",D136&amp;E136,"["&amp;C136&amp;"] "&amp;D136)</f>
        <v/>
      </c>
    </row>
    <row r="137">
      <c r="A137" s="5" t="n">
        <v>40</v>
      </c>
      <c r="B137" s="5" t="n">
        <v>2</v>
      </c>
      <c r="C137" s="5" t="inlineStr">
        <is>
          <t>카드</t>
        </is>
      </c>
      <c r="D137" s="5" t="inlineStr">
        <is>
          <t>진기</t>
        </is>
      </c>
      <c r="E137" s="5" t="n">
        <v>1</v>
      </c>
      <c r="F137" s="5" t="inlineStr">
        <is>
          <t>C</t>
        </is>
      </c>
      <c r="G137" s="5">
        <f>IF(C137="카드",INDEX(비용표!$C$2:$C$7,MATCH(F137,비용표!$B$2:$B$7,0)),F137*INDEX(비용표!$C$8:$C$9,MATCH(C137,비용표!$B$8:$B$9,0)))</f>
        <v/>
      </c>
      <c r="H137" s="5">
        <f>G137*E137</f>
        <v/>
      </c>
      <c r="I137" s="10">
        <f>IF(A137=A136,I136&amp;" · ","")&amp;IF(C137="카드",D137&amp;E137,"["&amp;C137&amp;"] "&amp;D137)</f>
        <v/>
      </c>
    </row>
    <row r="138">
      <c r="A138" s="5" t="n">
        <v>40</v>
      </c>
      <c r="B138" s="5" t="n">
        <v>3</v>
      </c>
      <c r="C138" s="5" t="inlineStr">
        <is>
          <t>카드</t>
        </is>
      </c>
      <c r="D138" s="5" t="inlineStr">
        <is>
          <t>손건</t>
        </is>
      </c>
      <c r="E138" s="5" t="n">
        <v>1</v>
      </c>
      <c r="F138" s="5" t="inlineStr">
        <is>
          <t>B</t>
        </is>
      </c>
      <c r="G138" s="5">
        <f>IF(C138="카드",INDEX(비용표!$C$2:$C$7,MATCH(F138,비용표!$B$2:$B$7,0)),F138*INDEX(비용표!$C$8:$C$9,MATCH(C138,비용표!$B$8:$B$9,0)))</f>
        <v/>
      </c>
      <c r="H138" s="5">
        <f>G138*E138</f>
        <v/>
      </c>
      <c r="I138" s="10">
        <f>IF(A138=A137,I137&amp;" · ","")&amp;IF(C138="카드",D138&amp;E138,"["&amp;C138&amp;"] "&amp;D138)</f>
        <v/>
      </c>
    </row>
    <row r="139">
      <c r="A139" s="5" t="n">
        <v>40</v>
      </c>
      <c r="B139" s="5" t="n">
        <v>4</v>
      </c>
      <c r="C139" s="5" t="inlineStr">
        <is>
          <t>카드</t>
        </is>
      </c>
      <c r="D139" s="5" t="inlineStr">
        <is>
          <t>하후돈</t>
        </is>
      </c>
      <c r="E139" s="5" t="n">
        <v>1</v>
      </c>
      <c r="F139" s="5" t="inlineStr">
        <is>
          <t>S</t>
        </is>
      </c>
      <c r="G139" s="5">
        <f>IF(C139="카드",INDEX(비용표!$C$2:$C$7,MATCH(F139,비용표!$B$2:$B$7,0)),F139*INDEX(비용표!$C$8:$C$9,MATCH(C139,비용표!$B$8:$B$9,0)))</f>
        <v/>
      </c>
      <c r="H139" s="5">
        <f>G139*E139</f>
        <v/>
      </c>
      <c r="I139" s="10">
        <f>IF(A139=A138,I138&amp;" · ","")&amp;IF(C139="카드",D139&amp;E139,"["&amp;C139&amp;"] "&amp;D139)</f>
        <v/>
      </c>
    </row>
    <row r="140">
      <c r="A140" s="5" t="n">
        <v>40</v>
      </c>
      <c r="B140" s="5" t="n">
        <v>5</v>
      </c>
      <c r="C140" s="5" t="inlineStr">
        <is>
          <t>병기</t>
        </is>
      </c>
      <c r="D140" s="5" t="inlineStr">
        <is>
          <t>청룡언월도</t>
        </is>
      </c>
      <c r="E140" s="5" t="n">
        <v>1</v>
      </c>
      <c r="F140" s="5" t="n">
        <v>5</v>
      </c>
      <c r="G140" s="5">
        <f>IF(C140="카드",INDEX(비용표!$C$2:$C$7,MATCH(F140,비용표!$B$2:$B$7,0)),F140*INDEX(비용표!$C$8:$C$9,MATCH(C140,비용표!$B$8:$B$9,0)))</f>
        <v/>
      </c>
      <c r="H140" s="5">
        <f>G140*E140</f>
        <v/>
      </c>
      <c r="I140" s="10">
        <f>IF(A140=A139,I139&amp;" · ","")&amp;IF(C140="카드",D140&amp;E140,"["&amp;C140&amp;"] "&amp;D140)</f>
        <v/>
      </c>
    </row>
    <row r="141">
      <c r="A141" s="5" t="n">
        <v>41</v>
      </c>
      <c r="B141" s="5" t="n">
        <v>1</v>
      </c>
      <c r="C141" s="5" t="inlineStr">
        <is>
          <t>카드</t>
        </is>
      </c>
      <c r="D141" s="5" t="inlineStr">
        <is>
          <t>관우</t>
        </is>
      </c>
      <c r="E141" s="5" t="n">
        <v>1</v>
      </c>
      <c r="F141" s="5" t="inlineStr">
        <is>
          <t>S</t>
        </is>
      </c>
      <c r="G141" s="5">
        <f>IF(C141="카드",INDEX(비용표!$C$2:$C$7,MATCH(F141,비용표!$B$2:$B$7,0)),F141*INDEX(비용표!$C$8:$C$9,MATCH(C141,비용표!$B$8:$B$9,0)))</f>
        <v/>
      </c>
      <c r="H141" s="5">
        <f>G141*E141</f>
        <v/>
      </c>
      <c r="I141" s="10">
        <f>IF(A141=A140,I140&amp;" · ","")&amp;IF(C141="카드",D141&amp;E141,"["&amp;C141&amp;"] "&amp;D141)</f>
        <v/>
      </c>
    </row>
    <row r="142">
      <c r="A142" s="5" t="n">
        <v>41</v>
      </c>
      <c r="B142" s="5" t="n">
        <v>2</v>
      </c>
      <c r="C142" s="5" t="inlineStr">
        <is>
          <t>카드</t>
        </is>
      </c>
      <c r="D142" s="5" t="inlineStr">
        <is>
          <t>장비</t>
        </is>
      </c>
      <c r="E142" s="5" t="n">
        <v>1</v>
      </c>
      <c r="F142" s="5" t="inlineStr">
        <is>
          <t>S</t>
        </is>
      </c>
      <c r="G142" s="5">
        <f>IF(C142="카드",INDEX(비용표!$C$2:$C$7,MATCH(F142,비용표!$B$2:$B$7,0)),F142*INDEX(비용표!$C$8:$C$9,MATCH(C142,비용표!$B$8:$B$9,0)))</f>
        <v/>
      </c>
      <c r="H142" s="5">
        <f>G142*E142</f>
        <v/>
      </c>
      <c r="I142" s="10">
        <f>IF(A142=A141,I141&amp;" · ","")&amp;IF(C142="카드",D142&amp;E142,"["&amp;C142&amp;"] "&amp;D142)</f>
        <v/>
      </c>
    </row>
    <row r="143">
      <c r="A143" s="5" t="n">
        <v>41</v>
      </c>
      <c r="B143" s="5" t="n">
        <v>3</v>
      </c>
      <c r="C143" s="5" t="inlineStr">
        <is>
          <t>카드</t>
        </is>
      </c>
      <c r="D143" s="5" t="inlineStr">
        <is>
          <t>유비</t>
        </is>
      </c>
      <c r="E143" s="5" t="n">
        <v>1</v>
      </c>
      <c r="F143" s="5" t="inlineStr">
        <is>
          <t>S</t>
        </is>
      </c>
      <c r="G143" s="5">
        <f>IF(C143="카드",INDEX(비용표!$C$2:$C$7,MATCH(F143,비용표!$B$2:$B$7,0)),F143*INDEX(비용표!$C$8:$C$9,MATCH(C143,비용표!$B$8:$B$9,0)))</f>
        <v/>
      </c>
      <c r="H143" s="5">
        <f>G143*E143</f>
        <v/>
      </c>
      <c r="I143" s="10">
        <f>IF(A143=A142,I142&amp;" · ","")&amp;IF(C143="카드",D143&amp;E143,"["&amp;C143&amp;"] "&amp;D143)</f>
        <v/>
      </c>
    </row>
    <row r="144">
      <c r="A144" s="5" t="n">
        <v>41</v>
      </c>
      <c r="B144" s="5" t="n">
        <v>4</v>
      </c>
      <c r="C144" s="5" t="inlineStr">
        <is>
          <t>카드</t>
        </is>
      </c>
      <c r="D144" s="5" t="inlineStr">
        <is>
          <t>조운</t>
        </is>
      </c>
      <c r="E144" s="5" t="n">
        <v>1</v>
      </c>
      <c r="F144" s="5" t="inlineStr">
        <is>
          <t>S</t>
        </is>
      </c>
      <c r="G144" s="5">
        <f>IF(C144="카드",INDEX(비용표!$C$2:$C$7,MATCH(F144,비용표!$B$2:$B$7,0)),F144*INDEX(비용표!$C$8:$C$9,MATCH(C144,비용표!$B$8:$B$9,0)))</f>
        <v/>
      </c>
      <c r="H144" s="5">
        <f>G144*E144</f>
        <v/>
      </c>
      <c r="I144" s="10">
        <f>IF(A144=A143,I143&amp;" · ","")&amp;IF(C144="카드",D144&amp;E144,"["&amp;C144&amp;"] "&amp;D144)</f>
        <v/>
      </c>
    </row>
    <row r="145">
      <c r="A145" s="5" t="n">
        <v>41</v>
      </c>
      <c r="B145" s="5" t="n">
        <v>5</v>
      </c>
      <c r="C145" s="5" t="inlineStr">
        <is>
          <t>카드</t>
        </is>
      </c>
      <c r="D145" s="5" t="inlineStr">
        <is>
          <t>주창</t>
        </is>
      </c>
      <c r="E145" s="5" t="n">
        <v>1</v>
      </c>
      <c r="F145" s="5" t="inlineStr">
        <is>
          <t>A</t>
        </is>
      </c>
      <c r="G145" s="5">
        <f>IF(C145="카드",INDEX(비용표!$C$2:$C$7,MATCH(F145,비용표!$B$2:$B$7,0)),F145*INDEX(비용표!$C$8:$C$9,MATCH(C145,비용표!$B$8:$B$9,0)))</f>
        <v/>
      </c>
      <c r="H145" s="5">
        <f>G145*E145</f>
        <v/>
      </c>
      <c r="I145" s="10">
        <f>IF(A145=A144,I144&amp;" · ","")&amp;IF(C145="카드",D145&amp;E145,"["&amp;C145&amp;"] "&amp;D145)</f>
        <v/>
      </c>
    </row>
    <row r="146">
      <c r="A146" s="5" t="n">
        <v>42</v>
      </c>
      <c r="B146" s="5" t="n">
        <v>1</v>
      </c>
      <c r="C146" s="5" t="inlineStr">
        <is>
          <t>카드</t>
        </is>
      </c>
      <c r="D146" s="5" t="inlineStr">
        <is>
          <t>하후돈</t>
        </is>
      </c>
      <c r="E146" s="5" t="n">
        <v>1</v>
      </c>
      <c r="F146" s="5" t="inlineStr">
        <is>
          <t>S</t>
        </is>
      </c>
      <c r="G146" s="5">
        <f>IF(C146="카드",INDEX(비용표!$C$2:$C$7,MATCH(F146,비용표!$B$2:$B$7,0)),F146*INDEX(비용표!$C$8:$C$9,MATCH(C146,비용표!$B$8:$B$9,0)))</f>
        <v/>
      </c>
      <c r="H146" s="5">
        <f>G146*E146</f>
        <v/>
      </c>
      <c r="I146" s="10">
        <f>IF(A146=A145,I145&amp;" · ","")&amp;IF(C146="카드",D146&amp;E146,"["&amp;C146&amp;"] "&amp;D146)</f>
        <v/>
      </c>
    </row>
    <row r="147">
      <c r="A147" s="5" t="n">
        <v>42</v>
      </c>
      <c r="B147" s="5" t="n">
        <v>2</v>
      </c>
      <c r="C147" s="5" t="inlineStr">
        <is>
          <t>카드</t>
        </is>
      </c>
      <c r="D147" s="5" t="inlineStr">
        <is>
          <t>조성</t>
        </is>
      </c>
      <c r="E147" s="5" t="n">
        <v>1</v>
      </c>
      <c r="F147" s="5" t="inlineStr">
        <is>
          <t>C</t>
        </is>
      </c>
      <c r="G147" s="5">
        <f>IF(C147="카드",INDEX(비용표!$C$2:$C$7,MATCH(F147,비용표!$B$2:$B$7,0)),F147*INDEX(비용표!$C$8:$C$9,MATCH(C147,비용표!$B$8:$B$9,0)))</f>
        <v/>
      </c>
      <c r="H147" s="5">
        <f>G147*E147</f>
        <v/>
      </c>
      <c r="I147" s="10">
        <f>IF(A147=A146,I146&amp;" · ","")&amp;IF(C147="카드",D147&amp;E147,"["&amp;C147&amp;"] "&amp;D147)</f>
        <v/>
      </c>
    </row>
    <row r="148">
      <c r="A148" s="5" t="n">
        <v>43</v>
      </c>
      <c r="B148" s="5" t="n">
        <v>1</v>
      </c>
      <c r="C148" s="5" t="inlineStr">
        <is>
          <t>카드</t>
        </is>
      </c>
      <c r="D148" s="5" t="inlineStr">
        <is>
          <t>장료</t>
        </is>
      </c>
      <c r="E148" s="5" t="n">
        <v>1</v>
      </c>
      <c r="F148" s="5" t="inlineStr">
        <is>
          <t>S</t>
        </is>
      </c>
      <c r="G148" s="5">
        <f>IF(C148="카드",INDEX(비용표!$C$2:$C$7,MATCH(F148,비용표!$B$2:$B$7,0)),F148*INDEX(비용표!$C$8:$C$9,MATCH(C148,비용표!$B$8:$B$9,0)))</f>
        <v/>
      </c>
      <c r="H148" s="5">
        <f>G148*E148</f>
        <v/>
      </c>
      <c r="I148" s="10">
        <f>IF(A148=A147,I147&amp;" · ","")&amp;IF(C148="카드",D148&amp;E148,"["&amp;C148&amp;"] "&amp;D148)</f>
        <v/>
      </c>
    </row>
    <row r="149">
      <c r="A149" s="5" t="n">
        <v>43</v>
      </c>
      <c r="B149" s="5" t="n">
        <v>2</v>
      </c>
      <c r="C149" s="5" t="inlineStr">
        <is>
          <t>카드</t>
        </is>
      </c>
      <c r="D149" s="5" t="inlineStr">
        <is>
          <t>허저</t>
        </is>
      </c>
      <c r="E149" s="5" t="n">
        <v>1</v>
      </c>
      <c r="F149" s="5" t="inlineStr">
        <is>
          <t>S</t>
        </is>
      </c>
      <c r="G149" s="5">
        <f>IF(C149="카드",INDEX(비용표!$C$2:$C$7,MATCH(F149,비용표!$B$2:$B$7,0)),F149*INDEX(비용표!$C$8:$C$9,MATCH(C149,비용표!$B$8:$B$9,0)))</f>
        <v/>
      </c>
      <c r="H149" s="5">
        <f>G149*E149</f>
        <v/>
      </c>
      <c r="I149" s="10">
        <f>IF(A149=A148,I148&amp;" · ","")&amp;IF(C149="카드",D149&amp;E149,"["&amp;C149&amp;"] "&amp;D149)</f>
        <v/>
      </c>
    </row>
    <row r="150">
      <c r="A150" s="5" t="n">
        <v>43</v>
      </c>
      <c r="B150" s="5" t="n">
        <v>3</v>
      </c>
      <c r="C150" s="5" t="inlineStr">
        <is>
          <t>카드</t>
        </is>
      </c>
      <c r="D150" s="5" t="inlineStr">
        <is>
          <t>서황</t>
        </is>
      </c>
      <c r="E150" s="5" t="n">
        <v>1</v>
      </c>
      <c r="F150" s="5" t="inlineStr">
        <is>
          <t>S</t>
        </is>
      </c>
      <c r="G150" s="5">
        <f>IF(C150="카드",INDEX(비용표!$C$2:$C$7,MATCH(F150,비용표!$B$2:$B$7,0)),F150*INDEX(비용표!$C$8:$C$9,MATCH(C150,비용표!$B$8:$B$9,0)))</f>
        <v/>
      </c>
      <c r="H150" s="5">
        <f>G150*E150</f>
        <v/>
      </c>
      <c r="I150" s="10">
        <f>IF(A150=A149,I149&amp;" · ","")&amp;IF(C150="카드",D150&amp;E150,"["&amp;C150&amp;"] "&amp;D150)</f>
        <v/>
      </c>
    </row>
    <row r="151">
      <c r="A151" s="5" t="n">
        <v>43</v>
      </c>
      <c r="B151" s="5" t="n">
        <v>4</v>
      </c>
      <c r="C151" s="5" t="inlineStr">
        <is>
          <t>아이템</t>
        </is>
      </c>
      <c r="D151" s="5" t="inlineStr">
        <is>
          <t>대완마</t>
        </is>
      </c>
      <c r="E151" s="5" t="n">
        <v>1</v>
      </c>
      <c r="F151" s="5" t="n">
        <v>2</v>
      </c>
      <c r="G151" s="5">
        <f>IF(C151="카드",INDEX(비용표!$C$2:$C$7,MATCH(F151,비용표!$B$2:$B$7,0)),F151*INDEX(비용표!$C$8:$C$9,MATCH(C151,비용표!$B$8:$B$9,0)))</f>
        <v/>
      </c>
      <c r="H151" s="5">
        <f>G151*E151</f>
        <v/>
      </c>
      <c r="I151" s="10">
        <f>IF(A151=A150,I150&amp;" · ","")&amp;IF(C151="카드",D151&amp;E151,"["&amp;C151&amp;"] "&amp;D151)</f>
        <v/>
      </c>
    </row>
    <row r="152">
      <c r="A152" s="5" t="n">
        <v>44</v>
      </c>
      <c r="B152" s="5" t="n">
        <v>1</v>
      </c>
      <c r="C152" s="5" t="inlineStr">
        <is>
          <t>카드</t>
        </is>
      </c>
      <c r="D152" s="5" t="inlineStr">
        <is>
          <t>유비</t>
        </is>
      </c>
      <c r="E152" s="5" t="n">
        <v>1</v>
      </c>
      <c r="F152" s="5" t="inlineStr">
        <is>
          <t>S</t>
        </is>
      </c>
      <c r="G152" s="5">
        <f>IF(C152="카드",INDEX(비용표!$C$2:$C$7,MATCH(F152,비용표!$B$2:$B$7,0)),F152*INDEX(비용표!$C$8:$C$9,MATCH(C152,비용표!$B$8:$B$9,0)))</f>
        <v/>
      </c>
      <c r="H152" s="5">
        <f>G152*E152</f>
        <v/>
      </c>
      <c r="I152" s="10">
        <f>IF(A152=A151,I151&amp;" · ","")&amp;IF(C152="카드",D152&amp;E152,"["&amp;C152&amp;"] "&amp;D152)</f>
        <v/>
      </c>
    </row>
    <row r="153">
      <c r="A153" s="5" t="n">
        <v>44</v>
      </c>
      <c r="B153" s="5" t="n">
        <v>2</v>
      </c>
      <c r="C153" s="5" t="inlineStr">
        <is>
          <t>카드</t>
        </is>
      </c>
      <c r="D153" s="5" t="inlineStr">
        <is>
          <t>채모</t>
        </is>
      </c>
      <c r="E153" s="5" t="n">
        <v>1</v>
      </c>
      <c r="F153" s="5" t="inlineStr">
        <is>
          <t>B</t>
        </is>
      </c>
      <c r="G153" s="5">
        <f>IF(C153="카드",INDEX(비용표!$C$2:$C$7,MATCH(F153,비용표!$B$2:$B$7,0)),F153*INDEX(비용표!$C$8:$C$9,MATCH(C153,비용표!$B$8:$B$9,0)))</f>
        <v/>
      </c>
      <c r="H153" s="5">
        <f>G153*E153</f>
        <v/>
      </c>
      <c r="I153" s="10">
        <f>IF(A153=A152,I152&amp;" · ","")&amp;IF(C153="카드",D153&amp;E153,"["&amp;C153&amp;"] "&amp;D153)</f>
        <v/>
      </c>
    </row>
    <row r="154">
      <c r="A154" s="5" t="n">
        <v>44</v>
      </c>
      <c r="B154" s="5" t="n">
        <v>3</v>
      </c>
      <c r="C154" s="5" t="inlineStr">
        <is>
          <t>카드</t>
        </is>
      </c>
      <c r="D154" s="5" t="inlineStr">
        <is>
          <t>괴월</t>
        </is>
      </c>
      <c r="E154" s="5" t="n">
        <v>1</v>
      </c>
      <c r="F154" s="5" t="inlineStr">
        <is>
          <t>B</t>
        </is>
      </c>
      <c r="G154" s="5">
        <f>IF(C154="카드",INDEX(비용표!$C$2:$C$7,MATCH(F154,비용표!$B$2:$B$7,0)),F154*INDEX(비용표!$C$8:$C$9,MATCH(C154,비용표!$B$8:$B$9,0)))</f>
        <v/>
      </c>
      <c r="H154" s="5">
        <f>G154*E154</f>
        <v/>
      </c>
      <c r="I154" s="10">
        <f>IF(A154=A153,I153&amp;" · ","")&amp;IF(C154="카드",D154&amp;E154,"["&amp;C154&amp;"] "&amp;D154)</f>
        <v/>
      </c>
    </row>
    <row r="155">
      <c r="A155" s="5" t="n">
        <v>44</v>
      </c>
      <c r="B155" s="5" t="n">
        <v>4</v>
      </c>
      <c r="C155" s="5" t="inlineStr">
        <is>
          <t>아이템</t>
        </is>
      </c>
      <c r="D155" s="5" t="inlineStr">
        <is>
          <t>적로</t>
        </is>
      </c>
      <c r="E155" s="5" t="n">
        <v>1</v>
      </c>
      <c r="F155" s="5" t="n">
        <v>3</v>
      </c>
      <c r="G155" s="5">
        <f>IF(C155="카드",INDEX(비용표!$C$2:$C$7,MATCH(F155,비용표!$B$2:$B$7,0)),F155*INDEX(비용표!$C$8:$C$9,MATCH(C155,비용표!$B$8:$B$9,0)))</f>
        <v/>
      </c>
      <c r="H155" s="5">
        <f>G155*E155</f>
        <v/>
      </c>
      <c r="I155" s="10">
        <f>IF(A155=A154,I154&amp;" · ","")&amp;IF(C155="카드",D155&amp;E155,"["&amp;C155&amp;"] "&amp;D155)</f>
        <v/>
      </c>
    </row>
    <row r="156">
      <c r="A156" s="5" t="n">
        <v>45</v>
      </c>
      <c r="B156" s="5" t="n">
        <v>1</v>
      </c>
      <c r="C156" s="5" t="inlineStr">
        <is>
          <t>카드</t>
        </is>
      </c>
      <c r="D156" s="5" t="inlineStr">
        <is>
          <t>서서</t>
        </is>
      </c>
      <c r="E156" s="5" t="n">
        <v>1</v>
      </c>
      <c r="F156" s="5" t="inlineStr">
        <is>
          <t>S</t>
        </is>
      </c>
      <c r="G156" s="5">
        <f>IF(C156="카드",INDEX(비용표!$C$2:$C$7,MATCH(F156,비용표!$B$2:$B$7,0)),F156*INDEX(비용표!$C$8:$C$9,MATCH(C156,비용표!$B$8:$B$9,0)))</f>
        <v/>
      </c>
      <c r="H156" s="5">
        <f>G156*E156</f>
        <v/>
      </c>
      <c r="I156" s="10">
        <f>IF(A156=A155,I155&amp;" · ","")&amp;IF(C156="카드",D156&amp;E156,"["&amp;C156&amp;"] "&amp;D156)</f>
        <v/>
      </c>
    </row>
    <row r="157">
      <c r="A157" s="5" t="n">
        <v>45</v>
      </c>
      <c r="B157" s="5" t="n">
        <v>2</v>
      </c>
      <c r="C157" s="5" t="inlineStr">
        <is>
          <t>카드</t>
        </is>
      </c>
      <c r="D157" s="5" t="inlineStr">
        <is>
          <t>유비</t>
        </is>
      </c>
      <c r="E157" s="5" t="n">
        <v>1</v>
      </c>
      <c r="F157" s="5" t="inlineStr">
        <is>
          <t>S</t>
        </is>
      </c>
      <c r="G157" s="5">
        <f>IF(C157="카드",INDEX(비용표!$C$2:$C$7,MATCH(F157,비용표!$B$2:$B$7,0)),F157*INDEX(비용표!$C$8:$C$9,MATCH(C157,비용표!$B$8:$B$9,0)))</f>
        <v/>
      </c>
      <c r="H157" s="5">
        <f>G157*E157</f>
        <v/>
      </c>
      <c r="I157" s="10">
        <f>IF(A157=A156,I156&amp;" · ","")&amp;IF(C157="카드",D157&amp;E157,"["&amp;C157&amp;"] "&amp;D157)</f>
        <v/>
      </c>
    </row>
    <row r="158">
      <c r="A158" s="5" t="n">
        <v>45</v>
      </c>
      <c r="B158" s="5" t="n">
        <v>3</v>
      </c>
      <c r="C158" s="5" t="inlineStr">
        <is>
          <t>카드</t>
        </is>
      </c>
      <c r="D158" s="5" t="inlineStr">
        <is>
          <t>조인</t>
        </is>
      </c>
      <c r="E158" s="5" t="n">
        <v>1</v>
      </c>
      <c r="F158" s="5" t="inlineStr">
        <is>
          <t>A</t>
        </is>
      </c>
      <c r="G158" s="5">
        <f>IF(C158="카드",INDEX(비용표!$C$2:$C$7,MATCH(F158,비용표!$B$2:$B$7,0)),F158*INDEX(비용표!$C$8:$C$9,MATCH(C158,비용표!$B$8:$B$9,0)))</f>
        <v/>
      </c>
      <c r="H158" s="5">
        <f>G158*E158</f>
        <v/>
      </c>
      <c r="I158" s="10">
        <f>IF(A158=A157,I157&amp;" · ","")&amp;IF(C158="카드",D158&amp;E158,"["&amp;C158&amp;"] "&amp;D158)</f>
        <v/>
      </c>
    </row>
    <row r="159">
      <c r="A159" s="5" t="n">
        <v>46</v>
      </c>
      <c r="B159" s="5" t="n">
        <v>1</v>
      </c>
      <c r="C159" s="5" t="inlineStr">
        <is>
          <t>카드</t>
        </is>
      </c>
      <c r="D159" s="5" t="inlineStr">
        <is>
          <t>서서</t>
        </is>
      </c>
      <c r="E159" s="5" t="n">
        <v>1</v>
      </c>
      <c r="F159" s="5" t="inlineStr">
        <is>
          <t>S</t>
        </is>
      </c>
      <c r="G159" s="5">
        <f>IF(C159="카드",INDEX(비용표!$C$2:$C$7,MATCH(F159,비용표!$B$2:$B$7,0)),F159*INDEX(비용표!$C$8:$C$9,MATCH(C159,비용표!$B$8:$B$9,0)))</f>
        <v/>
      </c>
      <c r="H159" s="5">
        <f>G159*E159</f>
        <v/>
      </c>
      <c r="I159" s="10">
        <f>IF(A159=A158,I158&amp;" · ","")&amp;IF(C159="카드",D159&amp;E159,"["&amp;C159&amp;"] "&amp;D159)</f>
        <v/>
      </c>
    </row>
    <row r="160">
      <c r="A160" s="5" t="n">
        <v>46</v>
      </c>
      <c r="B160" s="5" t="n">
        <v>2</v>
      </c>
      <c r="C160" s="5" t="inlineStr">
        <is>
          <t>카드</t>
        </is>
      </c>
      <c r="D160" s="5" t="inlineStr">
        <is>
          <t>정욱</t>
        </is>
      </c>
      <c r="E160" s="5" t="n">
        <v>1</v>
      </c>
      <c r="F160" s="5" t="inlineStr">
        <is>
          <t>A</t>
        </is>
      </c>
      <c r="G160" s="5">
        <f>IF(C160="카드",INDEX(비용표!$C$2:$C$7,MATCH(F160,비용표!$B$2:$B$7,0)),F160*INDEX(비용표!$C$8:$C$9,MATCH(C160,비용표!$B$8:$B$9,0)))</f>
        <v/>
      </c>
      <c r="H160" s="5">
        <f>G160*E160</f>
        <v/>
      </c>
      <c r="I160" s="10">
        <f>IF(A160=A159,I159&amp;" · ","")&amp;IF(C160="카드",D160&amp;E160,"["&amp;C160&amp;"] "&amp;D160)</f>
        <v/>
      </c>
    </row>
    <row r="161">
      <c r="A161" s="5" t="n">
        <v>46</v>
      </c>
      <c r="B161" s="5" t="n">
        <v>3</v>
      </c>
      <c r="C161" s="5" t="inlineStr">
        <is>
          <t>카드</t>
        </is>
      </c>
      <c r="D161" s="5" t="inlineStr">
        <is>
          <t>조조</t>
        </is>
      </c>
      <c r="E161" s="5" t="n">
        <v>1</v>
      </c>
      <c r="F161" s="5" t="inlineStr">
        <is>
          <t>S</t>
        </is>
      </c>
      <c r="G161" s="5">
        <f>IF(C161="카드",INDEX(비용표!$C$2:$C$7,MATCH(F161,비용표!$B$2:$B$7,0)),F161*INDEX(비용표!$C$8:$C$9,MATCH(C161,비용표!$B$8:$B$9,0)))</f>
        <v/>
      </c>
      <c r="H161" s="5">
        <f>G161*E161</f>
        <v/>
      </c>
      <c r="I161" s="10">
        <f>IF(A161=A160,I160&amp;" · ","")&amp;IF(C161="카드",D161&amp;E161,"["&amp;C161&amp;"] "&amp;D161)</f>
        <v/>
      </c>
    </row>
    <row r="162">
      <c r="A162" s="5" t="n">
        <v>47</v>
      </c>
      <c r="B162" s="5" t="n">
        <v>1</v>
      </c>
      <c r="C162" s="5" t="inlineStr">
        <is>
          <t>카드</t>
        </is>
      </c>
      <c r="D162" s="5" t="inlineStr">
        <is>
          <t>유비</t>
        </is>
      </c>
      <c r="E162" s="5" t="n">
        <v>1</v>
      </c>
      <c r="F162" s="5" t="inlineStr">
        <is>
          <t>S</t>
        </is>
      </c>
      <c r="G162" s="5">
        <f>IF(C162="카드",INDEX(비용표!$C$2:$C$7,MATCH(F162,비용표!$B$2:$B$7,0)),F162*INDEX(비용표!$C$8:$C$9,MATCH(C162,비용표!$B$8:$B$9,0)))</f>
        <v/>
      </c>
      <c r="H162" s="5">
        <f>G162*E162</f>
        <v/>
      </c>
      <c r="I162" s="10">
        <f>IF(A162=A161,I161&amp;" · ","")&amp;IF(C162="카드",D162&amp;E162,"["&amp;C162&amp;"] "&amp;D162)</f>
        <v/>
      </c>
    </row>
    <row r="163">
      <c r="A163" s="5" t="n">
        <v>47</v>
      </c>
      <c r="B163" s="5" t="n">
        <v>2</v>
      </c>
      <c r="C163" s="5" t="inlineStr">
        <is>
          <t>카드</t>
        </is>
      </c>
      <c r="D163" s="5" t="inlineStr">
        <is>
          <t>관우</t>
        </is>
      </c>
      <c r="E163" s="5" t="n">
        <v>1</v>
      </c>
      <c r="F163" s="5" t="inlineStr">
        <is>
          <t>S</t>
        </is>
      </c>
      <c r="G163" s="5">
        <f>IF(C163="카드",INDEX(비용표!$C$2:$C$7,MATCH(F163,비용표!$B$2:$B$7,0)),F163*INDEX(비용표!$C$8:$C$9,MATCH(C163,비용표!$B$8:$B$9,0)))</f>
        <v/>
      </c>
      <c r="H163" s="5">
        <f>G163*E163</f>
        <v/>
      </c>
      <c r="I163" s="10">
        <f>IF(A163=A162,I162&amp;" · ","")&amp;IF(C163="카드",D163&amp;E163,"["&amp;C163&amp;"] "&amp;D163)</f>
        <v/>
      </c>
    </row>
    <row r="164">
      <c r="A164" s="5" t="n">
        <v>47</v>
      </c>
      <c r="B164" s="5" t="n">
        <v>3</v>
      </c>
      <c r="C164" s="5" t="inlineStr">
        <is>
          <t>카드</t>
        </is>
      </c>
      <c r="D164" s="5" t="inlineStr">
        <is>
          <t>장비</t>
        </is>
      </c>
      <c r="E164" s="5" t="n">
        <v>1</v>
      </c>
      <c r="F164" s="5" t="inlineStr">
        <is>
          <t>S</t>
        </is>
      </c>
      <c r="G164" s="5">
        <f>IF(C164="카드",INDEX(비용표!$C$2:$C$7,MATCH(F164,비용표!$B$2:$B$7,0)),F164*INDEX(비용표!$C$8:$C$9,MATCH(C164,비용표!$B$8:$B$9,0)))</f>
        <v/>
      </c>
      <c r="H164" s="5">
        <f>G164*E164</f>
        <v/>
      </c>
      <c r="I164" s="10">
        <f>IF(A164=A163,I163&amp;" · ","")&amp;IF(C164="카드",D164&amp;E164,"["&amp;C164&amp;"] "&amp;D164)</f>
        <v/>
      </c>
    </row>
    <row r="165">
      <c r="A165" s="5" t="n">
        <v>47</v>
      </c>
      <c r="B165" s="5" t="n">
        <v>4</v>
      </c>
      <c r="C165" s="5" t="inlineStr">
        <is>
          <t>카드</t>
        </is>
      </c>
      <c r="D165" s="5" t="inlineStr">
        <is>
          <t>제갈량</t>
        </is>
      </c>
      <c r="E165" s="5" t="n">
        <v>1</v>
      </c>
      <c r="F165" s="5" t="inlineStr">
        <is>
          <t>S</t>
        </is>
      </c>
      <c r="G165" s="5">
        <f>IF(C165="카드",INDEX(비용표!$C$2:$C$7,MATCH(F165,비용표!$B$2:$B$7,0)),F165*INDEX(비용표!$C$8:$C$9,MATCH(C165,비용표!$B$8:$B$9,0)))</f>
        <v/>
      </c>
      <c r="H165" s="5">
        <f>G165*E165</f>
        <v/>
      </c>
      <c r="I165" s="10">
        <f>IF(A165=A164,I164&amp;" · ","")&amp;IF(C165="카드",D165&amp;E165,"["&amp;C165&amp;"] "&amp;D165)</f>
        <v/>
      </c>
    </row>
    <row r="166">
      <c r="A166" s="5" t="n">
        <v>47</v>
      </c>
      <c r="B166" s="5" t="n">
        <v>5</v>
      </c>
      <c r="C166" s="5" t="inlineStr">
        <is>
          <t>카드</t>
        </is>
      </c>
      <c r="D166" s="5" t="inlineStr">
        <is>
          <t>서서</t>
        </is>
      </c>
      <c r="E166" s="5" t="n">
        <v>1</v>
      </c>
      <c r="F166" s="5" t="inlineStr">
        <is>
          <t>S</t>
        </is>
      </c>
      <c r="G166" s="5">
        <f>IF(C166="카드",INDEX(비용표!$C$2:$C$7,MATCH(F166,비용표!$B$2:$B$7,0)),F166*INDEX(비용표!$C$8:$C$9,MATCH(C166,비용표!$B$8:$B$9,0)))</f>
        <v/>
      </c>
      <c r="H166" s="5">
        <f>G166*E166</f>
        <v/>
      </c>
      <c r="I166" s="10">
        <f>IF(A166=A165,I165&amp;" · ","")&amp;IF(C166="카드",D166&amp;E166,"["&amp;C166&amp;"] "&amp;D166)</f>
        <v/>
      </c>
    </row>
    <row r="167">
      <c r="A167" s="5" t="n">
        <v>48</v>
      </c>
      <c r="B167" s="5" t="n">
        <v>1</v>
      </c>
      <c r="C167" s="5" t="inlineStr">
        <is>
          <t>카드</t>
        </is>
      </c>
      <c r="D167" s="5" t="inlineStr">
        <is>
          <t>제갈량</t>
        </is>
      </c>
      <c r="E167" s="5" t="n">
        <v>1</v>
      </c>
      <c r="F167" s="5" t="inlineStr">
        <is>
          <t>S</t>
        </is>
      </c>
      <c r="G167" s="5">
        <f>IF(C167="카드",INDEX(비용표!$C$2:$C$7,MATCH(F167,비용표!$B$2:$B$7,0)),F167*INDEX(비용표!$C$8:$C$9,MATCH(C167,비용표!$B$8:$B$9,0)))</f>
        <v/>
      </c>
      <c r="H167" s="5">
        <f>G167*E167</f>
        <v/>
      </c>
      <c r="I167" s="10">
        <f>IF(A167=A166,I166&amp;" · ","")&amp;IF(C167="카드",D167&amp;E167,"["&amp;C167&amp;"] "&amp;D167)</f>
        <v/>
      </c>
    </row>
    <row r="168">
      <c r="A168" s="5" t="n">
        <v>48</v>
      </c>
      <c r="B168" s="5" t="n">
        <v>2</v>
      </c>
      <c r="C168" s="5" t="inlineStr">
        <is>
          <t>카드</t>
        </is>
      </c>
      <c r="D168" s="5" t="inlineStr">
        <is>
          <t>하후돈</t>
        </is>
      </c>
      <c r="E168" s="5" t="n">
        <v>1</v>
      </c>
      <c r="F168" s="5" t="inlineStr">
        <is>
          <t>S</t>
        </is>
      </c>
      <c r="G168" s="5">
        <f>IF(C168="카드",INDEX(비용표!$C$2:$C$7,MATCH(F168,비용표!$B$2:$B$7,0)),F168*INDEX(비용표!$C$8:$C$9,MATCH(C168,비용표!$B$8:$B$9,0)))</f>
        <v/>
      </c>
      <c r="H168" s="5">
        <f>G168*E168</f>
        <v/>
      </c>
      <c r="I168" s="10">
        <f>IF(A168=A167,I167&amp;" · ","")&amp;IF(C168="카드",D168&amp;E168,"["&amp;C168&amp;"] "&amp;D168)</f>
        <v/>
      </c>
    </row>
    <row r="169">
      <c r="A169" s="5" t="n">
        <v>48</v>
      </c>
      <c r="B169" s="5" t="n">
        <v>3</v>
      </c>
      <c r="C169" s="5" t="inlineStr">
        <is>
          <t>카드</t>
        </is>
      </c>
      <c r="D169" s="5" t="inlineStr">
        <is>
          <t>관우</t>
        </is>
      </c>
      <c r="E169" s="5" t="n">
        <v>1</v>
      </c>
      <c r="F169" s="5" t="inlineStr">
        <is>
          <t>S</t>
        </is>
      </c>
      <c r="G169" s="5">
        <f>IF(C169="카드",INDEX(비용표!$C$2:$C$7,MATCH(F169,비용표!$B$2:$B$7,0)),F169*INDEX(비용표!$C$8:$C$9,MATCH(C169,비용표!$B$8:$B$9,0)))</f>
        <v/>
      </c>
      <c r="H169" s="5">
        <f>G169*E169</f>
        <v/>
      </c>
      <c r="I169" s="10">
        <f>IF(A169=A168,I168&amp;" · ","")&amp;IF(C169="카드",D169&amp;E169,"["&amp;C169&amp;"] "&amp;D169)</f>
        <v/>
      </c>
    </row>
    <row r="170">
      <c r="A170" s="5" t="n">
        <v>48</v>
      </c>
      <c r="B170" s="5" t="n">
        <v>4</v>
      </c>
      <c r="C170" s="5" t="inlineStr">
        <is>
          <t>카드</t>
        </is>
      </c>
      <c r="D170" s="5" t="inlineStr">
        <is>
          <t>장비</t>
        </is>
      </c>
      <c r="E170" s="5" t="n">
        <v>1</v>
      </c>
      <c r="F170" s="5" t="inlineStr">
        <is>
          <t>S</t>
        </is>
      </c>
      <c r="G170" s="5">
        <f>IF(C170="카드",INDEX(비용표!$C$2:$C$7,MATCH(F170,비용표!$B$2:$B$7,0)),F170*INDEX(비용표!$C$8:$C$9,MATCH(C170,비용표!$B$8:$B$9,0)))</f>
        <v/>
      </c>
      <c r="H170" s="5">
        <f>G170*E170</f>
        <v/>
      </c>
      <c r="I170" s="10">
        <f>IF(A170=A169,I169&amp;" · ","")&amp;IF(C170="카드",D170&amp;E170,"["&amp;C170&amp;"] "&amp;D170)</f>
        <v/>
      </c>
    </row>
    <row r="171">
      <c r="A171" s="5" t="n">
        <v>48</v>
      </c>
      <c r="B171" s="5" t="n">
        <v>5</v>
      </c>
      <c r="C171" s="5" t="inlineStr">
        <is>
          <t>카드</t>
        </is>
      </c>
      <c r="D171" s="5" t="inlineStr">
        <is>
          <t>조운</t>
        </is>
      </c>
      <c r="E171" s="5" t="n">
        <v>1</v>
      </c>
      <c r="F171" s="5" t="inlineStr">
        <is>
          <t>S</t>
        </is>
      </c>
      <c r="G171" s="5">
        <f>IF(C171="카드",INDEX(비용표!$C$2:$C$7,MATCH(F171,비용표!$B$2:$B$7,0)),F171*INDEX(비용표!$C$8:$C$9,MATCH(C171,비용표!$B$8:$B$9,0)))</f>
        <v/>
      </c>
      <c r="H171" s="5">
        <f>G171*E171</f>
        <v/>
      </c>
      <c r="I171" s="10">
        <f>IF(A171=A170,I170&amp;" · ","")&amp;IF(C171="카드",D171&amp;E171,"["&amp;C171&amp;"] "&amp;D171)</f>
        <v/>
      </c>
    </row>
    <row r="172">
      <c r="A172" s="5" t="n">
        <v>49</v>
      </c>
      <c r="B172" s="5" t="n">
        <v>1</v>
      </c>
      <c r="C172" s="5" t="inlineStr">
        <is>
          <t>카드</t>
        </is>
      </c>
      <c r="D172" s="5" t="inlineStr">
        <is>
          <t>유종</t>
        </is>
      </c>
      <c r="E172" s="5" t="n">
        <v>1</v>
      </c>
      <c r="F172" s="5" t="inlineStr">
        <is>
          <t>C</t>
        </is>
      </c>
      <c r="G172" s="5">
        <f>IF(C172="카드",INDEX(비용표!$C$2:$C$7,MATCH(F172,비용표!$B$2:$B$7,0)),F172*INDEX(비용표!$C$8:$C$9,MATCH(C172,비용표!$B$8:$B$9,0)))</f>
        <v/>
      </c>
      <c r="H172" s="5">
        <f>G172*E172</f>
        <v/>
      </c>
      <c r="I172" s="10">
        <f>IF(A172=A171,I171&amp;" · ","")&amp;IF(C172="카드",D172&amp;E172,"["&amp;C172&amp;"] "&amp;D172)</f>
        <v/>
      </c>
    </row>
    <row r="173">
      <c r="A173" s="5" t="n">
        <v>49</v>
      </c>
      <c r="B173" s="5" t="n">
        <v>2</v>
      </c>
      <c r="C173" s="5" t="inlineStr">
        <is>
          <t>카드</t>
        </is>
      </c>
      <c r="D173" s="5" t="inlineStr">
        <is>
          <t>채모</t>
        </is>
      </c>
      <c r="E173" s="5" t="n">
        <v>1</v>
      </c>
      <c r="F173" s="5" t="inlineStr">
        <is>
          <t>B</t>
        </is>
      </c>
      <c r="G173" s="5">
        <f>IF(C173="카드",INDEX(비용표!$C$2:$C$7,MATCH(F173,비용표!$B$2:$B$7,0)),F173*INDEX(비용표!$C$8:$C$9,MATCH(C173,비용표!$B$8:$B$9,0)))</f>
        <v/>
      </c>
      <c r="H173" s="5">
        <f>G173*E173</f>
        <v/>
      </c>
      <c r="I173" s="10">
        <f>IF(A173=A172,I172&amp;" · ","")&amp;IF(C173="카드",D173&amp;E173,"["&amp;C173&amp;"] "&amp;D173)</f>
        <v/>
      </c>
    </row>
    <row r="174">
      <c r="A174" s="5" t="n">
        <v>49</v>
      </c>
      <c r="B174" s="5" t="n">
        <v>3</v>
      </c>
      <c r="C174" s="5" t="inlineStr">
        <is>
          <t>카드</t>
        </is>
      </c>
      <c r="D174" s="5" t="inlineStr">
        <is>
          <t>괴월</t>
        </is>
      </c>
      <c r="E174" s="5" t="n">
        <v>1</v>
      </c>
      <c r="F174" s="5" t="inlineStr">
        <is>
          <t>B</t>
        </is>
      </c>
      <c r="G174" s="5">
        <f>IF(C174="카드",INDEX(비용표!$C$2:$C$7,MATCH(F174,비용표!$B$2:$B$7,0)),F174*INDEX(비용표!$C$8:$C$9,MATCH(C174,비용표!$B$8:$B$9,0)))</f>
        <v/>
      </c>
      <c r="H174" s="5">
        <f>G174*E174</f>
        <v/>
      </c>
      <c r="I174" s="10">
        <f>IF(A174=A173,I173&amp;" · ","")&amp;IF(C174="카드",D174&amp;E174,"["&amp;C174&amp;"] "&amp;D174)</f>
        <v/>
      </c>
    </row>
    <row r="175">
      <c r="A175" s="5" t="n">
        <v>49</v>
      </c>
      <c r="B175" s="5" t="n">
        <v>4</v>
      </c>
      <c r="C175" s="5" t="inlineStr">
        <is>
          <t>카드</t>
        </is>
      </c>
      <c r="D175" s="5" t="inlineStr">
        <is>
          <t>조조</t>
        </is>
      </c>
      <c r="E175" s="5" t="n">
        <v>1</v>
      </c>
      <c r="F175" s="5" t="inlineStr">
        <is>
          <t>S</t>
        </is>
      </c>
      <c r="G175" s="5">
        <f>IF(C175="카드",INDEX(비용표!$C$2:$C$7,MATCH(F175,비용표!$B$2:$B$7,0)),F175*INDEX(비용표!$C$8:$C$9,MATCH(C175,비용표!$B$8:$B$9,0)))</f>
        <v/>
      </c>
      <c r="H175" s="5">
        <f>G175*E175</f>
        <v/>
      </c>
      <c r="I175" s="10">
        <f>IF(A175=A174,I174&amp;" · ","")&amp;IF(C175="카드",D175&amp;E175,"["&amp;C175&amp;"] "&amp;D175)</f>
        <v/>
      </c>
    </row>
    <row r="176">
      <c r="A176" s="5" t="n">
        <v>50</v>
      </c>
      <c r="B176" s="5" t="n">
        <v>1</v>
      </c>
      <c r="C176" s="5" t="inlineStr">
        <is>
          <t>카드</t>
        </is>
      </c>
      <c r="D176" s="5" t="inlineStr">
        <is>
          <t>조운</t>
        </is>
      </c>
      <c r="E176" s="5" t="n">
        <v>1</v>
      </c>
      <c r="F176" s="5" t="inlineStr">
        <is>
          <t>S</t>
        </is>
      </c>
      <c r="G176" s="5">
        <f>IF(C176="카드",INDEX(비용표!$C$2:$C$7,MATCH(F176,비용표!$B$2:$B$7,0)),F176*INDEX(비용표!$C$8:$C$9,MATCH(C176,비용표!$B$8:$B$9,0)))</f>
        <v/>
      </c>
      <c r="H176" s="5">
        <f>G176*E176</f>
        <v/>
      </c>
      <c r="I176" s="10">
        <f>IF(A176=A175,I175&amp;" · ","")&amp;IF(C176="카드",D176&amp;E176,"["&amp;C176&amp;"] "&amp;D176)</f>
        <v/>
      </c>
    </row>
    <row r="177">
      <c r="A177" s="5" t="n">
        <v>50</v>
      </c>
      <c r="B177" s="5" t="n">
        <v>2</v>
      </c>
      <c r="C177" s="5" t="inlineStr">
        <is>
          <t>카드</t>
        </is>
      </c>
      <c r="D177" s="5" t="inlineStr">
        <is>
          <t>하후은</t>
        </is>
      </c>
      <c r="E177" s="5" t="n">
        <v>1</v>
      </c>
      <c r="F177" s="5" t="inlineStr">
        <is>
          <t>C</t>
        </is>
      </c>
      <c r="G177" s="5">
        <f>IF(C177="카드",INDEX(비용표!$C$2:$C$7,MATCH(F177,비용표!$B$2:$B$7,0)),F177*INDEX(비용표!$C$8:$C$9,MATCH(C177,비용표!$B$8:$B$9,0)))</f>
        <v/>
      </c>
      <c r="H177" s="5">
        <f>G177*E177</f>
        <v/>
      </c>
      <c r="I177" s="10">
        <f>IF(A177=A176,I176&amp;" · ","")&amp;IF(C177="카드",D177&amp;E177,"["&amp;C177&amp;"] "&amp;D177)</f>
        <v/>
      </c>
    </row>
    <row r="178">
      <c r="A178" s="5" t="n">
        <v>50</v>
      </c>
      <c r="B178" s="5" t="n">
        <v>3</v>
      </c>
      <c r="C178" s="5" t="inlineStr">
        <is>
          <t>카드</t>
        </is>
      </c>
      <c r="D178" s="5" t="inlineStr">
        <is>
          <t>유선</t>
        </is>
      </c>
      <c r="E178" s="5" t="n">
        <v>1</v>
      </c>
      <c r="F178" s="5" t="inlineStr">
        <is>
          <t>D</t>
        </is>
      </c>
      <c r="G178" s="5">
        <f>IF(C178="카드",INDEX(비용표!$C$2:$C$7,MATCH(F178,비용표!$B$2:$B$7,0)),F178*INDEX(비용표!$C$8:$C$9,MATCH(C178,비용표!$B$8:$B$9,0)))</f>
        <v/>
      </c>
      <c r="H178" s="5">
        <f>G178*E178</f>
        <v/>
      </c>
      <c r="I178" s="10">
        <f>IF(A178=A177,I177&amp;" · ","")&amp;IF(C178="카드",D178&amp;E178,"["&amp;C178&amp;"] "&amp;D178)</f>
        <v/>
      </c>
    </row>
    <row r="179">
      <c r="A179" s="5" t="n">
        <v>50</v>
      </c>
      <c r="B179" s="5" t="n">
        <v>4</v>
      </c>
      <c r="C179" s="5" t="inlineStr">
        <is>
          <t>병기</t>
        </is>
      </c>
      <c r="D179" s="5" t="inlineStr">
        <is>
          <t>청강검</t>
        </is>
      </c>
      <c r="E179" s="5" t="n">
        <v>1</v>
      </c>
      <c r="F179" s="5" t="n">
        <v>4</v>
      </c>
      <c r="G179" s="5">
        <f>IF(C179="카드",INDEX(비용표!$C$2:$C$7,MATCH(F179,비용표!$B$2:$B$7,0)),F179*INDEX(비용표!$C$8:$C$9,MATCH(C179,비용표!$B$8:$B$9,0)))</f>
        <v/>
      </c>
      <c r="H179" s="5">
        <f>G179*E179</f>
        <v/>
      </c>
      <c r="I179" s="10">
        <f>IF(A179=A178,I178&amp;" · ","")&amp;IF(C179="카드",D179&amp;E179,"["&amp;C179&amp;"] "&amp;D179)</f>
        <v/>
      </c>
    </row>
    <row r="180">
      <c r="A180" s="5" t="n">
        <v>51</v>
      </c>
      <c r="B180" s="5" t="n">
        <v>1</v>
      </c>
      <c r="C180" s="5" t="inlineStr">
        <is>
          <t>카드</t>
        </is>
      </c>
      <c r="D180" s="5" t="inlineStr">
        <is>
          <t>장비</t>
        </is>
      </c>
      <c r="E180" s="5" t="n">
        <v>1</v>
      </c>
      <c r="F180" s="5" t="inlineStr">
        <is>
          <t>S</t>
        </is>
      </c>
      <c r="G180" s="5">
        <f>IF(C180="카드",INDEX(비용표!$C$2:$C$7,MATCH(F180,비용표!$B$2:$B$7,0)),F180*INDEX(비용표!$C$8:$C$9,MATCH(C180,비용표!$B$8:$B$9,0)))</f>
        <v/>
      </c>
      <c r="H180" s="5">
        <f>G180*E180</f>
        <v/>
      </c>
      <c r="I180" s="10">
        <f>IF(A180=A179,I179&amp;" · ","")&amp;IF(C180="카드",D180&amp;E180,"["&amp;C180&amp;"] "&amp;D180)</f>
        <v/>
      </c>
    </row>
    <row r="181">
      <c r="A181" s="5" t="n">
        <v>51</v>
      </c>
      <c r="B181" s="5" t="n">
        <v>2</v>
      </c>
      <c r="C181" s="5" t="inlineStr">
        <is>
          <t>카드</t>
        </is>
      </c>
      <c r="D181" s="5" t="inlineStr">
        <is>
          <t>하후걸</t>
        </is>
      </c>
      <c r="E181" s="5" t="n">
        <v>1</v>
      </c>
      <c r="F181" s="5" t="inlineStr">
        <is>
          <t>C</t>
        </is>
      </c>
      <c r="G181" s="5">
        <f>IF(C181="카드",INDEX(비용표!$C$2:$C$7,MATCH(F181,비용표!$B$2:$B$7,0)),F181*INDEX(비용표!$C$8:$C$9,MATCH(C181,비용표!$B$8:$B$9,0)))</f>
        <v/>
      </c>
      <c r="H181" s="5">
        <f>G181*E181</f>
        <v/>
      </c>
      <c r="I181" s="10">
        <f>IF(A181=A180,I180&amp;" · ","")&amp;IF(C181="카드",D181&amp;E181,"["&amp;C181&amp;"] "&amp;D181)</f>
        <v/>
      </c>
    </row>
    <row r="182">
      <c r="A182" s="5" t="n">
        <v>51</v>
      </c>
      <c r="B182" s="5" t="n">
        <v>3</v>
      </c>
      <c r="C182" s="5" t="inlineStr">
        <is>
          <t>병기</t>
        </is>
      </c>
      <c r="D182" s="5" t="inlineStr">
        <is>
          <t>장팔사모</t>
        </is>
      </c>
      <c r="E182" s="5" t="n">
        <v>1</v>
      </c>
      <c r="F182" s="5" t="n">
        <v>5</v>
      </c>
      <c r="G182" s="5">
        <f>IF(C182="카드",INDEX(비용표!$C$2:$C$7,MATCH(F182,비용표!$B$2:$B$7,0)),F182*INDEX(비용표!$C$8:$C$9,MATCH(C182,비용표!$B$8:$B$9,0)))</f>
        <v/>
      </c>
      <c r="H182" s="5">
        <f>G182*E182</f>
        <v/>
      </c>
      <c r="I182" s="10">
        <f>IF(A182=A181,I181&amp;" · ","")&amp;IF(C182="카드",D182&amp;E182,"["&amp;C182&amp;"] "&amp;D182)</f>
        <v/>
      </c>
    </row>
    <row r="183">
      <c r="A183" s="5" t="n">
        <v>51</v>
      </c>
      <c r="B183" s="5" t="n">
        <v>4</v>
      </c>
      <c r="C183" s="5" t="inlineStr">
        <is>
          <t>카드</t>
        </is>
      </c>
      <c r="D183" s="5" t="inlineStr">
        <is>
          <t>조조</t>
        </is>
      </c>
      <c r="E183" s="5" t="n">
        <v>1</v>
      </c>
      <c r="F183" s="5" t="inlineStr">
        <is>
          <t>S</t>
        </is>
      </c>
      <c r="G183" s="5">
        <f>IF(C183="카드",INDEX(비용표!$C$2:$C$7,MATCH(F183,비용표!$B$2:$B$7,0)),F183*INDEX(비용표!$C$8:$C$9,MATCH(C183,비용표!$B$8:$B$9,0)))</f>
        <v/>
      </c>
      <c r="H183" s="5">
        <f>G183*E183</f>
        <v/>
      </c>
      <c r="I183" s="10">
        <f>IF(A183=A182,I182&amp;" · ","")&amp;IF(C183="카드",D183&amp;E183,"["&amp;C183&amp;"] "&amp;D183)</f>
        <v/>
      </c>
    </row>
    <row r="184">
      <c r="A184" s="5" t="n">
        <v>51</v>
      </c>
      <c r="B184" s="5" t="n">
        <v>5</v>
      </c>
      <c r="C184" s="5" t="inlineStr">
        <is>
          <t>카드</t>
        </is>
      </c>
      <c r="D184" s="5" t="inlineStr">
        <is>
          <t>장료</t>
        </is>
      </c>
      <c r="E184" s="5" t="n">
        <v>1</v>
      </c>
      <c r="F184" s="5" t="inlineStr">
        <is>
          <t>S</t>
        </is>
      </c>
      <c r="G184" s="5">
        <f>IF(C184="카드",INDEX(비용표!$C$2:$C$7,MATCH(F184,비용표!$B$2:$B$7,0)),F184*INDEX(비용표!$C$8:$C$9,MATCH(C184,비용표!$B$8:$B$9,0)))</f>
        <v/>
      </c>
      <c r="H184" s="5">
        <f>G184*E184</f>
        <v/>
      </c>
      <c r="I184" s="10">
        <f>IF(A184=A183,I183&amp;" · ","")&amp;IF(C184="카드",D184&amp;E184,"["&amp;C184&amp;"] "&amp;D184)</f>
        <v/>
      </c>
    </row>
    <row r="185">
      <c r="A185" s="5" t="n">
        <v>52</v>
      </c>
      <c r="B185" s="5" t="n">
        <v>1</v>
      </c>
      <c r="C185" s="5" t="inlineStr">
        <is>
          <t>카드</t>
        </is>
      </c>
      <c r="D185" s="5" t="inlineStr">
        <is>
          <t>유기</t>
        </is>
      </c>
      <c r="E185" s="5" t="n">
        <v>1</v>
      </c>
      <c r="F185" s="5" t="inlineStr">
        <is>
          <t>D</t>
        </is>
      </c>
      <c r="G185" s="5">
        <f>IF(C185="카드",INDEX(비용표!$C$2:$C$7,MATCH(F185,비용표!$B$2:$B$7,0)),F185*INDEX(비용표!$C$8:$C$9,MATCH(C185,비용표!$B$8:$B$9,0)))</f>
        <v/>
      </c>
      <c r="H185" s="5">
        <f>G185*E185</f>
        <v/>
      </c>
      <c r="I185" s="10">
        <f>IF(A185=A184,I184&amp;" · ","")&amp;IF(C185="카드",D185&amp;E185,"["&amp;C185&amp;"] "&amp;D185)</f>
        <v/>
      </c>
    </row>
    <row r="186">
      <c r="A186" s="5" t="n">
        <v>52</v>
      </c>
      <c r="B186" s="5" t="n">
        <v>2</v>
      </c>
      <c r="C186" s="5" t="inlineStr">
        <is>
          <t>카드</t>
        </is>
      </c>
      <c r="D186" s="5" t="inlineStr">
        <is>
          <t>유비</t>
        </is>
      </c>
      <c r="E186" s="5" t="n">
        <v>1</v>
      </c>
      <c r="F186" s="5" t="inlineStr">
        <is>
          <t>S</t>
        </is>
      </c>
      <c r="G186" s="5">
        <f>IF(C186="카드",INDEX(비용표!$C$2:$C$7,MATCH(F186,비용표!$B$2:$B$7,0)),F186*INDEX(비용표!$C$8:$C$9,MATCH(C186,비용표!$B$8:$B$9,0)))</f>
        <v/>
      </c>
      <c r="H186" s="5">
        <f>G186*E186</f>
        <v/>
      </c>
      <c r="I186" s="10">
        <f>IF(A186=A185,I185&amp;" · ","")&amp;IF(C186="카드",D186&amp;E186,"["&amp;C186&amp;"] "&amp;D186)</f>
        <v/>
      </c>
    </row>
    <row r="187">
      <c r="A187" s="5" t="n">
        <v>52</v>
      </c>
      <c r="B187" s="5" t="n">
        <v>3</v>
      </c>
      <c r="C187" s="5" t="inlineStr">
        <is>
          <t>카드</t>
        </is>
      </c>
      <c r="D187" s="5" t="inlineStr">
        <is>
          <t>제갈량</t>
        </is>
      </c>
      <c r="E187" s="5" t="n">
        <v>1</v>
      </c>
      <c r="F187" s="5" t="inlineStr">
        <is>
          <t>S</t>
        </is>
      </c>
      <c r="G187" s="5">
        <f>IF(C187="카드",INDEX(비용표!$C$2:$C$7,MATCH(F187,비용표!$B$2:$B$7,0)),F187*INDEX(비용표!$C$8:$C$9,MATCH(C187,비용표!$B$8:$B$9,0)))</f>
        <v/>
      </c>
      <c r="H187" s="5">
        <f>G187*E187</f>
        <v/>
      </c>
      <c r="I187" s="10">
        <f>IF(A187=A186,I186&amp;" · ","")&amp;IF(C187="카드",D187&amp;E187,"["&amp;C187&amp;"] "&amp;D187)</f>
        <v/>
      </c>
    </row>
    <row r="188">
      <c r="A188" s="5" t="n">
        <v>53</v>
      </c>
      <c r="B188" s="5" t="n">
        <v>1</v>
      </c>
      <c r="C188" s="5" t="inlineStr">
        <is>
          <t>카드</t>
        </is>
      </c>
      <c r="D188" s="5" t="inlineStr">
        <is>
          <t>노숙</t>
        </is>
      </c>
      <c r="E188" s="5" t="n">
        <v>1</v>
      </c>
      <c r="F188" s="5" t="inlineStr">
        <is>
          <t>S</t>
        </is>
      </c>
      <c r="G188" s="5">
        <f>IF(C188="카드",INDEX(비용표!$C$2:$C$7,MATCH(F188,비용표!$B$2:$B$7,0)),F188*INDEX(비용표!$C$8:$C$9,MATCH(C188,비용표!$B$8:$B$9,0)))</f>
        <v/>
      </c>
      <c r="H188" s="5">
        <f>G188*E188</f>
        <v/>
      </c>
      <c r="I188" s="10">
        <f>IF(A188=A187,I187&amp;" · ","")&amp;IF(C188="카드",D188&amp;E188,"["&amp;C188&amp;"] "&amp;D188)</f>
        <v/>
      </c>
    </row>
    <row r="189">
      <c r="A189" s="5" t="n">
        <v>53</v>
      </c>
      <c r="B189" s="5" t="n">
        <v>2</v>
      </c>
      <c r="C189" s="5" t="inlineStr">
        <is>
          <t>카드</t>
        </is>
      </c>
      <c r="D189" s="5" t="inlineStr">
        <is>
          <t>제갈량</t>
        </is>
      </c>
      <c r="E189" s="5" t="n">
        <v>1</v>
      </c>
      <c r="F189" s="5" t="inlineStr">
        <is>
          <t>S</t>
        </is>
      </c>
      <c r="G189" s="5">
        <f>IF(C189="카드",INDEX(비용표!$C$2:$C$7,MATCH(F189,비용표!$B$2:$B$7,0)),F189*INDEX(비용표!$C$8:$C$9,MATCH(C189,비용표!$B$8:$B$9,0)))</f>
        <v/>
      </c>
      <c r="H189" s="5">
        <f>G189*E189</f>
        <v/>
      </c>
      <c r="I189" s="10">
        <f>IF(A189=A188,I188&amp;" · ","")&amp;IF(C189="카드",D189&amp;E189,"["&amp;C189&amp;"] "&amp;D189)</f>
        <v/>
      </c>
    </row>
    <row r="190">
      <c r="A190" s="5" t="n">
        <v>53</v>
      </c>
      <c r="B190" s="5" t="n">
        <v>3</v>
      </c>
      <c r="C190" s="5" t="inlineStr">
        <is>
          <t>카드</t>
        </is>
      </c>
      <c r="D190" s="5" t="inlineStr">
        <is>
          <t>손권</t>
        </is>
      </c>
      <c r="E190" s="5" t="n">
        <v>1</v>
      </c>
      <c r="F190" s="5" t="inlineStr">
        <is>
          <t>S</t>
        </is>
      </c>
      <c r="G190" s="5">
        <f>IF(C190="카드",INDEX(비용표!$C$2:$C$7,MATCH(F190,비용표!$B$2:$B$7,0)),F190*INDEX(비용표!$C$8:$C$9,MATCH(C190,비용표!$B$8:$B$9,0)))</f>
        <v/>
      </c>
      <c r="H190" s="5">
        <f>G190*E190</f>
        <v/>
      </c>
      <c r="I190" s="10">
        <f>IF(A190=A189,I189&amp;" · ","")&amp;IF(C190="카드",D190&amp;E190,"["&amp;C190&amp;"] "&amp;D190)</f>
        <v/>
      </c>
    </row>
    <row r="191">
      <c r="A191" s="5" t="n">
        <v>54</v>
      </c>
      <c r="B191" s="5" t="n">
        <v>1</v>
      </c>
      <c r="C191" s="5" t="inlineStr">
        <is>
          <t>카드</t>
        </is>
      </c>
      <c r="D191" s="5" t="inlineStr">
        <is>
          <t>제갈량</t>
        </is>
      </c>
      <c r="E191" s="5" t="n">
        <v>1</v>
      </c>
      <c r="F191" s="5" t="inlineStr">
        <is>
          <t>S</t>
        </is>
      </c>
      <c r="G191" s="5">
        <f>IF(C191="카드",INDEX(비용표!$C$2:$C$7,MATCH(F191,비용표!$B$2:$B$7,0)),F191*INDEX(비용표!$C$8:$C$9,MATCH(C191,비용표!$B$8:$B$9,0)))</f>
        <v/>
      </c>
      <c r="H191" s="5">
        <f>G191*E191</f>
        <v/>
      </c>
      <c r="I191" s="10">
        <f>IF(A191=A190,I190&amp;" · ","")&amp;IF(C191="카드",D191&amp;E191,"["&amp;C191&amp;"] "&amp;D191)</f>
        <v/>
      </c>
    </row>
    <row r="192">
      <c r="A192" s="5" t="n">
        <v>54</v>
      </c>
      <c r="B192" s="5" t="n">
        <v>2</v>
      </c>
      <c r="C192" s="5" t="inlineStr">
        <is>
          <t>카드</t>
        </is>
      </c>
      <c r="D192" s="5" t="inlineStr">
        <is>
          <t>장소</t>
        </is>
      </c>
      <c r="E192" s="5" t="n">
        <v>1</v>
      </c>
      <c r="F192" s="5" t="inlineStr">
        <is>
          <t>A</t>
        </is>
      </c>
      <c r="G192" s="5">
        <f>IF(C192="카드",INDEX(비용표!$C$2:$C$7,MATCH(F192,비용표!$B$2:$B$7,0)),F192*INDEX(비용표!$C$8:$C$9,MATCH(C192,비용표!$B$8:$B$9,0)))</f>
        <v/>
      </c>
      <c r="H192" s="5">
        <f>G192*E192</f>
        <v/>
      </c>
      <c r="I192" s="10">
        <f>IF(A192=A191,I191&amp;" · ","")&amp;IF(C192="카드",D192&amp;E192,"["&amp;C192&amp;"] "&amp;D192)</f>
        <v/>
      </c>
    </row>
    <row r="193">
      <c r="A193" s="5" t="n">
        <v>54</v>
      </c>
      <c r="B193" s="5" t="n">
        <v>3</v>
      </c>
      <c r="C193" s="5" t="inlineStr">
        <is>
          <t>카드</t>
        </is>
      </c>
      <c r="D193" s="5" t="inlineStr">
        <is>
          <t>우번</t>
        </is>
      </c>
      <c r="E193" s="5" t="n">
        <v>1</v>
      </c>
      <c r="F193" s="5" t="inlineStr">
        <is>
          <t>B</t>
        </is>
      </c>
      <c r="G193" s="5">
        <f>IF(C193="카드",INDEX(비용표!$C$2:$C$7,MATCH(F193,비용표!$B$2:$B$7,0)),F193*INDEX(비용표!$C$8:$C$9,MATCH(C193,비용표!$B$8:$B$9,0)))</f>
        <v/>
      </c>
      <c r="H193" s="5">
        <f>G193*E193</f>
        <v/>
      </c>
      <c r="I193" s="10">
        <f>IF(A193=A192,I192&amp;" · ","")&amp;IF(C193="카드",D193&amp;E193,"["&amp;C193&amp;"] "&amp;D193)</f>
        <v/>
      </c>
    </row>
    <row r="194">
      <c r="A194" s="5" t="n">
        <v>54</v>
      </c>
      <c r="B194" s="5" t="n">
        <v>4</v>
      </c>
      <c r="C194" s="5" t="inlineStr">
        <is>
          <t>카드</t>
        </is>
      </c>
      <c r="D194" s="5" t="inlineStr">
        <is>
          <t>보즐</t>
        </is>
      </c>
      <c r="E194" s="5" t="n">
        <v>1</v>
      </c>
      <c r="F194" s="5" t="inlineStr">
        <is>
          <t>D</t>
        </is>
      </c>
      <c r="G194" s="5">
        <f>IF(C194="카드",INDEX(비용표!$C$2:$C$7,MATCH(F194,비용표!$B$2:$B$7,0)),F194*INDEX(비용표!$C$8:$C$9,MATCH(C194,비용표!$B$8:$B$9,0)))</f>
        <v/>
      </c>
      <c r="H194" s="5">
        <f>G194*E194</f>
        <v/>
      </c>
      <c r="I194" s="10">
        <f>IF(A194=A193,I193&amp;" · ","")&amp;IF(C194="카드",D194&amp;E194,"["&amp;C194&amp;"] "&amp;D194)</f>
        <v/>
      </c>
    </row>
    <row r="195">
      <c r="A195" s="5" t="n">
        <v>54</v>
      </c>
      <c r="B195" s="5" t="n">
        <v>5</v>
      </c>
      <c r="C195" s="5" t="inlineStr">
        <is>
          <t>카드</t>
        </is>
      </c>
      <c r="D195" s="5" t="inlineStr">
        <is>
          <t>설종</t>
        </is>
      </c>
      <c r="E195" s="5" t="n">
        <v>1</v>
      </c>
      <c r="F195" s="5" t="inlineStr">
        <is>
          <t>D</t>
        </is>
      </c>
      <c r="G195" s="5">
        <f>IF(C195="카드",INDEX(비용표!$C$2:$C$7,MATCH(F195,비용표!$B$2:$B$7,0)),F195*INDEX(비용표!$C$8:$C$9,MATCH(C195,비용표!$B$8:$B$9,0)))</f>
        <v/>
      </c>
      <c r="H195" s="5">
        <f>G195*E195</f>
        <v/>
      </c>
      <c r="I195" s="10">
        <f>IF(A195=A194,I194&amp;" · ","")&amp;IF(C195="카드",D195&amp;E195,"["&amp;C195&amp;"] "&amp;D195)</f>
        <v/>
      </c>
    </row>
    <row r="196">
      <c r="A196" s="5" t="n">
        <v>55</v>
      </c>
      <c r="B196" s="5" t="n">
        <v>1</v>
      </c>
      <c r="C196" s="5" t="inlineStr">
        <is>
          <t>카드</t>
        </is>
      </c>
      <c r="D196" s="5" t="inlineStr">
        <is>
          <t>손권</t>
        </is>
      </c>
      <c r="E196" s="5" t="n">
        <v>1</v>
      </c>
      <c r="F196" s="5" t="inlineStr">
        <is>
          <t>S</t>
        </is>
      </c>
      <c r="G196" s="5">
        <f>IF(C196="카드",INDEX(비용표!$C$2:$C$7,MATCH(F196,비용표!$B$2:$B$7,0)),F196*INDEX(비용표!$C$8:$C$9,MATCH(C196,비용표!$B$8:$B$9,0)))</f>
        <v/>
      </c>
      <c r="H196" s="5">
        <f>G196*E196</f>
        <v/>
      </c>
      <c r="I196" s="10">
        <f>IF(A196=A195,I195&amp;" · ","")&amp;IF(C196="카드",D196&amp;E196,"["&amp;C196&amp;"] "&amp;D196)</f>
        <v/>
      </c>
    </row>
    <row r="197">
      <c r="A197" s="5" t="n">
        <v>55</v>
      </c>
      <c r="B197" s="5" t="n">
        <v>2</v>
      </c>
      <c r="C197" s="5" t="inlineStr">
        <is>
          <t>카드</t>
        </is>
      </c>
      <c r="D197" s="5" t="inlineStr">
        <is>
          <t>주유</t>
        </is>
      </c>
      <c r="E197" s="5" t="n">
        <v>1</v>
      </c>
      <c r="F197" s="5" t="inlineStr">
        <is>
          <t>S</t>
        </is>
      </c>
      <c r="G197" s="5">
        <f>IF(C197="카드",INDEX(비용표!$C$2:$C$7,MATCH(F197,비용표!$B$2:$B$7,0)),F197*INDEX(비용표!$C$8:$C$9,MATCH(C197,비용표!$B$8:$B$9,0)))</f>
        <v/>
      </c>
      <c r="H197" s="5">
        <f>G197*E197</f>
        <v/>
      </c>
      <c r="I197" s="10">
        <f>IF(A197=A196,I196&amp;" · ","")&amp;IF(C197="카드",D197&amp;E197,"["&amp;C197&amp;"] "&amp;D197)</f>
        <v/>
      </c>
    </row>
    <row r="198">
      <c r="A198" s="5" t="n">
        <v>55</v>
      </c>
      <c r="B198" s="5" t="n">
        <v>3</v>
      </c>
      <c r="C198" s="5" t="inlineStr">
        <is>
          <t>카드</t>
        </is>
      </c>
      <c r="D198" s="5" t="inlineStr">
        <is>
          <t>장소</t>
        </is>
      </c>
      <c r="E198" s="5" t="n">
        <v>1</v>
      </c>
      <c r="F198" s="5" t="inlineStr">
        <is>
          <t>A</t>
        </is>
      </c>
      <c r="G198" s="5">
        <f>IF(C198="카드",INDEX(비용표!$C$2:$C$7,MATCH(F198,비용표!$B$2:$B$7,0)),F198*INDEX(비용표!$C$8:$C$9,MATCH(C198,비용표!$B$8:$B$9,0)))</f>
        <v/>
      </c>
      <c r="H198" s="5">
        <f>G198*E198</f>
        <v/>
      </c>
      <c r="I198" s="10">
        <f>IF(A198=A197,I197&amp;" · ","")&amp;IF(C198="카드",D198&amp;E198,"["&amp;C198&amp;"] "&amp;D198)</f>
        <v/>
      </c>
    </row>
    <row r="199">
      <c r="A199" s="5" t="n">
        <v>56</v>
      </c>
      <c r="B199" s="5" t="n">
        <v>1</v>
      </c>
      <c r="C199" s="5" t="inlineStr">
        <is>
          <t>카드</t>
        </is>
      </c>
      <c r="D199" s="5" t="inlineStr">
        <is>
          <t>주유</t>
        </is>
      </c>
      <c r="E199" s="5" t="n">
        <v>1</v>
      </c>
      <c r="F199" s="5" t="inlineStr">
        <is>
          <t>S</t>
        </is>
      </c>
      <c r="G199" s="5">
        <f>IF(C199="카드",INDEX(비용표!$C$2:$C$7,MATCH(F199,비용표!$B$2:$B$7,0)),F199*INDEX(비용표!$C$8:$C$9,MATCH(C199,비용표!$B$8:$B$9,0)))</f>
        <v/>
      </c>
      <c r="H199" s="5">
        <f>G199*E199</f>
        <v/>
      </c>
      <c r="I199" s="10">
        <f>IF(A199=A198,I198&amp;" · ","")&amp;IF(C199="카드",D199&amp;E199,"["&amp;C199&amp;"] "&amp;D199)</f>
        <v/>
      </c>
    </row>
    <row r="200">
      <c r="A200" s="5" t="n">
        <v>56</v>
      </c>
      <c r="B200" s="5" t="n">
        <v>2</v>
      </c>
      <c r="C200" s="5" t="inlineStr">
        <is>
          <t>카드</t>
        </is>
      </c>
      <c r="D200" s="5" t="inlineStr">
        <is>
          <t>채모</t>
        </is>
      </c>
      <c r="E200" s="5" t="n">
        <v>1</v>
      </c>
      <c r="F200" s="5" t="inlineStr">
        <is>
          <t>B</t>
        </is>
      </c>
      <c r="G200" s="5">
        <f>IF(C200="카드",INDEX(비용표!$C$2:$C$7,MATCH(F200,비용표!$B$2:$B$7,0)),F200*INDEX(비용표!$C$8:$C$9,MATCH(C200,비용표!$B$8:$B$9,0)))</f>
        <v/>
      </c>
      <c r="H200" s="5">
        <f>G200*E200</f>
        <v/>
      </c>
      <c r="I200" s="10">
        <f>IF(A200=A199,I199&amp;" · ","")&amp;IF(C200="카드",D200&amp;E200,"["&amp;C200&amp;"] "&amp;D200)</f>
        <v/>
      </c>
    </row>
    <row r="201">
      <c r="A201" s="5" t="n">
        <v>56</v>
      </c>
      <c r="B201" s="5" t="n">
        <v>3</v>
      </c>
      <c r="C201" s="5" t="inlineStr">
        <is>
          <t>카드</t>
        </is>
      </c>
      <c r="D201" s="5" t="inlineStr">
        <is>
          <t>장윤</t>
        </is>
      </c>
      <c r="E201" s="5" t="n">
        <v>1</v>
      </c>
      <c r="F201" s="5" t="inlineStr">
        <is>
          <t>C</t>
        </is>
      </c>
      <c r="G201" s="5">
        <f>IF(C201="카드",INDEX(비용표!$C$2:$C$7,MATCH(F201,비용표!$B$2:$B$7,0)),F201*INDEX(비용표!$C$8:$C$9,MATCH(C201,비용표!$B$8:$B$9,0)))</f>
        <v/>
      </c>
      <c r="H201" s="5">
        <f>G201*E201</f>
        <v/>
      </c>
      <c r="I201" s="10">
        <f>IF(A201=A200,I200&amp;" · ","")&amp;IF(C201="카드",D201&amp;E201,"["&amp;C201&amp;"] "&amp;D201)</f>
        <v/>
      </c>
    </row>
    <row r="202">
      <c r="A202" s="5" t="n">
        <v>57</v>
      </c>
      <c r="B202" s="5" t="n">
        <v>1</v>
      </c>
      <c r="C202" s="5" t="inlineStr">
        <is>
          <t>카드</t>
        </is>
      </c>
      <c r="D202" s="5" t="inlineStr">
        <is>
          <t>제갈량</t>
        </is>
      </c>
      <c r="E202" s="5" t="n">
        <v>1</v>
      </c>
      <c r="F202" s="5" t="inlineStr">
        <is>
          <t>S</t>
        </is>
      </c>
      <c r="G202" s="5">
        <f>IF(C202="카드",INDEX(비용표!$C$2:$C$7,MATCH(F202,비용표!$B$2:$B$7,0)),F202*INDEX(비용표!$C$8:$C$9,MATCH(C202,비용표!$B$8:$B$9,0)))</f>
        <v/>
      </c>
      <c r="H202" s="5">
        <f>G202*E202</f>
        <v/>
      </c>
      <c r="I202" s="10">
        <f>IF(A202=A201,I201&amp;" · ","")&amp;IF(C202="카드",D202&amp;E202,"["&amp;C202&amp;"] "&amp;D202)</f>
        <v/>
      </c>
    </row>
    <row r="203">
      <c r="A203" s="5" t="n">
        <v>57</v>
      </c>
      <c r="B203" s="5" t="n">
        <v>2</v>
      </c>
      <c r="C203" s="5" t="inlineStr">
        <is>
          <t>카드</t>
        </is>
      </c>
      <c r="D203" s="5" t="inlineStr">
        <is>
          <t>노숙</t>
        </is>
      </c>
      <c r="E203" s="5" t="n">
        <v>1</v>
      </c>
      <c r="F203" s="5" t="inlineStr">
        <is>
          <t>S</t>
        </is>
      </c>
      <c r="G203" s="5">
        <f>IF(C203="카드",INDEX(비용표!$C$2:$C$7,MATCH(F203,비용표!$B$2:$B$7,0)),F203*INDEX(비용표!$C$8:$C$9,MATCH(C203,비용표!$B$8:$B$9,0)))</f>
        <v/>
      </c>
      <c r="H203" s="5">
        <f>G203*E203</f>
        <v/>
      </c>
      <c r="I203" s="10">
        <f>IF(A203=A202,I202&amp;" · ","")&amp;IF(C203="카드",D203&amp;E203,"["&amp;C203&amp;"] "&amp;D203)</f>
        <v/>
      </c>
    </row>
    <row r="204">
      <c r="A204" s="5" t="n">
        <v>57</v>
      </c>
      <c r="B204" s="5" t="n">
        <v>3</v>
      </c>
      <c r="C204" s="5" t="inlineStr">
        <is>
          <t>카드</t>
        </is>
      </c>
      <c r="D204" s="5" t="inlineStr">
        <is>
          <t>주유</t>
        </is>
      </c>
      <c r="E204" s="5" t="n">
        <v>1</v>
      </c>
      <c r="F204" s="5" t="inlineStr">
        <is>
          <t>S</t>
        </is>
      </c>
      <c r="G204" s="5">
        <f>IF(C204="카드",INDEX(비용표!$C$2:$C$7,MATCH(F204,비용표!$B$2:$B$7,0)),F204*INDEX(비용표!$C$8:$C$9,MATCH(C204,비용표!$B$8:$B$9,0)))</f>
        <v/>
      </c>
      <c r="H204" s="5">
        <f>G204*E204</f>
        <v/>
      </c>
      <c r="I204" s="10">
        <f>IF(A204=A203,I203&amp;" · ","")&amp;IF(C204="카드",D204&amp;E204,"["&amp;C204&amp;"] "&amp;D204)</f>
        <v/>
      </c>
    </row>
    <row r="205">
      <c r="A205" s="5" t="n">
        <v>58</v>
      </c>
      <c r="B205" s="5" t="n">
        <v>1</v>
      </c>
      <c r="C205" s="5" t="inlineStr">
        <is>
          <t>카드</t>
        </is>
      </c>
      <c r="D205" s="5" t="inlineStr">
        <is>
          <t>주유</t>
        </is>
      </c>
      <c r="E205" s="5" t="n">
        <v>1</v>
      </c>
      <c r="F205" s="5" t="inlineStr">
        <is>
          <t>S</t>
        </is>
      </c>
      <c r="G205" s="5">
        <f>IF(C205="카드",INDEX(비용표!$C$2:$C$7,MATCH(F205,비용표!$B$2:$B$7,0)),F205*INDEX(비용표!$C$8:$C$9,MATCH(C205,비용표!$B$8:$B$9,0)))</f>
        <v/>
      </c>
      <c r="H205" s="5">
        <f>G205*E205</f>
        <v/>
      </c>
      <c r="I205" s="10">
        <f>IF(A205=A204,I204&amp;" · ","")&amp;IF(C205="카드",D205&amp;E205,"["&amp;C205&amp;"] "&amp;D205)</f>
        <v/>
      </c>
    </row>
    <row r="206">
      <c r="A206" s="5" t="n">
        <v>58</v>
      </c>
      <c r="B206" s="5" t="n">
        <v>2</v>
      </c>
      <c r="C206" s="5" t="inlineStr">
        <is>
          <t>카드</t>
        </is>
      </c>
      <c r="D206" s="5" t="inlineStr">
        <is>
          <t>황개</t>
        </is>
      </c>
      <c r="E206" s="5" t="n">
        <v>1</v>
      </c>
      <c r="F206" s="5" t="inlineStr">
        <is>
          <t>A</t>
        </is>
      </c>
      <c r="G206" s="5">
        <f>IF(C206="카드",INDEX(비용표!$C$2:$C$7,MATCH(F206,비용표!$B$2:$B$7,0)),F206*INDEX(비용표!$C$8:$C$9,MATCH(C206,비용표!$B$8:$B$9,0)))</f>
        <v/>
      </c>
      <c r="H206" s="5">
        <f>G206*E206</f>
        <v/>
      </c>
      <c r="I206" s="10">
        <f>IF(A206=A205,I205&amp;" · ","")&amp;IF(C206="카드",D206&amp;E206,"["&amp;C206&amp;"] "&amp;D206)</f>
        <v/>
      </c>
    </row>
    <row r="207">
      <c r="A207" s="5" t="n">
        <v>58</v>
      </c>
      <c r="B207" s="5" t="n">
        <v>3</v>
      </c>
      <c r="C207" s="5" t="inlineStr">
        <is>
          <t>카드</t>
        </is>
      </c>
      <c r="D207" s="5" t="inlineStr">
        <is>
          <t>감택</t>
        </is>
      </c>
      <c r="E207" s="5" t="n">
        <v>1</v>
      </c>
      <c r="F207" s="5" t="inlineStr">
        <is>
          <t>B</t>
        </is>
      </c>
      <c r="G207" s="5">
        <f>IF(C207="카드",INDEX(비용표!$C$2:$C$7,MATCH(F207,비용표!$B$2:$B$7,0)),F207*INDEX(비용표!$C$8:$C$9,MATCH(C207,비용표!$B$8:$B$9,0)))</f>
        <v/>
      </c>
      <c r="H207" s="5">
        <f>G207*E207</f>
        <v/>
      </c>
      <c r="I207" s="10">
        <f>IF(A207=A206,I206&amp;" · ","")&amp;IF(C207="카드",D207&amp;E207,"["&amp;C207&amp;"] "&amp;D207)</f>
        <v/>
      </c>
    </row>
    <row r="208">
      <c r="A208" s="5" t="n">
        <v>59</v>
      </c>
      <c r="B208" s="5" t="n">
        <v>1</v>
      </c>
      <c r="C208" s="5" t="inlineStr">
        <is>
          <t>카드</t>
        </is>
      </c>
      <c r="D208" s="5" t="inlineStr">
        <is>
          <t>방통</t>
        </is>
      </c>
      <c r="E208" s="5" t="n">
        <v>1</v>
      </c>
      <c r="F208" s="5" t="inlineStr">
        <is>
          <t>S</t>
        </is>
      </c>
      <c r="G208" s="5">
        <f>IF(C208="카드",INDEX(비용표!$C$2:$C$7,MATCH(F208,비용표!$B$2:$B$7,0)),F208*INDEX(비용표!$C$8:$C$9,MATCH(C208,비용표!$B$8:$B$9,0)))</f>
        <v/>
      </c>
      <c r="H208" s="5">
        <f>G208*E208</f>
        <v/>
      </c>
      <c r="I208" s="10">
        <f>IF(A208=A207,I207&amp;" · ","")&amp;IF(C208="카드",D208&amp;E208,"["&amp;C208&amp;"] "&amp;D208)</f>
        <v/>
      </c>
    </row>
    <row r="209">
      <c r="A209" s="5" t="n">
        <v>59</v>
      </c>
      <c r="B209" s="5" t="n">
        <v>2</v>
      </c>
      <c r="C209" s="5" t="inlineStr">
        <is>
          <t>카드</t>
        </is>
      </c>
      <c r="D209" s="5" t="inlineStr">
        <is>
          <t>조조</t>
        </is>
      </c>
      <c r="E209" s="5" t="n">
        <v>1</v>
      </c>
      <c r="F209" s="5" t="inlineStr">
        <is>
          <t>S</t>
        </is>
      </c>
      <c r="G209" s="5">
        <f>IF(C209="카드",INDEX(비용표!$C$2:$C$7,MATCH(F209,비용표!$B$2:$B$7,0)),F209*INDEX(비용표!$C$8:$C$9,MATCH(C209,비용표!$B$8:$B$9,0)))</f>
        <v/>
      </c>
      <c r="H209" s="5">
        <f>G209*E209</f>
        <v/>
      </c>
      <c r="I209" s="10">
        <f>IF(A209=A208,I208&amp;" · ","")&amp;IF(C209="카드",D209&amp;E209,"["&amp;C209&amp;"] "&amp;D209)</f>
        <v/>
      </c>
    </row>
    <row r="210">
      <c r="A210" s="5" t="n">
        <v>59</v>
      </c>
      <c r="B210" s="5" t="n">
        <v>3</v>
      </c>
      <c r="C210" s="5" t="inlineStr">
        <is>
          <t>카드</t>
        </is>
      </c>
      <c r="D210" s="5" t="inlineStr">
        <is>
          <t>서서</t>
        </is>
      </c>
      <c r="E210" s="5" t="n">
        <v>1</v>
      </c>
      <c r="F210" s="5" t="inlineStr">
        <is>
          <t>S</t>
        </is>
      </c>
      <c r="G210" s="5">
        <f>IF(C210="카드",INDEX(비용표!$C$2:$C$7,MATCH(F210,비용표!$B$2:$B$7,0)),F210*INDEX(비용표!$C$8:$C$9,MATCH(C210,비용표!$B$8:$B$9,0)))</f>
        <v/>
      </c>
      <c r="H210" s="5">
        <f>G210*E210</f>
        <v/>
      </c>
      <c r="I210" s="10">
        <f>IF(A210=A209,I209&amp;" · ","")&amp;IF(C210="카드",D210&amp;E210,"["&amp;C210&amp;"] "&amp;D210)</f>
        <v/>
      </c>
    </row>
    <row r="211">
      <c r="A211" s="5" t="n">
        <v>60</v>
      </c>
      <c r="B211" s="5" t="n">
        <v>1</v>
      </c>
      <c r="C211" s="5" t="inlineStr">
        <is>
          <t>카드</t>
        </is>
      </c>
      <c r="D211" s="5" t="inlineStr">
        <is>
          <t>제갈량</t>
        </is>
      </c>
      <c r="E211" s="5" t="n">
        <v>1</v>
      </c>
      <c r="F211" s="5" t="inlineStr">
        <is>
          <t>S</t>
        </is>
      </c>
      <c r="G211" s="5">
        <f>IF(C211="카드",INDEX(비용표!$C$2:$C$7,MATCH(F211,비용표!$B$2:$B$7,0)),F211*INDEX(비용표!$C$8:$C$9,MATCH(C211,비용표!$B$8:$B$9,0)))</f>
        <v/>
      </c>
      <c r="H211" s="5">
        <f>G211*E211</f>
        <v/>
      </c>
      <c r="I211" s="10">
        <f>IF(A211=A210,I210&amp;" · ","")&amp;IF(C211="카드",D211&amp;E211,"["&amp;C211&amp;"] "&amp;D211)</f>
        <v/>
      </c>
    </row>
    <row r="212">
      <c r="A212" s="5" t="n">
        <v>60</v>
      </c>
      <c r="B212" s="5" t="n">
        <v>2</v>
      </c>
      <c r="C212" s="5" t="inlineStr">
        <is>
          <t>카드</t>
        </is>
      </c>
      <c r="D212" s="5" t="inlineStr">
        <is>
          <t>노숙</t>
        </is>
      </c>
      <c r="E212" s="5" t="n">
        <v>1</v>
      </c>
      <c r="F212" s="5" t="inlineStr">
        <is>
          <t>S</t>
        </is>
      </c>
      <c r="G212" s="5">
        <f>IF(C212="카드",INDEX(비용표!$C$2:$C$7,MATCH(F212,비용표!$B$2:$B$7,0)),F212*INDEX(비용표!$C$8:$C$9,MATCH(C212,비용표!$B$8:$B$9,0)))</f>
        <v/>
      </c>
      <c r="H212" s="5">
        <f>G212*E212</f>
        <v/>
      </c>
      <c r="I212" s="10">
        <f>IF(A212=A211,I211&amp;" · ","")&amp;IF(C212="카드",D212&amp;E212,"["&amp;C212&amp;"] "&amp;D212)</f>
        <v/>
      </c>
    </row>
    <row r="213">
      <c r="A213" s="5" t="n">
        <v>60</v>
      </c>
      <c r="B213" s="5" t="n">
        <v>3</v>
      </c>
      <c r="C213" s="5" t="inlineStr">
        <is>
          <t>카드</t>
        </is>
      </c>
      <c r="D213" s="5" t="inlineStr">
        <is>
          <t>주유</t>
        </is>
      </c>
      <c r="E213" s="5" t="n">
        <v>1</v>
      </c>
      <c r="F213" s="5" t="inlineStr">
        <is>
          <t>S</t>
        </is>
      </c>
      <c r="G213" s="5">
        <f>IF(C213="카드",INDEX(비용표!$C$2:$C$7,MATCH(F213,비용표!$B$2:$B$7,0)),F213*INDEX(비용표!$C$8:$C$9,MATCH(C213,비용표!$B$8:$B$9,0)))</f>
        <v/>
      </c>
      <c r="H213" s="5">
        <f>G213*E213</f>
        <v/>
      </c>
      <c r="I213" s="10">
        <f>IF(A213=A212,I212&amp;" · ","")&amp;IF(C213="카드",D213&amp;E213,"["&amp;C213&amp;"] "&amp;D213)</f>
        <v/>
      </c>
    </row>
    <row r="214">
      <c r="A214" s="5" t="n">
        <v>60</v>
      </c>
      <c r="B214" s="5" t="n">
        <v>4</v>
      </c>
      <c r="C214" s="5" t="inlineStr">
        <is>
          <t>아이템</t>
        </is>
      </c>
      <c r="D214" s="5" t="inlineStr">
        <is>
          <t>우선</t>
        </is>
      </c>
      <c r="E214" s="5" t="n">
        <v>1</v>
      </c>
      <c r="F214" s="5" t="n">
        <v>4</v>
      </c>
      <c r="G214" s="5">
        <f>IF(C214="카드",INDEX(비용표!$C$2:$C$7,MATCH(F214,비용표!$B$2:$B$7,0)),F214*INDEX(비용표!$C$8:$C$9,MATCH(C214,비용표!$B$8:$B$9,0)))</f>
        <v/>
      </c>
      <c r="H214" s="5">
        <f>G214*E214</f>
        <v/>
      </c>
      <c r="I214" s="10">
        <f>IF(A214=A213,I213&amp;" · ","")&amp;IF(C214="카드",D214&amp;E214,"["&amp;C214&amp;"] "&amp;D214)</f>
        <v/>
      </c>
    </row>
    <row r="215">
      <c r="A215" s="5" t="n">
        <v>60</v>
      </c>
      <c r="B215" s="5" t="n">
        <v>5</v>
      </c>
      <c r="C215" s="5" t="inlineStr">
        <is>
          <t>카드</t>
        </is>
      </c>
      <c r="D215" s="5" t="inlineStr">
        <is>
          <t>서성</t>
        </is>
      </c>
      <c r="E215" s="5" t="n">
        <v>1</v>
      </c>
      <c r="F215" s="5" t="inlineStr">
        <is>
          <t>B</t>
        </is>
      </c>
      <c r="G215" s="5">
        <f>IF(C215="카드",INDEX(비용표!$C$2:$C$7,MATCH(F215,비용표!$B$2:$B$7,0)),F215*INDEX(비용표!$C$8:$C$9,MATCH(C215,비용표!$B$8:$B$9,0)))</f>
        <v/>
      </c>
      <c r="H215" s="5">
        <f>G215*E215</f>
        <v/>
      </c>
      <c r="I215" s="10">
        <f>IF(A215=A214,I214&amp;" · ","")&amp;IF(C215="카드",D215&amp;E215,"["&amp;C215&amp;"] "&amp;D215)</f>
        <v/>
      </c>
    </row>
    <row r="216">
      <c r="A216" s="5" t="n">
        <v>61</v>
      </c>
      <c r="B216" s="5" t="n">
        <v>1</v>
      </c>
      <c r="C216" s="5" t="inlineStr">
        <is>
          <t>카드</t>
        </is>
      </c>
      <c r="D216" s="5" t="inlineStr">
        <is>
          <t>주유</t>
        </is>
      </c>
      <c r="E216" s="5" t="n">
        <v>1</v>
      </c>
      <c r="F216" s="5" t="inlineStr">
        <is>
          <t>S</t>
        </is>
      </c>
      <c r="G216" s="5">
        <f>IF(C216="카드",INDEX(비용표!$C$2:$C$7,MATCH(F216,비용표!$B$2:$B$7,0)),F216*INDEX(비용표!$C$8:$C$9,MATCH(C216,비용표!$B$8:$B$9,0)))</f>
        <v/>
      </c>
      <c r="H216" s="5">
        <f>G216*E216</f>
        <v/>
      </c>
      <c r="I216" s="10">
        <f>IF(A216=A215,I215&amp;" · ","")&amp;IF(C216="카드",D216&amp;E216,"["&amp;C216&amp;"] "&amp;D216)</f>
        <v/>
      </c>
    </row>
    <row r="217">
      <c r="A217" s="5" t="n">
        <v>61</v>
      </c>
      <c r="B217" s="5" t="n">
        <v>2</v>
      </c>
      <c r="C217" s="5" t="inlineStr">
        <is>
          <t>카드</t>
        </is>
      </c>
      <c r="D217" s="5" t="inlineStr">
        <is>
          <t>황개</t>
        </is>
      </c>
      <c r="E217" s="5" t="n">
        <v>1</v>
      </c>
      <c r="F217" s="5" t="inlineStr">
        <is>
          <t>A</t>
        </is>
      </c>
      <c r="G217" s="5">
        <f>IF(C217="카드",INDEX(비용표!$C$2:$C$7,MATCH(F217,비용표!$B$2:$B$7,0)),F217*INDEX(비용표!$C$8:$C$9,MATCH(C217,비용표!$B$8:$B$9,0)))</f>
        <v/>
      </c>
      <c r="H217" s="5">
        <f>G217*E217</f>
        <v/>
      </c>
      <c r="I217" s="10">
        <f>IF(A217=A216,I216&amp;" · ","")&amp;IF(C217="카드",D217&amp;E217,"["&amp;C217&amp;"] "&amp;D217)</f>
        <v/>
      </c>
    </row>
    <row r="218">
      <c r="A218" s="5" t="n">
        <v>61</v>
      </c>
      <c r="B218" s="5" t="n">
        <v>3</v>
      </c>
      <c r="C218" s="5" t="inlineStr">
        <is>
          <t>카드</t>
        </is>
      </c>
      <c r="D218" s="5" t="inlineStr">
        <is>
          <t>제갈량</t>
        </is>
      </c>
      <c r="E218" s="5" t="n">
        <v>1</v>
      </c>
      <c r="F218" s="5" t="inlineStr">
        <is>
          <t>S</t>
        </is>
      </c>
      <c r="G218" s="5">
        <f>IF(C218="카드",INDEX(비용표!$C$2:$C$7,MATCH(F218,비용표!$B$2:$B$7,0)),F218*INDEX(비용표!$C$8:$C$9,MATCH(C218,비용표!$B$8:$B$9,0)))</f>
        <v/>
      </c>
      <c r="H218" s="5">
        <f>G218*E218</f>
        <v/>
      </c>
      <c r="I218" s="10">
        <f>IF(A218=A217,I217&amp;" · ","")&amp;IF(C218="카드",D218&amp;E218,"["&amp;C218&amp;"] "&amp;D218)</f>
        <v/>
      </c>
    </row>
    <row r="219">
      <c r="A219" s="5" t="n">
        <v>61</v>
      </c>
      <c r="B219" s="5" t="n">
        <v>4</v>
      </c>
      <c r="C219" s="5" t="inlineStr">
        <is>
          <t>카드</t>
        </is>
      </c>
      <c r="D219" s="5" t="inlineStr">
        <is>
          <t>조조</t>
        </is>
      </c>
      <c r="E219" s="5" t="n">
        <v>1</v>
      </c>
      <c r="F219" s="5" t="inlineStr">
        <is>
          <t>S</t>
        </is>
      </c>
      <c r="G219" s="5">
        <f>IF(C219="카드",INDEX(비용표!$C$2:$C$7,MATCH(F219,비용표!$B$2:$B$7,0)),F219*INDEX(비용표!$C$8:$C$9,MATCH(C219,비용표!$B$8:$B$9,0)))</f>
        <v/>
      </c>
      <c r="H219" s="5">
        <f>G219*E219</f>
        <v/>
      </c>
      <c r="I219" s="10">
        <f>IF(A219=A218,I218&amp;" · ","")&amp;IF(C219="카드",D219&amp;E219,"["&amp;C219&amp;"] "&amp;D219)</f>
        <v/>
      </c>
    </row>
    <row r="220">
      <c r="A220" s="5" t="n">
        <v>61</v>
      </c>
      <c r="B220" s="5" t="n">
        <v>5</v>
      </c>
      <c r="C220" s="5" t="inlineStr">
        <is>
          <t>아이템</t>
        </is>
      </c>
      <c r="D220" s="5" t="inlineStr">
        <is>
          <t>폭약</t>
        </is>
      </c>
      <c r="E220" s="5" t="n">
        <v>1</v>
      </c>
      <c r="F220" s="5" t="n">
        <v>3</v>
      </c>
      <c r="G220" s="5">
        <f>IF(C220="카드",INDEX(비용표!$C$2:$C$7,MATCH(F220,비용표!$B$2:$B$7,0)),F220*INDEX(비용표!$C$8:$C$9,MATCH(C220,비용표!$B$8:$B$9,0)))</f>
        <v/>
      </c>
      <c r="H220" s="5">
        <f>G220*E220</f>
        <v/>
      </c>
      <c r="I220" s="10">
        <f>IF(A220=A219,I219&amp;" · ","")&amp;IF(C220="카드",D220&amp;E220,"["&amp;C220&amp;"] "&amp;D220)</f>
        <v/>
      </c>
    </row>
    <row r="221">
      <c r="A221" s="5" t="n">
        <v>62</v>
      </c>
      <c r="B221" s="5" t="n">
        <v>1</v>
      </c>
      <c r="C221" s="5" t="inlineStr">
        <is>
          <t>카드</t>
        </is>
      </c>
      <c r="D221" s="5" t="inlineStr">
        <is>
          <t>관우</t>
        </is>
      </c>
      <c r="E221" s="5" t="n">
        <v>1</v>
      </c>
      <c r="F221" s="5" t="inlineStr">
        <is>
          <t>S</t>
        </is>
      </c>
      <c r="G221" s="5">
        <f>IF(C221="카드",INDEX(비용표!$C$2:$C$7,MATCH(F221,비용표!$B$2:$B$7,0)),F221*INDEX(비용표!$C$8:$C$9,MATCH(C221,비용표!$B$8:$B$9,0)))</f>
        <v/>
      </c>
      <c r="H221" s="5">
        <f>G221*E221</f>
        <v/>
      </c>
      <c r="I221" s="10">
        <f>IF(A221=A220,I220&amp;" · ","")&amp;IF(C221="카드",D221&amp;E221,"["&amp;C221&amp;"] "&amp;D221)</f>
        <v/>
      </c>
    </row>
    <row r="222">
      <c r="A222" s="5" t="n">
        <v>62</v>
      </c>
      <c r="B222" s="5" t="n">
        <v>2</v>
      </c>
      <c r="C222" s="5" t="inlineStr">
        <is>
          <t>카드</t>
        </is>
      </c>
      <c r="D222" s="5" t="inlineStr">
        <is>
          <t>조조</t>
        </is>
      </c>
      <c r="E222" s="5" t="n">
        <v>1</v>
      </c>
      <c r="F222" s="5" t="inlineStr">
        <is>
          <t>S</t>
        </is>
      </c>
      <c r="G222" s="5">
        <f>IF(C222="카드",INDEX(비용표!$C$2:$C$7,MATCH(F222,비용표!$B$2:$B$7,0)),F222*INDEX(비용표!$C$8:$C$9,MATCH(C222,비용표!$B$8:$B$9,0)))</f>
        <v/>
      </c>
      <c r="H222" s="5">
        <f>G222*E222</f>
        <v/>
      </c>
      <c r="I222" s="10">
        <f>IF(A222=A221,I221&amp;" · ","")&amp;IF(C222="카드",D222&amp;E222,"["&amp;C222&amp;"] "&amp;D222)</f>
        <v/>
      </c>
    </row>
    <row r="223">
      <c r="A223" s="5" t="n">
        <v>62</v>
      </c>
      <c r="B223" s="5" t="n">
        <v>3</v>
      </c>
      <c r="C223" s="5" t="inlineStr">
        <is>
          <t>카드</t>
        </is>
      </c>
      <c r="D223" s="5" t="inlineStr">
        <is>
          <t>장료</t>
        </is>
      </c>
      <c r="E223" s="5" t="n">
        <v>1</v>
      </c>
      <c r="F223" s="5" t="inlineStr">
        <is>
          <t>S</t>
        </is>
      </c>
      <c r="G223" s="5">
        <f>IF(C223="카드",INDEX(비용표!$C$2:$C$7,MATCH(F223,비용표!$B$2:$B$7,0)),F223*INDEX(비용표!$C$8:$C$9,MATCH(C223,비용표!$B$8:$B$9,0)))</f>
        <v/>
      </c>
      <c r="H223" s="5">
        <f>G223*E223</f>
        <v/>
      </c>
      <c r="I223" s="10">
        <f>IF(A223=A222,I222&amp;" · ","")&amp;IF(C223="카드",D223&amp;E223,"["&amp;C223&amp;"] "&amp;D223)</f>
        <v/>
      </c>
    </row>
    <row r="224">
      <c r="A224" s="5" t="n">
        <v>62</v>
      </c>
      <c r="B224" s="5" t="n">
        <v>4</v>
      </c>
      <c r="C224" s="5" t="inlineStr">
        <is>
          <t>카드</t>
        </is>
      </c>
      <c r="D224" s="5" t="inlineStr">
        <is>
          <t>허저</t>
        </is>
      </c>
      <c r="E224" s="5" t="n">
        <v>1</v>
      </c>
      <c r="F224" s="5" t="inlineStr">
        <is>
          <t>S</t>
        </is>
      </c>
      <c r="G224" s="5">
        <f>IF(C224="카드",INDEX(비용표!$C$2:$C$7,MATCH(F224,비용표!$B$2:$B$7,0)),F224*INDEX(비용표!$C$8:$C$9,MATCH(C224,비용표!$B$8:$B$9,0)))</f>
        <v/>
      </c>
      <c r="H224" s="5">
        <f>G224*E224</f>
        <v/>
      </c>
      <c r="I224" s="10">
        <f>IF(A224=A223,I223&amp;" · ","")&amp;IF(C224="카드",D224&amp;E224,"["&amp;C224&amp;"] "&amp;D224)</f>
        <v/>
      </c>
    </row>
    <row r="225">
      <c r="A225" s="5" t="n">
        <v>63</v>
      </c>
      <c r="B225" s="5" t="n">
        <v>1</v>
      </c>
      <c r="C225" s="5" t="inlineStr">
        <is>
          <t>카드</t>
        </is>
      </c>
      <c r="D225" s="5" t="inlineStr">
        <is>
          <t>조인</t>
        </is>
      </c>
      <c r="E225" s="5" t="n">
        <v>1</v>
      </c>
      <c r="F225" s="5" t="inlineStr">
        <is>
          <t>A</t>
        </is>
      </c>
      <c r="G225" s="5">
        <f>IF(C225="카드",INDEX(비용표!$C$2:$C$7,MATCH(F225,비용표!$B$2:$B$7,0)),F225*INDEX(비용표!$C$8:$C$9,MATCH(C225,비용표!$B$8:$B$9,0)))</f>
        <v/>
      </c>
      <c r="H225" s="5">
        <f>G225*E225</f>
        <v/>
      </c>
      <c r="I225" s="10">
        <f>IF(A225=A224,I224&amp;" · ","")&amp;IF(C225="카드",D225&amp;E225,"["&amp;C225&amp;"] "&amp;D225)</f>
        <v/>
      </c>
    </row>
    <row r="226">
      <c r="A226" s="5" t="n">
        <v>63</v>
      </c>
      <c r="B226" s="5" t="n">
        <v>2</v>
      </c>
      <c r="C226" s="5" t="inlineStr">
        <is>
          <t>카드</t>
        </is>
      </c>
      <c r="D226" s="5" t="inlineStr">
        <is>
          <t>주유</t>
        </is>
      </c>
      <c r="E226" s="5" t="n">
        <v>1</v>
      </c>
      <c r="F226" s="5" t="inlineStr">
        <is>
          <t>S</t>
        </is>
      </c>
      <c r="G226" s="5">
        <f>IF(C226="카드",INDEX(비용표!$C$2:$C$7,MATCH(F226,비용표!$B$2:$B$7,0)),F226*INDEX(비용표!$C$8:$C$9,MATCH(C226,비용표!$B$8:$B$9,0)))</f>
        <v/>
      </c>
      <c r="H226" s="5">
        <f>G226*E226</f>
        <v/>
      </c>
      <c r="I226" s="10">
        <f>IF(A226=A225,I225&amp;" · ","")&amp;IF(C226="카드",D226&amp;E226,"["&amp;C226&amp;"] "&amp;D226)</f>
        <v/>
      </c>
    </row>
    <row r="227">
      <c r="A227" s="5" t="n">
        <v>63</v>
      </c>
      <c r="B227" s="5" t="n">
        <v>3</v>
      </c>
      <c r="C227" s="5" t="inlineStr">
        <is>
          <t>카드</t>
        </is>
      </c>
      <c r="D227" s="5" t="inlineStr">
        <is>
          <t>조홍</t>
        </is>
      </c>
      <c r="E227" s="5" t="n">
        <v>1</v>
      </c>
      <c r="F227" s="5" t="inlineStr">
        <is>
          <t>B</t>
        </is>
      </c>
      <c r="G227" s="5">
        <f>IF(C227="카드",INDEX(비용표!$C$2:$C$7,MATCH(F227,비용표!$B$2:$B$7,0)),F227*INDEX(비용표!$C$8:$C$9,MATCH(C227,비용표!$B$8:$B$9,0)))</f>
        <v/>
      </c>
      <c r="H227" s="5">
        <f>G227*E227</f>
        <v/>
      </c>
      <c r="I227" s="10">
        <f>IF(A227=A226,I226&amp;" · ","")&amp;IF(C227="카드",D227&amp;E227,"["&amp;C227&amp;"] "&amp;D227)</f>
        <v/>
      </c>
    </row>
    <row r="228">
      <c r="A228" s="5" t="n">
        <v>64</v>
      </c>
      <c r="B228" s="5" t="n">
        <v>1</v>
      </c>
      <c r="C228" s="5" t="inlineStr">
        <is>
          <t>카드</t>
        </is>
      </c>
      <c r="D228" s="5" t="inlineStr">
        <is>
          <t>주유</t>
        </is>
      </c>
      <c r="E228" s="5" t="n">
        <v>1</v>
      </c>
      <c r="F228" s="5" t="inlineStr">
        <is>
          <t>S</t>
        </is>
      </c>
      <c r="G228" s="5">
        <f>IF(C228="카드",INDEX(비용표!$C$2:$C$7,MATCH(F228,비용표!$B$2:$B$7,0)),F228*INDEX(비용표!$C$8:$C$9,MATCH(C228,비용표!$B$8:$B$9,0)))</f>
        <v/>
      </c>
      <c r="H228" s="5">
        <f>G228*E228</f>
        <v/>
      </c>
      <c r="I228" s="10">
        <f>IF(A228=A227,I227&amp;" · ","")&amp;IF(C228="카드",D228&amp;E228,"["&amp;C228&amp;"] "&amp;D228)</f>
        <v/>
      </c>
    </row>
    <row r="229">
      <c r="A229" s="5" t="n">
        <v>64</v>
      </c>
      <c r="B229" s="5" t="n">
        <v>2</v>
      </c>
      <c r="C229" s="5" t="inlineStr">
        <is>
          <t>카드</t>
        </is>
      </c>
      <c r="D229" s="5" t="inlineStr">
        <is>
          <t>제갈량</t>
        </is>
      </c>
      <c r="E229" s="5" t="n">
        <v>1</v>
      </c>
      <c r="F229" s="5" t="inlineStr">
        <is>
          <t>S</t>
        </is>
      </c>
      <c r="G229" s="5">
        <f>IF(C229="카드",INDEX(비용표!$C$2:$C$7,MATCH(F229,비용표!$B$2:$B$7,0)),F229*INDEX(비용표!$C$8:$C$9,MATCH(C229,비용표!$B$8:$B$9,0)))</f>
        <v/>
      </c>
      <c r="H229" s="5">
        <f>G229*E229</f>
        <v/>
      </c>
      <c r="I229" s="10">
        <f>IF(A229=A228,I228&amp;" · ","")&amp;IF(C229="카드",D229&amp;E229,"["&amp;C229&amp;"] "&amp;D229)</f>
        <v/>
      </c>
    </row>
    <row r="230">
      <c r="A230" s="5" t="n">
        <v>65</v>
      </c>
      <c r="B230" s="5" t="n">
        <v>1</v>
      </c>
      <c r="C230" s="5" t="inlineStr">
        <is>
          <t>카드</t>
        </is>
      </c>
      <c r="D230" s="5" t="inlineStr">
        <is>
          <t>황충</t>
        </is>
      </c>
      <c r="E230" s="5" t="n">
        <v>1</v>
      </c>
      <c r="F230" s="5" t="inlineStr">
        <is>
          <t>S</t>
        </is>
      </c>
      <c r="G230" s="5">
        <f>IF(C230="카드",INDEX(비용표!$C$2:$C$7,MATCH(F230,비용표!$B$2:$B$7,0)),F230*INDEX(비용표!$C$8:$C$9,MATCH(C230,비용표!$B$8:$B$9,0)))</f>
        <v/>
      </c>
      <c r="H230" s="5">
        <f>G230*E230</f>
        <v/>
      </c>
      <c r="I230" s="10">
        <f>IF(A230=A229,I229&amp;" · ","")&amp;IF(C230="카드",D230&amp;E230,"["&amp;C230&amp;"] "&amp;D230)</f>
        <v/>
      </c>
    </row>
    <row r="231">
      <c r="A231" s="5" t="n">
        <v>65</v>
      </c>
      <c r="B231" s="5" t="n">
        <v>2</v>
      </c>
      <c r="C231" s="5" t="inlineStr">
        <is>
          <t>카드</t>
        </is>
      </c>
      <c r="D231" s="5" t="inlineStr">
        <is>
          <t>관우</t>
        </is>
      </c>
      <c r="E231" s="5" t="n">
        <v>1</v>
      </c>
      <c r="F231" s="5" t="inlineStr">
        <is>
          <t>S</t>
        </is>
      </c>
      <c r="G231" s="5">
        <f>IF(C231="카드",INDEX(비용표!$C$2:$C$7,MATCH(F231,비용표!$B$2:$B$7,0)),F231*INDEX(비용표!$C$8:$C$9,MATCH(C231,비용표!$B$8:$B$9,0)))</f>
        <v/>
      </c>
      <c r="H231" s="5">
        <f>G231*E231</f>
        <v/>
      </c>
      <c r="I231" s="10">
        <f>IF(A231=A230,I230&amp;" · ","")&amp;IF(C231="카드",D231&amp;E231,"["&amp;C231&amp;"] "&amp;D231)</f>
        <v/>
      </c>
    </row>
    <row r="232">
      <c r="A232" s="5" t="n">
        <v>65</v>
      </c>
      <c r="B232" s="5" t="n">
        <v>3</v>
      </c>
      <c r="C232" s="5" t="inlineStr">
        <is>
          <t>카드</t>
        </is>
      </c>
      <c r="D232" s="5" t="inlineStr">
        <is>
          <t>한현</t>
        </is>
      </c>
      <c r="E232" s="5" t="n">
        <v>1</v>
      </c>
      <c r="F232" s="5" t="inlineStr">
        <is>
          <t>D</t>
        </is>
      </c>
      <c r="G232" s="5">
        <f>IF(C232="카드",INDEX(비용표!$C$2:$C$7,MATCH(F232,비용표!$B$2:$B$7,0)),F232*INDEX(비용표!$C$8:$C$9,MATCH(C232,비용표!$B$8:$B$9,0)))</f>
        <v/>
      </c>
      <c r="H232" s="5">
        <f>G232*E232</f>
        <v/>
      </c>
      <c r="I232" s="10">
        <f>IF(A232=A231,I231&amp;" · ","")&amp;IF(C232="카드",D232&amp;E232,"["&amp;C232&amp;"] "&amp;D232)</f>
        <v/>
      </c>
    </row>
    <row r="233">
      <c r="A233" s="5" t="n">
        <v>65</v>
      </c>
      <c r="B233" s="5" t="n">
        <v>4</v>
      </c>
      <c r="C233" s="5" t="inlineStr">
        <is>
          <t>카드</t>
        </is>
      </c>
      <c r="D233" s="5" t="inlineStr">
        <is>
          <t>위연</t>
        </is>
      </c>
      <c r="E233" s="5" t="n">
        <v>1</v>
      </c>
      <c r="F233" s="5" t="inlineStr">
        <is>
          <t>A</t>
        </is>
      </c>
      <c r="G233" s="5">
        <f>IF(C233="카드",INDEX(비용표!$C$2:$C$7,MATCH(F233,비용표!$B$2:$B$7,0)),F233*INDEX(비용표!$C$8:$C$9,MATCH(C233,비용표!$B$8:$B$9,0)))</f>
        <v/>
      </c>
      <c r="H233" s="5">
        <f>G233*E233</f>
        <v/>
      </c>
      <c r="I233" s="10">
        <f>IF(A233=A232,I232&amp;" · ","")&amp;IF(C233="카드",D233&amp;E233,"["&amp;C233&amp;"] "&amp;D233)</f>
        <v/>
      </c>
    </row>
    <row r="234">
      <c r="A234" s="5" t="n">
        <v>66</v>
      </c>
      <c r="B234" s="5" t="n">
        <v>1</v>
      </c>
      <c r="C234" s="5" t="inlineStr">
        <is>
          <t>카드</t>
        </is>
      </c>
      <c r="D234" s="5" t="inlineStr">
        <is>
          <t>유비</t>
        </is>
      </c>
      <c r="E234" s="5" t="n">
        <v>1</v>
      </c>
      <c r="F234" s="5" t="inlineStr">
        <is>
          <t>S</t>
        </is>
      </c>
      <c r="G234" s="5">
        <f>IF(C234="카드",INDEX(비용표!$C$2:$C$7,MATCH(F234,비용표!$B$2:$B$7,0)),F234*INDEX(비용표!$C$8:$C$9,MATCH(C234,비용표!$B$8:$B$9,0)))</f>
        <v/>
      </c>
      <c r="H234" s="5">
        <f>G234*E234</f>
        <v/>
      </c>
      <c r="I234" s="10">
        <f>IF(A234=A233,I233&amp;" · ","")&amp;IF(C234="카드",D234&amp;E234,"["&amp;C234&amp;"] "&amp;D234)</f>
        <v/>
      </c>
    </row>
    <row r="235">
      <c r="A235" s="5" t="n">
        <v>66</v>
      </c>
      <c r="B235" s="5" t="n">
        <v>2</v>
      </c>
      <c r="C235" s="5" t="inlineStr">
        <is>
          <t>카드</t>
        </is>
      </c>
      <c r="D235" s="5" t="inlineStr">
        <is>
          <t>손권</t>
        </is>
      </c>
      <c r="E235" s="5" t="n">
        <v>1</v>
      </c>
      <c r="F235" s="5" t="inlineStr">
        <is>
          <t>S</t>
        </is>
      </c>
      <c r="G235" s="5">
        <f>IF(C235="카드",INDEX(비용표!$C$2:$C$7,MATCH(F235,비용표!$B$2:$B$7,0)),F235*INDEX(비용표!$C$8:$C$9,MATCH(C235,비용표!$B$8:$B$9,0)))</f>
        <v/>
      </c>
      <c r="H235" s="5">
        <f>G235*E235</f>
        <v/>
      </c>
      <c r="I235" s="10">
        <f>IF(A235=A234,I234&amp;" · ","")&amp;IF(C235="카드",D235&amp;E235,"["&amp;C235&amp;"] "&amp;D235)</f>
        <v/>
      </c>
    </row>
    <row r="236">
      <c r="A236" s="5" t="n">
        <v>66</v>
      </c>
      <c r="B236" s="5" t="n">
        <v>3</v>
      </c>
      <c r="C236" s="5" t="inlineStr">
        <is>
          <t>카드</t>
        </is>
      </c>
      <c r="D236" s="5" t="inlineStr">
        <is>
          <t>조운</t>
        </is>
      </c>
      <c r="E236" s="5" t="n">
        <v>1</v>
      </c>
      <c r="F236" s="5" t="inlineStr">
        <is>
          <t>S</t>
        </is>
      </c>
      <c r="G236" s="5">
        <f>IF(C236="카드",INDEX(비용표!$C$2:$C$7,MATCH(F236,비용표!$B$2:$B$7,0)),F236*INDEX(비용표!$C$8:$C$9,MATCH(C236,비용표!$B$8:$B$9,0)))</f>
        <v/>
      </c>
      <c r="H236" s="5">
        <f>G236*E236</f>
        <v/>
      </c>
      <c r="I236" s="10">
        <f>IF(A236=A235,I235&amp;" · ","")&amp;IF(C236="카드",D236&amp;E236,"["&amp;C236&amp;"] "&amp;D236)</f>
        <v/>
      </c>
    </row>
    <row r="237">
      <c r="A237" s="5" t="n">
        <v>66</v>
      </c>
      <c r="B237" s="5" t="n">
        <v>4</v>
      </c>
      <c r="C237" s="5" t="inlineStr">
        <is>
          <t>카드</t>
        </is>
      </c>
      <c r="D237" s="5" t="inlineStr">
        <is>
          <t>주유</t>
        </is>
      </c>
      <c r="E237" s="5" t="n">
        <v>1</v>
      </c>
      <c r="F237" s="5" t="inlineStr">
        <is>
          <t>S</t>
        </is>
      </c>
      <c r="G237" s="5">
        <f>IF(C237="카드",INDEX(비용표!$C$2:$C$7,MATCH(F237,비용표!$B$2:$B$7,0)),F237*INDEX(비용표!$C$8:$C$9,MATCH(C237,비용표!$B$8:$B$9,0)))</f>
        <v/>
      </c>
      <c r="H237" s="5">
        <f>G237*E237</f>
        <v/>
      </c>
      <c r="I237" s="10">
        <f>IF(A237=A236,I236&amp;" · ","")&amp;IF(C237="카드",D237&amp;E237,"["&amp;C237&amp;"] "&amp;D237)</f>
        <v/>
      </c>
    </row>
    <row r="238">
      <c r="A238" s="5" t="n">
        <v>67</v>
      </c>
      <c r="B238" s="5" t="n">
        <v>1</v>
      </c>
      <c r="C238" s="5" t="inlineStr">
        <is>
          <t>카드</t>
        </is>
      </c>
      <c r="D238" s="5" t="inlineStr">
        <is>
          <t>조식</t>
        </is>
      </c>
      <c r="E238" s="5" t="n">
        <v>1</v>
      </c>
      <c r="F238" s="5" t="inlineStr">
        <is>
          <t>B</t>
        </is>
      </c>
      <c r="G238" s="5">
        <f>IF(C238="카드",INDEX(비용표!$C$2:$C$7,MATCH(F238,비용표!$B$2:$B$7,0)),F238*INDEX(비용표!$C$8:$C$9,MATCH(C238,비용표!$B$8:$B$9,0)))</f>
        <v/>
      </c>
      <c r="H238" s="5">
        <f>G238*E238</f>
        <v/>
      </c>
      <c r="I238" s="10">
        <f>IF(A238=A237,I237&amp;" · ","")&amp;IF(C238="카드",D238&amp;E238,"["&amp;C238&amp;"] "&amp;D238)</f>
        <v/>
      </c>
    </row>
    <row r="239">
      <c r="A239" s="5" t="n">
        <v>67</v>
      </c>
      <c r="B239" s="5" t="n">
        <v>2</v>
      </c>
      <c r="C239" s="5" t="inlineStr">
        <is>
          <t>카드</t>
        </is>
      </c>
      <c r="D239" s="5" t="inlineStr">
        <is>
          <t>조비</t>
        </is>
      </c>
      <c r="E239" s="5" t="n">
        <v>1</v>
      </c>
      <c r="F239" s="5" t="inlineStr">
        <is>
          <t>C</t>
        </is>
      </c>
      <c r="G239" s="5">
        <f>IF(C239="카드",INDEX(비용표!$C$2:$C$7,MATCH(F239,비용표!$B$2:$B$7,0)),F239*INDEX(비용표!$C$8:$C$9,MATCH(C239,비용표!$B$8:$B$9,0)))</f>
        <v/>
      </c>
      <c r="H239" s="5">
        <f>G239*E239</f>
        <v/>
      </c>
      <c r="I239" s="10">
        <f>IF(A239=A238,I238&amp;" · ","")&amp;IF(C239="카드",D239&amp;E239,"["&amp;C239&amp;"] "&amp;D239)</f>
        <v/>
      </c>
    </row>
    <row r="240">
      <c r="A240" s="5" t="n">
        <v>67</v>
      </c>
      <c r="B240" s="5" t="n">
        <v>3</v>
      </c>
      <c r="C240" s="5" t="inlineStr">
        <is>
          <t>카드</t>
        </is>
      </c>
      <c r="D240" s="5" t="inlineStr">
        <is>
          <t>조조</t>
        </is>
      </c>
      <c r="E240" s="5" t="n">
        <v>1</v>
      </c>
      <c r="F240" s="5" t="inlineStr">
        <is>
          <t>S</t>
        </is>
      </c>
      <c r="G240" s="5">
        <f>IF(C240="카드",INDEX(비용표!$C$2:$C$7,MATCH(F240,비용표!$B$2:$B$7,0)),F240*INDEX(비용표!$C$8:$C$9,MATCH(C240,비용표!$B$8:$B$9,0)))</f>
        <v/>
      </c>
      <c r="H240" s="5">
        <f>G240*E240</f>
        <v/>
      </c>
      <c r="I240" s="10">
        <f>IF(A240=A239,I239&amp;" · ","")&amp;IF(C240="카드",D240&amp;E240,"["&amp;C240&amp;"] "&amp;D240)</f>
        <v/>
      </c>
    </row>
    <row r="241">
      <c r="A241" s="5" t="n">
        <v>68</v>
      </c>
      <c r="B241" s="5" t="n">
        <v>1</v>
      </c>
      <c r="C241" s="5" t="inlineStr">
        <is>
          <t>카드</t>
        </is>
      </c>
      <c r="D241" s="5" t="inlineStr">
        <is>
          <t>마초</t>
        </is>
      </c>
      <c r="E241" s="5" t="n">
        <v>1</v>
      </c>
      <c r="F241" s="5" t="inlineStr">
        <is>
          <t>S</t>
        </is>
      </c>
      <c r="G241" s="5">
        <f>IF(C241="카드",INDEX(비용표!$C$2:$C$7,MATCH(F241,비용표!$B$2:$B$7,0)),F241*INDEX(비용표!$C$8:$C$9,MATCH(C241,비용표!$B$8:$B$9,0)))</f>
        <v/>
      </c>
      <c r="H241" s="5">
        <f>G241*E241</f>
        <v/>
      </c>
      <c r="I241" s="10">
        <f>IF(A241=A240,I240&amp;" · ","")&amp;IF(C241="카드",D241&amp;E241,"["&amp;C241&amp;"] "&amp;D241)</f>
        <v/>
      </c>
    </row>
    <row r="242">
      <c r="A242" s="5" t="n">
        <v>68</v>
      </c>
      <c r="B242" s="5" t="n">
        <v>2</v>
      </c>
      <c r="C242" s="5" t="inlineStr">
        <is>
          <t>카드</t>
        </is>
      </c>
      <c r="D242" s="5" t="inlineStr">
        <is>
          <t>마대</t>
        </is>
      </c>
      <c r="E242" s="5" t="n">
        <v>1</v>
      </c>
      <c r="F242" s="5" t="inlineStr">
        <is>
          <t>B</t>
        </is>
      </c>
      <c r="G242" s="5">
        <f>IF(C242="카드",INDEX(비용표!$C$2:$C$7,MATCH(F242,비용표!$B$2:$B$7,0)),F242*INDEX(비용표!$C$8:$C$9,MATCH(C242,비용표!$B$8:$B$9,0)))</f>
        <v/>
      </c>
      <c r="H242" s="5">
        <f>G242*E242</f>
        <v/>
      </c>
      <c r="I242" s="10">
        <f>IF(A242=A241,I241&amp;" · ","")&amp;IF(C242="카드",D242&amp;E242,"["&amp;C242&amp;"] "&amp;D242)</f>
        <v/>
      </c>
    </row>
    <row r="243">
      <c r="A243" s="5" t="n">
        <v>68</v>
      </c>
      <c r="B243" s="5" t="n">
        <v>3</v>
      </c>
      <c r="C243" s="5" t="inlineStr">
        <is>
          <t>카드</t>
        </is>
      </c>
      <c r="D243" s="5" t="inlineStr">
        <is>
          <t>방덕</t>
        </is>
      </c>
      <c r="E243" s="5" t="n">
        <v>1</v>
      </c>
      <c r="F243" s="5" t="inlineStr">
        <is>
          <t>S</t>
        </is>
      </c>
      <c r="G243" s="5">
        <f>IF(C243="카드",INDEX(비용표!$C$2:$C$7,MATCH(F243,비용표!$B$2:$B$7,0)),F243*INDEX(비용표!$C$8:$C$9,MATCH(C243,비용표!$B$8:$B$9,0)))</f>
        <v/>
      </c>
      <c r="H243" s="5">
        <f>G243*E243</f>
        <v/>
      </c>
      <c r="I243" s="10">
        <f>IF(A243=A242,I242&amp;" · ","")&amp;IF(C243="카드",D243&amp;E243,"["&amp;C243&amp;"] "&amp;D243)</f>
        <v/>
      </c>
    </row>
    <row r="244">
      <c r="A244" s="5" t="n">
        <v>68</v>
      </c>
      <c r="B244" s="5" t="n">
        <v>4</v>
      </c>
      <c r="C244" s="5" t="inlineStr">
        <is>
          <t>카드</t>
        </is>
      </c>
      <c r="D244" s="5" t="inlineStr">
        <is>
          <t>조조</t>
        </is>
      </c>
      <c r="E244" s="5" t="n">
        <v>1</v>
      </c>
      <c r="F244" s="5" t="inlineStr">
        <is>
          <t>S</t>
        </is>
      </c>
      <c r="G244" s="5">
        <f>IF(C244="카드",INDEX(비용표!$C$2:$C$7,MATCH(F244,비용표!$B$2:$B$7,0)),F244*INDEX(비용표!$C$8:$C$9,MATCH(C244,비용표!$B$8:$B$9,0)))</f>
        <v/>
      </c>
      <c r="H244" s="5">
        <f>G244*E244</f>
        <v/>
      </c>
      <c r="I244" s="10">
        <f>IF(A244=A243,I243&amp;" · ","")&amp;IF(C244="카드",D244&amp;E244,"["&amp;C244&amp;"] "&amp;D244)</f>
        <v/>
      </c>
    </row>
    <row r="245">
      <c r="A245" s="5" t="n">
        <v>68</v>
      </c>
      <c r="B245" s="5" t="n">
        <v>5</v>
      </c>
      <c r="C245" s="5" t="inlineStr">
        <is>
          <t>카드</t>
        </is>
      </c>
      <c r="D245" s="5" t="inlineStr">
        <is>
          <t>허저</t>
        </is>
      </c>
      <c r="E245" s="5" t="n">
        <v>1</v>
      </c>
      <c r="F245" s="5" t="inlineStr">
        <is>
          <t>S</t>
        </is>
      </c>
      <c r="G245" s="5">
        <f>IF(C245="카드",INDEX(비용표!$C$2:$C$7,MATCH(F245,비용표!$B$2:$B$7,0)),F245*INDEX(비용표!$C$8:$C$9,MATCH(C245,비용표!$B$8:$B$9,0)))</f>
        <v/>
      </c>
      <c r="H245" s="5">
        <f>G245*E245</f>
        <v/>
      </c>
      <c r="I245" s="10">
        <f>IF(A245=A244,I244&amp;" · ","")&amp;IF(C245="카드",D245&amp;E245,"["&amp;C245&amp;"] "&amp;D245)</f>
        <v/>
      </c>
    </row>
    <row r="246">
      <c r="A246" s="5" t="n">
        <v>69</v>
      </c>
      <c r="B246" s="5" t="n">
        <v>1</v>
      </c>
      <c r="C246" s="5" t="inlineStr">
        <is>
          <t>카드</t>
        </is>
      </c>
      <c r="D246" s="5" t="inlineStr">
        <is>
          <t>장송</t>
        </is>
      </c>
      <c r="E246" s="5" t="n">
        <v>1</v>
      </c>
      <c r="F246" s="5" t="inlineStr">
        <is>
          <t>B</t>
        </is>
      </c>
      <c r="G246" s="5">
        <f>IF(C246="카드",INDEX(비용표!$C$2:$C$7,MATCH(F246,비용표!$B$2:$B$7,0)),F246*INDEX(비용표!$C$8:$C$9,MATCH(C246,비용표!$B$8:$B$9,0)))</f>
        <v/>
      </c>
      <c r="H246" s="5">
        <f>G246*E246</f>
        <v/>
      </c>
      <c r="I246" s="10">
        <f>IF(A246=A245,I245&amp;" · ","")&amp;IF(C246="카드",D246&amp;E246,"["&amp;C246&amp;"] "&amp;D246)</f>
        <v/>
      </c>
    </row>
    <row r="247">
      <c r="A247" s="5" t="n">
        <v>69</v>
      </c>
      <c r="B247" s="5" t="n">
        <v>2</v>
      </c>
      <c r="C247" s="5" t="inlineStr">
        <is>
          <t>카드</t>
        </is>
      </c>
      <c r="D247" s="5" t="inlineStr">
        <is>
          <t>법정</t>
        </is>
      </c>
      <c r="E247" s="5" t="n">
        <v>1</v>
      </c>
      <c r="F247" s="5" t="inlineStr">
        <is>
          <t>A</t>
        </is>
      </c>
      <c r="G247" s="5">
        <f>IF(C247="카드",INDEX(비용표!$C$2:$C$7,MATCH(F247,비용표!$B$2:$B$7,0)),F247*INDEX(비용표!$C$8:$C$9,MATCH(C247,비용표!$B$8:$B$9,0)))</f>
        <v/>
      </c>
      <c r="H247" s="5">
        <f>G247*E247</f>
        <v/>
      </c>
      <c r="I247" s="10">
        <f>IF(A247=A246,I246&amp;" · ","")&amp;IF(C247="카드",D247&amp;E247,"["&amp;C247&amp;"] "&amp;D247)</f>
        <v/>
      </c>
    </row>
    <row r="248">
      <c r="A248" s="5" t="n">
        <v>69</v>
      </c>
      <c r="B248" s="5" t="n">
        <v>3</v>
      </c>
      <c r="C248" s="5" t="inlineStr">
        <is>
          <t>카드</t>
        </is>
      </c>
      <c r="D248" s="5" t="inlineStr">
        <is>
          <t>맹달</t>
        </is>
      </c>
      <c r="E248" s="5" t="n">
        <v>1</v>
      </c>
      <c r="F248" s="5" t="inlineStr">
        <is>
          <t>A</t>
        </is>
      </c>
      <c r="G248" s="5">
        <f>IF(C248="카드",INDEX(비용표!$C$2:$C$7,MATCH(F248,비용표!$B$2:$B$7,0)),F248*INDEX(비용표!$C$8:$C$9,MATCH(C248,비용표!$B$8:$B$9,0)))</f>
        <v/>
      </c>
      <c r="H248" s="5">
        <f>G248*E248</f>
        <v/>
      </c>
      <c r="I248" s="10">
        <f>IF(A248=A247,I247&amp;" · ","")&amp;IF(C248="카드",D248&amp;E248,"["&amp;C248&amp;"] "&amp;D248)</f>
        <v/>
      </c>
    </row>
    <row r="249">
      <c r="A249" s="5" t="n">
        <v>69</v>
      </c>
      <c r="B249" s="5" t="n">
        <v>4</v>
      </c>
      <c r="C249" s="5" t="inlineStr">
        <is>
          <t>카드</t>
        </is>
      </c>
      <c r="D249" s="5" t="inlineStr">
        <is>
          <t>유장</t>
        </is>
      </c>
      <c r="E249" s="5" t="n">
        <v>1</v>
      </c>
      <c r="F249" s="5" t="inlineStr">
        <is>
          <t>C</t>
        </is>
      </c>
      <c r="G249" s="5">
        <f>IF(C249="카드",INDEX(비용표!$C$2:$C$7,MATCH(F249,비용표!$B$2:$B$7,0)),F249*INDEX(비용표!$C$8:$C$9,MATCH(C249,비용표!$B$8:$B$9,0)))</f>
        <v/>
      </c>
      <c r="H249" s="5">
        <f>G249*E249</f>
        <v/>
      </c>
      <c r="I249" s="10">
        <f>IF(A249=A248,I248&amp;" · ","")&amp;IF(C249="카드",D249&amp;E249,"["&amp;C249&amp;"] "&amp;D249)</f>
        <v/>
      </c>
    </row>
    <row r="250">
      <c r="A250" s="5" t="n">
        <v>70</v>
      </c>
      <c r="B250" s="5" t="n">
        <v>1</v>
      </c>
      <c r="C250" s="5" t="inlineStr">
        <is>
          <t>카드</t>
        </is>
      </c>
      <c r="D250" s="5" t="inlineStr">
        <is>
          <t>방통</t>
        </is>
      </c>
      <c r="E250" s="5" t="n">
        <v>1</v>
      </c>
      <c r="F250" s="5" t="inlineStr">
        <is>
          <t>S</t>
        </is>
      </c>
      <c r="G250" s="5">
        <f>IF(C250="카드",INDEX(비용표!$C$2:$C$7,MATCH(F250,비용표!$B$2:$B$7,0)),F250*INDEX(비용표!$C$8:$C$9,MATCH(C250,비용표!$B$8:$B$9,0)))</f>
        <v/>
      </c>
      <c r="H250" s="5">
        <f>G250*E250</f>
        <v/>
      </c>
      <c r="I250" s="10">
        <f>IF(A250=A249,I249&amp;" · ","")&amp;IF(C250="카드",D250&amp;E250,"["&amp;C250&amp;"] "&amp;D250)</f>
        <v/>
      </c>
    </row>
    <row r="251">
      <c r="A251" s="5" t="n">
        <v>70</v>
      </c>
      <c r="B251" s="5" t="n">
        <v>2</v>
      </c>
      <c r="C251" s="5" t="inlineStr">
        <is>
          <t>카드</t>
        </is>
      </c>
      <c r="D251" s="5" t="inlineStr">
        <is>
          <t>장임</t>
        </is>
      </c>
      <c r="E251" s="5" t="n">
        <v>1</v>
      </c>
      <c r="F251" s="5" t="inlineStr">
        <is>
          <t>A</t>
        </is>
      </c>
      <c r="G251" s="5">
        <f>IF(C251="카드",INDEX(비용표!$C$2:$C$7,MATCH(F251,비용표!$B$2:$B$7,0)),F251*INDEX(비용표!$C$8:$C$9,MATCH(C251,비용표!$B$8:$B$9,0)))</f>
        <v/>
      </c>
      <c r="H251" s="5">
        <f>G251*E251</f>
        <v/>
      </c>
      <c r="I251" s="10">
        <f>IF(A251=A250,I250&amp;" · ","")&amp;IF(C251="카드",D251&amp;E251,"["&amp;C251&amp;"] "&amp;D251)</f>
        <v/>
      </c>
    </row>
    <row r="252">
      <c r="A252" s="5" t="n">
        <v>70</v>
      </c>
      <c r="B252" s="5" t="n">
        <v>3</v>
      </c>
      <c r="C252" s="5" t="inlineStr">
        <is>
          <t>아이템</t>
        </is>
      </c>
      <c r="D252" s="5" t="inlineStr">
        <is>
          <t>적로</t>
        </is>
      </c>
      <c r="E252" s="5" t="n">
        <v>1</v>
      </c>
      <c r="F252" s="5" t="n">
        <v>3</v>
      </c>
      <c r="G252" s="5">
        <f>IF(C252="카드",INDEX(비용표!$C$2:$C$7,MATCH(F252,비용표!$B$2:$B$7,0)),F252*INDEX(비용표!$C$8:$C$9,MATCH(C252,비용표!$B$8:$B$9,0)))</f>
        <v/>
      </c>
      <c r="H252" s="5">
        <f>G252*E252</f>
        <v/>
      </c>
      <c r="I252" s="10">
        <f>IF(A252=A251,I251&amp;" · ","")&amp;IF(C252="카드",D252&amp;E252,"["&amp;C252&amp;"] "&amp;D252)</f>
        <v/>
      </c>
    </row>
    <row r="253">
      <c r="A253" s="5" t="n">
        <v>71</v>
      </c>
      <c r="B253" s="5" t="n">
        <v>1</v>
      </c>
      <c r="C253" s="5" t="inlineStr">
        <is>
          <t>카드</t>
        </is>
      </c>
      <c r="D253" s="5" t="inlineStr">
        <is>
          <t>엄안</t>
        </is>
      </c>
      <c r="E253" s="5" t="n">
        <v>1</v>
      </c>
      <c r="F253" s="5" t="inlineStr">
        <is>
          <t>A</t>
        </is>
      </c>
      <c r="G253" s="5">
        <f>IF(C253="카드",INDEX(비용표!$C$2:$C$7,MATCH(F253,비용표!$B$2:$B$7,0)),F253*INDEX(비용표!$C$8:$C$9,MATCH(C253,비용표!$B$8:$B$9,0)))</f>
        <v/>
      </c>
      <c r="H253" s="5">
        <f>G253*E253</f>
        <v/>
      </c>
      <c r="I253" s="10">
        <f>IF(A253=A252,I252&amp;" · ","")&amp;IF(C253="카드",D253&amp;E253,"["&amp;C253&amp;"] "&amp;D253)</f>
        <v/>
      </c>
    </row>
    <row r="254">
      <c r="A254" s="5" t="n">
        <v>71</v>
      </c>
      <c r="B254" s="5" t="n">
        <v>2</v>
      </c>
      <c r="C254" s="5" t="inlineStr">
        <is>
          <t>카드</t>
        </is>
      </c>
      <c r="D254" s="5" t="inlineStr">
        <is>
          <t>장비</t>
        </is>
      </c>
      <c r="E254" s="5" t="n">
        <v>1</v>
      </c>
      <c r="F254" s="5" t="inlineStr">
        <is>
          <t>S</t>
        </is>
      </c>
      <c r="G254" s="5">
        <f>IF(C254="카드",INDEX(비용표!$C$2:$C$7,MATCH(F254,비용표!$B$2:$B$7,0)),F254*INDEX(비용표!$C$8:$C$9,MATCH(C254,비용표!$B$8:$B$9,0)))</f>
        <v/>
      </c>
      <c r="H254" s="5">
        <f>G254*E254</f>
        <v/>
      </c>
      <c r="I254" s="10">
        <f>IF(A254=A253,I253&amp;" · ","")&amp;IF(C254="카드",D254&amp;E254,"["&amp;C254&amp;"] "&amp;D254)</f>
        <v/>
      </c>
    </row>
    <row r="255">
      <c r="A255" s="5" t="n">
        <v>72</v>
      </c>
      <c r="B255" s="5" t="n">
        <v>1</v>
      </c>
      <c r="C255" s="5" t="inlineStr">
        <is>
          <t>카드</t>
        </is>
      </c>
      <c r="D255" s="5" t="inlineStr">
        <is>
          <t>장비</t>
        </is>
      </c>
      <c r="E255" s="5" t="n">
        <v>1</v>
      </c>
      <c r="F255" s="5" t="inlineStr">
        <is>
          <t>S</t>
        </is>
      </c>
      <c r="G255" s="5">
        <f>IF(C255="카드",INDEX(비용표!$C$2:$C$7,MATCH(F255,비용표!$B$2:$B$7,0)),F255*INDEX(비용표!$C$8:$C$9,MATCH(C255,비용표!$B$8:$B$9,0)))</f>
        <v/>
      </c>
      <c r="H255" s="5">
        <f>G255*E255</f>
        <v/>
      </c>
      <c r="I255" s="10">
        <f>IF(A255=A254,I254&amp;" · ","")&amp;IF(C255="카드",D255&amp;E255,"["&amp;C255&amp;"] "&amp;D255)</f>
        <v/>
      </c>
    </row>
    <row r="256">
      <c r="A256" s="5" t="n">
        <v>72</v>
      </c>
      <c r="B256" s="5" t="n">
        <v>2</v>
      </c>
      <c r="C256" s="5" t="inlineStr">
        <is>
          <t>카드</t>
        </is>
      </c>
      <c r="D256" s="5" t="inlineStr">
        <is>
          <t>마초</t>
        </is>
      </c>
      <c r="E256" s="5" t="n">
        <v>1</v>
      </c>
      <c r="F256" s="5" t="inlineStr">
        <is>
          <t>S</t>
        </is>
      </c>
      <c r="G256" s="5">
        <f>IF(C256="카드",INDEX(비용표!$C$2:$C$7,MATCH(F256,비용표!$B$2:$B$7,0)),F256*INDEX(비용표!$C$8:$C$9,MATCH(C256,비용표!$B$8:$B$9,0)))</f>
        <v/>
      </c>
      <c r="H256" s="5">
        <f>G256*E256</f>
        <v/>
      </c>
      <c r="I256" s="10">
        <f>IF(A256=A255,I255&amp;" · ","")&amp;IF(C256="카드",D256&amp;E256,"["&amp;C256&amp;"] "&amp;D256)</f>
        <v/>
      </c>
    </row>
    <row r="257">
      <c r="A257" s="5" t="n">
        <v>73</v>
      </c>
      <c r="B257" s="5" t="n">
        <v>1</v>
      </c>
      <c r="C257" s="5" t="inlineStr">
        <is>
          <t>카드</t>
        </is>
      </c>
      <c r="D257" s="5" t="inlineStr">
        <is>
          <t>유장</t>
        </is>
      </c>
      <c r="E257" s="5" t="n">
        <v>1</v>
      </c>
      <c r="F257" s="5" t="inlineStr">
        <is>
          <t>C</t>
        </is>
      </c>
      <c r="G257" s="5">
        <f>IF(C257="카드",INDEX(비용표!$C$2:$C$7,MATCH(F257,비용표!$B$2:$B$7,0)),F257*INDEX(비용표!$C$8:$C$9,MATCH(C257,비용표!$B$8:$B$9,0)))</f>
        <v/>
      </c>
      <c r="H257" s="5">
        <f>G257*E257</f>
        <v/>
      </c>
      <c r="I257" s="10">
        <f>IF(A257=A256,I256&amp;" · ","")&amp;IF(C257="카드",D257&amp;E257,"["&amp;C257&amp;"] "&amp;D257)</f>
        <v/>
      </c>
    </row>
    <row r="258">
      <c r="A258" s="5" t="n">
        <v>73</v>
      </c>
      <c r="B258" s="5" t="n">
        <v>2</v>
      </c>
      <c r="C258" s="5" t="inlineStr">
        <is>
          <t>카드</t>
        </is>
      </c>
      <c r="D258" s="5" t="inlineStr">
        <is>
          <t>황권</t>
        </is>
      </c>
      <c r="E258" s="5" t="n">
        <v>1</v>
      </c>
      <c r="F258" s="5" t="inlineStr">
        <is>
          <t>B</t>
        </is>
      </c>
      <c r="G258" s="5">
        <f>IF(C258="카드",INDEX(비용표!$C$2:$C$7,MATCH(F258,비용표!$B$2:$B$7,0)),F258*INDEX(비용표!$C$8:$C$9,MATCH(C258,비용표!$B$8:$B$9,0)))</f>
        <v/>
      </c>
      <c r="H258" s="5">
        <f>G258*E258</f>
        <v/>
      </c>
      <c r="I258" s="10">
        <f>IF(A258=A257,I257&amp;" · ","")&amp;IF(C258="카드",D258&amp;E258,"["&amp;C258&amp;"] "&amp;D258)</f>
        <v/>
      </c>
    </row>
    <row r="259">
      <c r="A259" s="5" t="n">
        <v>73</v>
      </c>
      <c r="B259" s="5" t="n">
        <v>3</v>
      </c>
      <c r="C259" s="5" t="inlineStr">
        <is>
          <t>카드</t>
        </is>
      </c>
      <c r="D259" s="5" t="inlineStr">
        <is>
          <t>왕루</t>
        </is>
      </c>
      <c r="E259" s="5" t="n">
        <v>1</v>
      </c>
      <c r="F259" s="5" t="inlineStr">
        <is>
          <t>B</t>
        </is>
      </c>
      <c r="G259" s="5">
        <f>IF(C259="카드",INDEX(비용표!$C$2:$C$7,MATCH(F259,비용표!$B$2:$B$7,0)),F259*INDEX(비용표!$C$8:$C$9,MATCH(C259,비용표!$B$8:$B$9,0)))</f>
        <v/>
      </c>
      <c r="H259" s="5">
        <f>G259*E259</f>
        <v/>
      </c>
      <c r="I259" s="10">
        <f>IF(A259=A258,I258&amp;" · ","")&amp;IF(C259="카드",D259&amp;E259,"["&amp;C259&amp;"] "&amp;D259)</f>
        <v/>
      </c>
    </row>
    <row r="260">
      <c r="A260" s="5" t="n">
        <v>73</v>
      </c>
      <c r="B260" s="5" t="n">
        <v>4</v>
      </c>
      <c r="C260" s="5" t="inlineStr">
        <is>
          <t>카드</t>
        </is>
      </c>
      <c r="D260" s="5" t="inlineStr">
        <is>
          <t>장임</t>
        </is>
      </c>
      <c r="E260" s="5" t="n">
        <v>1</v>
      </c>
      <c r="F260" s="5" t="inlineStr">
        <is>
          <t>A</t>
        </is>
      </c>
      <c r="G260" s="5">
        <f>IF(C260="카드",INDEX(비용표!$C$2:$C$7,MATCH(F260,비용표!$B$2:$B$7,0)),F260*INDEX(비용표!$C$8:$C$9,MATCH(C260,비용표!$B$8:$B$9,0)))</f>
        <v/>
      </c>
      <c r="H260" s="5">
        <f>G260*E260</f>
        <v/>
      </c>
      <c r="I260" s="10">
        <f>IF(A260=A259,I259&amp;" · ","")&amp;IF(C260="카드",D260&amp;E260,"["&amp;C260&amp;"] "&amp;D260)</f>
        <v/>
      </c>
    </row>
    <row r="261">
      <c r="A261" s="5" t="n">
        <v>73</v>
      </c>
      <c r="B261" s="5" t="n">
        <v>5</v>
      </c>
      <c r="C261" s="5" t="inlineStr">
        <is>
          <t>카드</t>
        </is>
      </c>
      <c r="D261" s="5" t="inlineStr">
        <is>
          <t>엄안</t>
        </is>
      </c>
      <c r="E261" s="5" t="n">
        <v>1</v>
      </c>
      <c r="F261" s="5" t="inlineStr">
        <is>
          <t>A</t>
        </is>
      </c>
      <c r="G261" s="5">
        <f>IF(C261="카드",INDEX(비용표!$C$2:$C$7,MATCH(F261,비용표!$B$2:$B$7,0)),F261*INDEX(비용표!$C$8:$C$9,MATCH(C261,비용표!$B$8:$B$9,0)))</f>
        <v/>
      </c>
      <c r="H261" s="5">
        <f>G261*E261</f>
        <v/>
      </c>
      <c r="I261" s="10">
        <f>IF(A261=A260,I260&amp;" · ","")&amp;IF(C261="카드",D261&amp;E261,"["&amp;C261&amp;"] "&amp;D261)</f>
        <v/>
      </c>
    </row>
    <row r="262">
      <c r="A262" s="5" t="n">
        <v>74</v>
      </c>
      <c r="B262" s="5" t="n">
        <v>1</v>
      </c>
      <c r="C262" s="5" t="inlineStr">
        <is>
          <t>카드</t>
        </is>
      </c>
      <c r="D262" s="5" t="inlineStr">
        <is>
          <t>관우</t>
        </is>
      </c>
      <c r="E262" s="5" t="n">
        <v>1</v>
      </c>
      <c r="F262" s="5" t="inlineStr">
        <is>
          <t>S</t>
        </is>
      </c>
      <c r="G262" s="5">
        <f>IF(C262="카드",INDEX(비용표!$C$2:$C$7,MATCH(F262,비용표!$B$2:$B$7,0)),F262*INDEX(비용표!$C$8:$C$9,MATCH(C262,비용표!$B$8:$B$9,0)))</f>
        <v/>
      </c>
      <c r="H262" s="5">
        <f>G262*E262</f>
        <v/>
      </c>
      <c r="I262" s="10">
        <f>IF(A262=A261,I261&amp;" · ","")&amp;IF(C262="카드",D262&amp;E262,"["&amp;C262&amp;"] "&amp;D262)</f>
        <v/>
      </c>
    </row>
    <row r="263">
      <c r="A263" s="5" t="n">
        <v>74</v>
      </c>
      <c r="B263" s="5" t="n">
        <v>2</v>
      </c>
      <c r="C263" s="5" t="inlineStr">
        <is>
          <t>카드</t>
        </is>
      </c>
      <c r="D263" s="5" t="inlineStr">
        <is>
          <t>노숙</t>
        </is>
      </c>
      <c r="E263" s="5" t="n">
        <v>1</v>
      </c>
      <c r="F263" s="5" t="inlineStr">
        <is>
          <t>S</t>
        </is>
      </c>
      <c r="G263" s="5">
        <f>IF(C263="카드",INDEX(비용표!$C$2:$C$7,MATCH(F263,비용표!$B$2:$B$7,0)),F263*INDEX(비용표!$C$8:$C$9,MATCH(C263,비용표!$B$8:$B$9,0)))</f>
        <v/>
      </c>
      <c r="H263" s="5">
        <f>G263*E263</f>
        <v/>
      </c>
      <c r="I263" s="10">
        <f>IF(A263=A262,I262&amp;" · ","")&amp;IF(C263="카드",D263&amp;E263,"["&amp;C263&amp;"] "&amp;D263)</f>
        <v/>
      </c>
    </row>
    <row r="264">
      <c r="A264" s="5" t="n">
        <v>74</v>
      </c>
      <c r="B264" s="5" t="n">
        <v>3</v>
      </c>
      <c r="C264" s="5" t="inlineStr">
        <is>
          <t>카드</t>
        </is>
      </c>
      <c r="D264" s="5" t="inlineStr">
        <is>
          <t>주창</t>
        </is>
      </c>
      <c r="E264" s="5" t="n">
        <v>1</v>
      </c>
      <c r="F264" s="5" t="inlineStr">
        <is>
          <t>A</t>
        </is>
      </c>
      <c r="G264" s="5">
        <f>IF(C264="카드",INDEX(비용표!$C$2:$C$7,MATCH(F264,비용표!$B$2:$B$7,0)),F264*INDEX(비용표!$C$8:$C$9,MATCH(C264,비용표!$B$8:$B$9,0)))</f>
        <v/>
      </c>
      <c r="H264" s="5">
        <f>G264*E264</f>
        <v/>
      </c>
      <c r="I264" s="10">
        <f>IF(A264=A263,I263&amp;" · ","")&amp;IF(C264="카드",D264&amp;E264,"["&amp;C264&amp;"] "&amp;D264)</f>
        <v/>
      </c>
    </row>
    <row r="265">
      <c r="A265" s="5" t="n">
        <v>75</v>
      </c>
      <c r="B265" s="5" t="n">
        <v>1</v>
      </c>
      <c r="C265" s="5" t="inlineStr">
        <is>
          <t>카드</t>
        </is>
      </c>
      <c r="D265" s="5" t="inlineStr">
        <is>
          <t>손권</t>
        </is>
      </c>
      <c r="E265" s="5" t="n">
        <v>1</v>
      </c>
      <c r="F265" s="5" t="inlineStr">
        <is>
          <t>S</t>
        </is>
      </c>
      <c r="G265" s="5">
        <f>IF(C265="카드",INDEX(비용표!$C$2:$C$7,MATCH(F265,비용표!$B$2:$B$7,0)),F265*INDEX(비용표!$C$8:$C$9,MATCH(C265,비용표!$B$8:$B$9,0)))</f>
        <v/>
      </c>
      <c r="H265" s="5">
        <f>G265*E265</f>
        <v/>
      </c>
      <c r="I265" s="10">
        <f>IF(A265=A264,I264&amp;" · ","")&amp;IF(C265="카드",D265&amp;E265,"["&amp;C265&amp;"] "&amp;D265)</f>
        <v/>
      </c>
    </row>
    <row r="266">
      <c r="A266" s="5" t="n">
        <v>75</v>
      </c>
      <c r="B266" s="5" t="n">
        <v>2</v>
      </c>
      <c r="C266" s="5" t="inlineStr">
        <is>
          <t>카드</t>
        </is>
      </c>
      <c r="D266" s="5" t="inlineStr">
        <is>
          <t>조조</t>
        </is>
      </c>
      <c r="E266" s="5" t="n">
        <v>1</v>
      </c>
      <c r="F266" s="5" t="inlineStr">
        <is>
          <t>S</t>
        </is>
      </c>
      <c r="G266" s="5">
        <f>IF(C266="카드",INDEX(비용표!$C$2:$C$7,MATCH(F266,비용표!$B$2:$B$7,0)),F266*INDEX(비용표!$C$8:$C$9,MATCH(C266,비용표!$B$8:$B$9,0)))</f>
        <v/>
      </c>
      <c r="H266" s="5">
        <f>G266*E266</f>
        <v/>
      </c>
      <c r="I266" s="10">
        <f>IF(A266=A265,I265&amp;" · ","")&amp;IF(C266="카드",D266&amp;E266,"["&amp;C266&amp;"] "&amp;D266)</f>
        <v/>
      </c>
    </row>
    <row r="267">
      <c r="A267" s="5" t="n">
        <v>75</v>
      </c>
      <c r="B267" s="5" t="n">
        <v>3</v>
      </c>
      <c r="C267" s="5" t="inlineStr">
        <is>
          <t>카드</t>
        </is>
      </c>
      <c r="D267" s="5" t="inlineStr">
        <is>
          <t>감녕</t>
        </is>
      </c>
      <c r="E267" s="5" t="n">
        <v>1</v>
      </c>
      <c r="F267" s="5" t="inlineStr">
        <is>
          <t>S</t>
        </is>
      </c>
      <c r="G267" s="5">
        <f>IF(C267="카드",INDEX(비용표!$C$2:$C$7,MATCH(F267,비용표!$B$2:$B$7,0)),F267*INDEX(비용표!$C$8:$C$9,MATCH(C267,비용표!$B$8:$B$9,0)))</f>
        <v/>
      </c>
      <c r="H267" s="5">
        <f>G267*E267</f>
        <v/>
      </c>
      <c r="I267" s="10">
        <f>IF(A267=A266,I266&amp;" · ","")&amp;IF(C267="카드",D267&amp;E267,"["&amp;C267&amp;"] "&amp;D267)</f>
        <v/>
      </c>
    </row>
    <row r="268">
      <c r="A268" s="5" t="n">
        <v>76</v>
      </c>
      <c r="B268" s="5" t="n">
        <v>1</v>
      </c>
      <c r="C268" s="5" t="inlineStr">
        <is>
          <t>카드</t>
        </is>
      </c>
      <c r="D268" s="5" t="inlineStr">
        <is>
          <t>순욱</t>
        </is>
      </c>
      <c r="E268" s="5" t="n">
        <v>1</v>
      </c>
      <c r="F268" s="5" t="inlineStr">
        <is>
          <t>S</t>
        </is>
      </c>
      <c r="G268" s="5">
        <f>IF(C268="카드",INDEX(비용표!$C$2:$C$7,MATCH(F268,비용표!$B$2:$B$7,0)),F268*INDEX(비용표!$C$8:$C$9,MATCH(C268,비용표!$B$8:$B$9,0)))</f>
        <v/>
      </c>
      <c r="H268" s="5">
        <f>G268*E268</f>
        <v/>
      </c>
      <c r="I268" s="10">
        <f>IF(A268=A267,I267&amp;" · ","")&amp;IF(C268="카드",D268&amp;E268,"["&amp;C268&amp;"] "&amp;D268)</f>
        <v/>
      </c>
    </row>
    <row r="269">
      <c r="A269" s="5" t="n">
        <v>76</v>
      </c>
      <c r="B269" s="5" t="n">
        <v>2</v>
      </c>
      <c r="C269" s="5" t="inlineStr">
        <is>
          <t>카드</t>
        </is>
      </c>
      <c r="D269" s="5" t="inlineStr">
        <is>
          <t>조조</t>
        </is>
      </c>
      <c r="E269" s="5" t="n">
        <v>1</v>
      </c>
      <c r="F269" s="5" t="inlineStr">
        <is>
          <t>S</t>
        </is>
      </c>
      <c r="G269" s="5">
        <f>IF(C269="카드",INDEX(비용표!$C$2:$C$7,MATCH(F269,비용표!$B$2:$B$7,0)),F269*INDEX(비용표!$C$8:$C$9,MATCH(C269,비용표!$B$8:$B$9,0)))</f>
        <v/>
      </c>
      <c r="H269" s="5">
        <f>G269*E269</f>
        <v/>
      </c>
      <c r="I269" s="10">
        <f>IF(A269=A268,I268&amp;" · ","")&amp;IF(C269="카드",D269&amp;E269,"["&amp;C269&amp;"] "&amp;D269)</f>
        <v/>
      </c>
    </row>
    <row r="270">
      <c r="A270" s="5" t="n">
        <v>77</v>
      </c>
      <c r="B270" s="5" t="n">
        <v>1</v>
      </c>
      <c r="C270" s="5" t="inlineStr">
        <is>
          <t>카드</t>
        </is>
      </c>
      <c r="D270" s="5" t="inlineStr">
        <is>
          <t>감녕</t>
        </is>
      </c>
      <c r="E270" s="5" t="n">
        <v>1</v>
      </c>
      <c r="F270" s="5" t="inlineStr">
        <is>
          <t>S</t>
        </is>
      </c>
      <c r="G270" s="5">
        <f>IF(C270="카드",INDEX(비용표!$C$2:$C$7,MATCH(F270,비용표!$B$2:$B$7,0)),F270*INDEX(비용표!$C$8:$C$9,MATCH(C270,비용표!$B$8:$B$9,0)))</f>
        <v/>
      </c>
      <c r="H270" s="5">
        <f>G270*E270</f>
        <v/>
      </c>
      <c r="I270" s="10">
        <f>IF(A270=A269,I269&amp;" · ","")&amp;IF(C270="카드",D270&amp;E270,"["&amp;C270&amp;"] "&amp;D270)</f>
        <v/>
      </c>
    </row>
    <row r="271">
      <c r="A271" s="5" t="n">
        <v>77</v>
      </c>
      <c r="B271" s="5" t="n">
        <v>2</v>
      </c>
      <c r="C271" s="5" t="inlineStr">
        <is>
          <t>카드</t>
        </is>
      </c>
      <c r="D271" s="5" t="inlineStr">
        <is>
          <t>조조</t>
        </is>
      </c>
      <c r="E271" s="5" t="n">
        <v>1</v>
      </c>
      <c r="F271" s="5" t="inlineStr">
        <is>
          <t>S</t>
        </is>
      </c>
      <c r="G271" s="5">
        <f>IF(C271="카드",INDEX(비용표!$C$2:$C$7,MATCH(F271,비용표!$B$2:$B$7,0)),F271*INDEX(비용표!$C$8:$C$9,MATCH(C271,비용표!$B$8:$B$9,0)))</f>
        <v/>
      </c>
      <c r="H271" s="5">
        <f>G271*E271</f>
        <v/>
      </c>
      <c r="I271" s="10">
        <f>IF(A271=A270,I270&amp;" · ","")&amp;IF(C271="카드",D271&amp;E271,"["&amp;C271&amp;"] "&amp;D271)</f>
        <v/>
      </c>
    </row>
    <row r="272">
      <c r="A272" s="5" t="n">
        <v>77</v>
      </c>
      <c r="B272" s="5" t="n">
        <v>3</v>
      </c>
      <c r="C272" s="5" t="inlineStr">
        <is>
          <t>카드</t>
        </is>
      </c>
      <c r="D272" s="5" t="inlineStr">
        <is>
          <t>능통</t>
        </is>
      </c>
      <c r="E272" s="5" t="n">
        <v>1</v>
      </c>
      <c r="F272" s="5" t="inlineStr">
        <is>
          <t>A</t>
        </is>
      </c>
      <c r="G272" s="5">
        <f>IF(C272="카드",INDEX(비용표!$C$2:$C$7,MATCH(F272,비용표!$B$2:$B$7,0)),F272*INDEX(비용표!$C$8:$C$9,MATCH(C272,비용표!$B$8:$B$9,0)))</f>
        <v/>
      </c>
      <c r="H272" s="5">
        <f>G272*E272</f>
        <v/>
      </c>
      <c r="I272" s="10">
        <f>IF(A272=A271,I271&amp;" · ","")&amp;IF(C272="카드",D272&amp;E272,"["&amp;C272&amp;"] "&amp;D272)</f>
        <v/>
      </c>
    </row>
    <row r="273">
      <c r="A273" s="5" t="n">
        <v>78</v>
      </c>
      <c r="B273" s="5" t="n">
        <v>1</v>
      </c>
      <c r="C273" s="5" t="inlineStr">
        <is>
          <t>카드</t>
        </is>
      </c>
      <c r="D273" s="5" t="inlineStr">
        <is>
          <t>장료</t>
        </is>
      </c>
      <c r="E273" s="5" t="n">
        <v>1</v>
      </c>
      <c r="F273" s="5" t="inlineStr">
        <is>
          <t>S</t>
        </is>
      </c>
      <c r="G273" s="5">
        <f>IF(C273="카드",INDEX(비용표!$C$2:$C$7,MATCH(F273,비용표!$B$2:$B$7,0)),F273*INDEX(비용표!$C$8:$C$9,MATCH(C273,비용표!$B$8:$B$9,0)))</f>
        <v/>
      </c>
      <c r="H273" s="5">
        <f>G273*E273</f>
        <v/>
      </c>
      <c r="I273" s="10">
        <f>IF(A273=A272,I272&amp;" · ","")&amp;IF(C273="카드",D273&amp;E273,"["&amp;C273&amp;"] "&amp;D273)</f>
        <v/>
      </c>
    </row>
    <row r="274">
      <c r="A274" s="5" t="n">
        <v>78</v>
      </c>
      <c r="B274" s="5" t="n">
        <v>2</v>
      </c>
      <c r="C274" s="5" t="inlineStr">
        <is>
          <t>카드</t>
        </is>
      </c>
      <c r="D274" s="5" t="inlineStr">
        <is>
          <t>악진</t>
        </is>
      </c>
      <c r="E274" s="5" t="n">
        <v>1</v>
      </c>
      <c r="F274" s="5" t="inlineStr">
        <is>
          <t>B</t>
        </is>
      </c>
      <c r="G274" s="5">
        <f>IF(C274="카드",INDEX(비용표!$C$2:$C$7,MATCH(F274,비용표!$B$2:$B$7,0)),F274*INDEX(비용표!$C$8:$C$9,MATCH(C274,비용표!$B$8:$B$9,0)))</f>
        <v/>
      </c>
      <c r="H274" s="5">
        <f>G274*E274</f>
        <v/>
      </c>
      <c r="I274" s="10">
        <f>IF(A274=A273,I273&amp;" · ","")&amp;IF(C274="카드",D274&amp;E274,"["&amp;C274&amp;"] "&amp;D274)</f>
        <v/>
      </c>
    </row>
    <row r="275">
      <c r="A275" s="5" t="n">
        <v>78</v>
      </c>
      <c r="B275" s="5" t="n">
        <v>3</v>
      </c>
      <c r="C275" s="5" t="inlineStr">
        <is>
          <t>카드</t>
        </is>
      </c>
      <c r="D275" s="5" t="inlineStr">
        <is>
          <t>이전</t>
        </is>
      </c>
      <c r="E275" s="5" t="n">
        <v>1</v>
      </c>
      <c r="F275" s="5" t="inlineStr">
        <is>
          <t>C</t>
        </is>
      </c>
      <c r="G275" s="5">
        <f>IF(C275="카드",INDEX(비용표!$C$2:$C$7,MATCH(F275,비용표!$B$2:$B$7,0)),F275*INDEX(비용표!$C$8:$C$9,MATCH(C275,비용표!$B$8:$B$9,0)))</f>
        <v/>
      </c>
      <c r="H275" s="5">
        <f>G275*E275</f>
        <v/>
      </c>
      <c r="I275" s="10">
        <f>IF(A275=A274,I274&amp;" · ","")&amp;IF(C275="카드",D275&amp;E275,"["&amp;C275&amp;"] "&amp;D275)</f>
        <v/>
      </c>
    </row>
    <row r="276">
      <c r="A276" s="5" t="n">
        <v>78</v>
      </c>
      <c r="B276" s="5" t="n">
        <v>4</v>
      </c>
      <c r="C276" s="5" t="inlineStr">
        <is>
          <t>카드</t>
        </is>
      </c>
      <c r="D276" s="5" t="inlineStr">
        <is>
          <t>손권</t>
        </is>
      </c>
      <c r="E276" s="5" t="n">
        <v>1</v>
      </c>
      <c r="F276" s="5" t="inlineStr">
        <is>
          <t>S</t>
        </is>
      </c>
      <c r="G276" s="5">
        <f>IF(C276="카드",INDEX(비용표!$C$2:$C$7,MATCH(F276,비용표!$B$2:$B$7,0)),F276*INDEX(비용표!$C$8:$C$9,MATCH(C276,비용표!$B$8:$B$9,0)))</f>
        <v/>
      </c>
      <c r="H276" s="5">
        <f>G276*E276</f>
        <v/>
      </c>
      <c r="I276" s="10">
        <f>IF(A276=A275,I275&amp;" · ","")&amp;IF(C276="카드",D276&amp;E276,"["&amp;C276&amp;"] "&amp;D276)</f>
        <v/>
      </c>
    </row>
    <row r="277">
      <c r="A277" s="5" t="n">
        <v>78</v>
      </c>
      <c r="B277" s="5" t="n">
        <v>5</v>
      </c>
      <c r="C277" s="5" t="inlineStr">
        <is>
          <t>카드</t>
        </is>
      </c>
      <c r="D277" s="5" t="inlineStr">
        <is>
          <t>감녕</t>
        </is>
      </c>
      <c r="E277" s="5" t="n">
        <v>1</v>
      </c>
      <c r="F277" s="5" t="inlineStr">
        <is>
          <t>S</t>
        </is>
      </c>
      <c r="G277" s="5">
        <f>IF(C277="카드",INDEX(비용표!$C$2:$C$7,MATCH(F277,비용표!$B$2:$B$7,0)),F277*INDEX(비용표!$C$8:$C$9,MATCH(C277,비용표!$B$8:$B$9,0)))</f>
        <v/>
      </c>
      <c r="H277" s="5">
        <f>G277*E277</f>
        <v/>
      </c>
      <c r="I277" s="10">
        <f>IF(A277=A276,I276&amp;" · ","")&amp;IF(C277="카드",D277&amp;E277,"["&amp;C277&amp;"] "&amp;D277)</f>
        <v/>
      </c>
    </row>
    <row r="278">
      <c r="A278" s="5" t="n">
        <v>79</v>
      </c>
      <c r="B278" s="5" t="n">
        <v>1</v>
      </c>
      <c r="C278" s="5" t="inlineStr">
        <is>
          <t>카드</t>
        </is>
      </c>
      <c r="D278" s="5" t="inlineStr">
        <is>
          <t>여몽</t>
        </is>
      </c>
      <c r="E278" s="5" t="n">
        <v>1</v>
      </c>
      <c r="F278" s="5" t="inlineStr">
        <is>
          <t>S</t>
        </is>
      </c>
      <c r="G278" s="5">
        <f>IF(C278="카드",INDEX(비용표!$C$2:$C$7,MATCH(F278,비용표!$B$2:$B$7,0)),F278*INDEX(비용표!$C$8:$C$9,MATCH(C278,비용표!$B$8:$B$9,0)))</f>
        <v/>
      </c>
      <c r="H278" s="5">
        <f>G278*E278</f>
        <v/>
      </c>
      <c r="I278" s="10">
        <f>IF(A278=A277,I277&amp;" · ","")&amp;IF(C278="카드",D278&amp;E278,"["&amp;C278&amp;"] "&amp;D278)</f>
        <v/>
      </c>
    </row>
    <row r="279">
      <c r="A279" s="5" t="n">
        <v>79</v>
      </c>
      <c r="B279" s="5" t="n">
        <v>2</v>
      </c>
      <c r="C279" s="5" t="inlineStr">
        <is>
          <t>카드</t>
        </is>
      </c>
      <c r="D279" s="5" t="inlineStr">
        <is>
          <t>노숙</t>
        </is>
      </c>
      <c r="E279" s="5" t="n">
        <v>1</v>
      </c>
      <c r="F279" s="5" t="inlineStr">
        <is>
          <t>S</t>
        </is>
      </c>
      <c r="G279" s="5">
        <f>IF(C279="카드",INDEX(비용표!$C$2:$C$7,MATCH(F279,비용표!$B$2:$B$7,0)),F279*INDEX(비용표!$C$8:$C$9,MATCH(C279,비용표!$B$8:$B$9,0)))</f>
        <v/>
      </c>
      <c r="H279" s="5">
        <f>G279*E279</f>
        <v/>
      </c>
      <c r="I279" s="10">
        <f>IF(A279=A278,I278&amp;" · ","")&amp;IF(C279="카드",D279&amp;E279,"["&amp;C279&amp;"] "&amp;D279)</f>
        <v/>
      </c>
    </row>
    <row r="280">
      <c r="A280" s="5" t="n">
        <v>80</v>
      </c>
      <c r="B280" s="5" t="n">
        <v>1</v>
      </c>
      <c r="C280" s="5" t="inlineStr">
        <is>
          <t>카드</t>
        </is>
      </c>
      <c r="D280" s="5" t="inlineStr">
        <is>
          <t>황충</t>
        </is>
      </c>
      <c r="E280" s="5" t="n">
        <v>1</v>
      </c>
      <c r="F280" s="5" t="inlineStr">
        <is>
          <t>S</t>
        </is>
      </c>
      <c r="G280" s="5">
        <f>IF(C280="카드",INDEX(비용표!$C$2:$C$7,MATCH(F280,비용표!$B$2:$B$7,0)),F280*INDEX(비용표!$C$8:$C$9,MATCH(C280,비용표!$B$8:$B$9,0)))</f>
        <v/>
      </c>
      <c r="H280" s="5">
        <f>G280*E280</f>
        <v/>
      </c>
      <c r="I280" s="10">
        <f>IF(A280=A279,I279&amp;" · ","")&amp;IF(C280="카드",D280&amp;E280,"["&amp;C280&amp;"] "&amp;D280)</f>
        <v/>
      </c>
    </row>
    <row r="281">
      <c r="A281" s="5" t="n">
        <v>80</v>
      </c>
      <c r="B281" s="5" t="n">
        <v>2</v>
      </c>
      <c r="C281" s="5" t="inlineStr">
        <is>
          <t>카드</t>
        </is>
      </c>
      <c r="D281" s="5" t="inlineStr">
        <is>
          <t>하후연</t>
        </is>
      </c>
      <c r="E281" s="5" t="n">
        <v>1</v>
      </c>
      <c r="F281" s="5" t="inlineStr">
        <is>
          <t>A</t>
        </is>
      </c>
      <c r="G281" s="5">
        <f>IF(C281="카드",INDEX(비용표!$C$2:$C$7,MATCH(F281,비용표!$B$2:$B$7,0)),F281*INDEX(비용표!$C$8:$C$9,MATCH(C281,비용표!$B$8:$B$9,0)))</f>
        <v/>
      </c>
      <c r="H281" s="5">
        <f>G281*E281</f>
        <v/>
      </c>
      <c r="I281" s="10">
        <f>IF(A281=A280,I280&amp;" · ","")&amp;IF(C281="카드",D281&amp;E281,"["&amp;C281&amp;"] "&amp;D281)</f>
        <v/>
      </c>
    </row>
    <row r="282">
      <c r="A282" s="5" t="n">
        <v>80</v>
      </c>
      <c r="B282" s="5" t="n">
        <v>3</v>
      </c>
      <c r="C282" s="5" t="inlineStr">
        <is>
          <t>카드</t>
        </is>
      </c>
      <c r="D282" s="5" t="inlineStr">
        <is>
          <t>법정</t>
        </is>
      </c>
      <c r="E282" s="5" t="n">
        <v>1</v>
      </c>
      <c r="F282" s="5" t="inlineStr">
        <is>
          <t>A</t>
        </is>
      </c>
      <c r="G282" s="5">
        <f>IF(C282="카드",INDEX(비용표!$C$2:$C$7,MATCH(F282,비용표!$B$2:$B$7,0)),F282*INDEX(비용표!$C$8:$C$9,MATCH(C282,비용표!$B$8:$B$9,0)))</f>
        <v/>
      </c>
      <c r="H282" s="5">
        <f>G282*E282</f>
        <v/>
      </c>
      <c r="I282" s="10">
        <f>IF(A282=A281,I281&amp;" · ","")&amp;IF(C282="카드",D282&amp;E282,"["&amp;C282&amp;"] "&amp;D282)</f>
        <v/>
      </c>
    </row>
    <row r="283">
      <c r="A283" s="5" t="n">
        <v>80</v>
      </c>
      <c r="B283" s="5" t="n">
        <v>4</v>
      </c>
      <c r="C283" s="5" t="inlineStr">
        <is>
          <t>병기</t>
        </is>
      </c>
      <c r="D283" s="5" t="inlineStr">
        <is>
          <t>대감도</t>
        </is>
      </c>
      <c r="E283" s="5" t="n">
        <v>1</v>
      </c>
      <c r="F283" s="5" t="n">
        <v>1</v>
      </c>
      <c r="G283" s="5">
        <f>IF(C283="카드",INDEX(비용표!$C$2:$C$7,MATCH(F283,비용표!$B$2:$B$7,0)),F283*INDEX(비용표!$C$8:$C$9,MATCH(C283,비용표!$B$8:$B$9,0)))</f>
        <v/>
      </c>
      <c r="H283" s="5">
        <f>G283*E283</f>
        <v/>
      </c>
      <c r="I283" s="10">
        <f>IF(A283=A282,I282&amp;" · ","")&amp;IF(C283="카드",D283&amp;E283,"["&amp;C283&amp;"] "&amp;D283)</f>
        <v/>
      </c>
    </row>
    <row r="284">
      <c r="A284" s="5" t="n">
        <v>80</v>
      </c>
      <c r="B284" s="5" t="n">
        <v>5</v>
      </c>
      <c r="C284" s="5" t="inlineStr">
        <is>
          <t>아이템</t>
        </is>
      </c>
      <c r="D284" s="5" t="inlineStr">
        <is>
          <t>영기</t>
        </is>
      </c>
      <c r="E284" s="5" t="n">
        <v>1</v>
      </c>
      <c r="F284" s="5" t="n">
        <v>5</v>
      </c>
      <c r="G284" s="5">
        <f>IF(C284="카드",INDEX(비용표!$C$2:$C$7,MATCH(F284,비용표!$B$2:$B$7,0)),F284*INDEX(비용표!$C$8:$C$9,MATCH(C284,비용표!$B$8:$B$9,0)))</f>
        <v/>
      </c>
      <c r="H284" s="5">
        <f>G284*E284</f>
        <v/>
      </c>
      <c r="I284" s="10">
        <f>IF(A284=A283,I283&amp;" · ","")&amp;IF(C284="카드",D284&amp;E284,"["&amp;C284&amp;"] "&amp;D284)</f>
        <v/>
      </c>
    </row>
    <row r="285">
      <c r="A285" s="5" t="n">
        <v>81</v>
      </c>
      <c r="B285" s="5" t="n">
        <v>1</v>
      </c>
      <c r="C285" s="5" t="inlineStr">
        <is>
          <t>카드</t>
        </is>
      </c>
      <c r="D285" s="5" t="inlineStr">
        <is>
          <t>양수</t>
        </is>
      </c>
      <c r="E285" s="5" t="n">
        <v>1</v>
      </c>
      <c r="F285" s="5" t="inlineStr">
        <is>
          <t>B</t>
        </is>
      </c>
      <c r="G285" s="5">
        <f>IF(C285="카드",INDEX(비용표!$C$2:$C$7,MATCH(F285,비용표!$B$2:$B$7,0)),F285*INDEX(비용표!$C$8:$C$9,MATCH(C285,비용표!$B$8:$B$9,0)))</f>
        <v/>
      </c>
      <c r="H285" s="5">
        <f>G285*E285</f>
        <v/>
      </c>
      <c r="I285" s="10">
        <f>IF(A285=A284,I284&amp;" · ","")&amp;IF(C285="카드",D285&amp;E285,"["&amp;C285&amp;"] "&amp;D285)</f>
        <v/>
      </c>
    </row>
    <row r="286">
      <c r="A286" s="5" t="n">
        <v>81</v>
      </c>
      <c r="B286" s="5" t="n">
        <v>2</v>
      </c>
      <c r="C286" s="5" t="inlineStr">
        <is>
          <t>카드</t>
        </is>
      </c>
      <c r="D286" s="5" t="inlineStr">
        <is>
          <t>조조</t>
        </is>
      </c>
      <c r="E286" s="5" t="n">
        <v>1</v>
      </c>
      <c r="F286" s="5" t="inlineStr">
        <is>
          <t>S</t>
        </is>
      </c>
      <c r="G286" s="5">
        <f>IF(C286="카드",INDEX(비용표!$C$2:$C$7,MATCH(F286,비용표!$B$2:$B$7,0)),F286*INDEX(비용표!$C$8:$C$9,MATCH(C286,비용표!$B$8:$B$9,0)))</f>
        <v/>
      </c>
      <c r="H286" s="5">
        <f>G286*E286</f>
        <v/>
      </c>
      <c r="I286" s="10">
        <f>IF(A286=A285,I285&amp;" · ","")&amp;IF(C286="카드",D286&amp;E286,"["&amp;C286&amp;"] "&amp;D286)</f>
        <v/>
      </c>
    </row>
    <row r="287">
      <c r="A287" s="5" t="n">
        <v>81</v>
      </c>
      <c r="B287" s="5" t="n">
        <v>3</v>
      </c>
      <c r="C287" s="5" t="inlineStr">
        <is>
          <t>카드</t>
        </is>
      </c>
      <c r="D287" s="5" t="inlineStr">
        <is>
          <t>하후돈</t>
        </is>
      </c>
      <c r="E287" s="5" t="n">
        <v>1</v>
      </c>
      <c r="F287" s="5" t="inlineStr">
        <is>
          <t>S</t>
        </is>
      </c>
      <c r="G287" s="5">
        <f>IF(C287="카드",INDEX(비용표!$C$2:$C$7,MATCH(F287,비용표!$B$2:$B$7,0)),F287*INDEX(비용표!$C$8:$C$9,MATCH(C287,비용표!$B$8:$B$9,0)))</f>
        <v/>
      </c>
      <c r="H287" s="5">
        <f>G287*E287</f>
        <v/>
      </c>
      <c r="I287" s="10">
        <f>IF(A287=A286,I286&amp;" · ","")&amp;IF(C287="카드",D287&amp;E287,"["&amp;C287&amp;"] "&amp;D287)</f>
        <v/>
      </c>
    </row>
    <row r="288">
      <c r="A288" s="5" t="n">
        <v>82</v>
      </c>
      <c r="B288" s="5" t="n">
        <v>1</v>
      </c>
      <c r="C288" s="5" t="inlineStr">
        <is>
          <t>카드</t>
        </is>
      </c>
      <c r="D288" s="5" t="inlineStr">
        <is>
          <t>관우</t>
        </is>
      </c>
      <c r="E288" s="5" t="n">
        <v>1</v>
      </c>
      <c r="F288" s="5" t="inlineStr">
        <is>
          <t>S</t>
        </is>
      </c>
      <c r="G288" s="5">
        <f>IF(C288="카드",INDEX(비용표!$C$2:$C$7,MATCH(F288,비용표!$B$2:$B$7,0)),F288*INDEX(비용표!$C$8:$C$9,MATCH(C288,비용표!$B$8:$B$9,0)))</f>
        <v/>
      </c>
      <c r="H288" s="5">
        <f>G288*E288</f>
        <v/>
      </c>
      <c r="I288" s="10">
        <f>IF(A288=A287,I287&amp;" · ","")&amp;IF(C288="카드",D288&amp;E288,"["&amp;C288&amp;"] "&amp;D288)</f>
        <v/>
      </c>
    </row>
    <row r="289">
      <c r="A289" s="5" t="n">
        <v>82</v>
      </c>
      <c r="B289" s="5" t="n">
        <v>2</v>
      </c>
      <c r="C289" s="5" t="inlineStr">
        <is>
          <t>카드</t>
        </is>
      </c>
      <c r="D289" s="5" t="inlineStr">
        <is>
          <t>우금</t>
        </is>
      </c>
      <c r="E289" s="5" t="n">
        <v>1</v>
      </c>
      <c r="F289" s="5" t="inlineStr">
        <is>
          <t>C</t>
        </is>
      </c>
      <c r="G289" s="5">
        <f>IF(C289="카드",INDEX(비용표!$C$2:$C$7,MATCH(F289,비용표!$B$2:$B$7,0)),F289*INDEX(비용표!$C$8:$C$9,MATCH(C289,비용표!$B$8:$B$9,0)))</f>
        <v/>
      </c>
      <c r="H289" s="5">
        <f>G289*E289</f>
        <v/>
      </c>
      <c r="I289" s="10">
        <f>IF(A289=A288,I288&amp;" · ","")&amp;IF(C289="카드",D289&amp;E289,"["&amp;C289&amp;"] "&amp;D289)</f>
        <v/>
      </c>
    </row>
    <row r="290">
      <c r="A290" s="5" t="n">
        <v>82</v>
      </c>
      <c r="B290" s="5" t="n">
        <v>3</v>
      </c>
      <c r="C290" s="5" t="inlineStr">
        <is>
          <t>카드</t>
        </is>
      </c>
      <c r="D290" s="5" t="inlineStr">
        <is>
          <t>방덕</t>
        </is>
      </c>
      <c r="E290" s="5" t="n">
        <v>1</v>
      </c>
      <c r="F290" s="5" t="inlineStr">
        <is>
          <t>S</t>
        </is>
      </c>
      <c r="G290" s="5">
        <f>IF(C290="카드",INDEX(비용표!$C$2:$C$7,MATCH(F290,비용표!$B$2:$B$7,0)),F290*INDEX(비용표!$C$8:$C$9,MATCH(C290,비용표!$B$8:$B$9,0)))</f>
        <v/>
      </c>
      <c r="H290" s="5">
        <f>G290*E290</f>
        <v/>
      </c>
      <c r="I290" s="10">
        <f>IF(A290=A289,I289&amp;" · ","")&amp;IF(C290="카드",D290&amp;E290,"["&amp;C290&amp;"] "&amp;D290)</f>
        <v/>
      </c>
    </row>
    <row r="291">
      <c r="A291" s="5" t="n">
        <v>82</v>
      </c>
      <c r="B291" s="5" t="n">
        <v>4</v>
      </c>
      <c r="C291" s="5" t="inlineStr">
        <is>
          <t>카드</t>
        </is>
      </c>
      <c r="D291" s="5" t="inlineStr">
        <is>
          <t>관평</t>
        </is>
      </c>
      <c r="E291" s="5" t="n">
        <v>1</v>
      </c>
      <c r="F291" s="5" t="inlineStr">
        <is>
          <t>A</t>
        </is>
      </c>
      <c r="G291" s="5">
        <f>IF(C291="카드",INDEX(비용표!$C$2:$C$7,MATCH(F291,비용표!$B$2:$B$7,0)),F291*INDEX(비용표!$C$8:$C$9,MATCH(C291,비용표!$B$8:$B$9,0)))</f>
        <v/>
      </c>
      <c r="H291" s="5">
        <f>G291*E291</f>
        <v/>
      </c>
      <c r="I291" s="10">
        <f>IF(A291=A290,I290&amp;" · ","")&amp;IF(C291="카드",D291&amp;E291,"["&amp;C291&amp;"] "&amp;D291)</f>
        <v/>
      </c>
    </row>
    <row r="292">
      <c r="A292" s="5" t="n">
        <v>83</v>
      </c>
      <c r="B292" s="5" t="n">
        <v>1</v>
      </c>
      <c r="C292" s="5" t="inlineStr">
        <is>
          <t>카드</t>
        </is>
      </c>
      <c r="D292" s="5" t="inlineStr">
        <is>
          <t>방덕</t>
        </is>
      </c>
      <c r="E292" s="5" t="n">
        <v>1</v>
      </c>
      <c r="F292" s="5" t="inlineStr">
        <is>
          <t>S</t>
        </is>
      </c>
      <c r="G292" s="5">
        <f>IF(C292="카드",INDEX(비용표!$C$2:$C$7,MATCH(F292,비용표!$B$2:$B$7,0)),F292*INDEX(비용표!$C$8:$C$9,MATCH(C292,비용표!$B$8:$B$9,0)))</f>
        <v/>
      </c>
      <c r="H292" s="5">
        <f>G292*E292</f>
        <v/>
      </c>
      <c r="I292" s="10">
        <f>IF(A292=A291,I291&amp;" · ","")&amp;IF(C292="카드",D292&amp;E292,"["&amp;C292&amp;"] "&amp;D292)</f>
        <v/>
      </c>
    </row>
    <row r="293">
      <c r="A293" s="5" t="n">
        <v>83</v>
      </c>
      <c r="B293" s="5" t="n">
        <v>2</v>
      </c>
      <c r="C293" s="5" t="inlineStr">
        <is>
          <t>카드</t>
        </is>
      </c>
      <c r="D293" s="5" t="inlineStr">
        <is>
          <t>관우</t>
        </is>
      </c>
      <c r="E293" s="5" t="n">
        <v>1</v>
      </c>
      <c r="F293" s="5" t="inlineStr">
        <is>
          <t>S</t>
        </is>
      </c>
      <c r="G293" s="5">
        <f>IF(C293="카드",INDEX(비용표!$C$2:$C$7,MATCH(F293,비용표!$B$2:$B$7,0)),F293*INDEX(비용표!$C$8:$C$9,MATCH(C293,비용표!$B$8:$B$9,0)))</f>
        <v/>
      </c>
      <c r="H293" s="5">
        <f>G293*E293</f>
        <v/>
      </c>
      <c r="I293" s="10">
        <f>IF(A293=A292,I292&amp;" · ","")&amp;IF(C293="카드",D293&amp;E293,"["&amp;C293&amp;"] "&amp;D293)</f>
        <v/>
      </c>
    </row>
    <row r="294">
      <c r="A294" s="5" t="n">
        <v>84</v>
      </c>
      <c r="B294" s="5" t="n">
        <v>1</v>
      </c>
      <c r="C294" s="5" t="inlineStr">
        <is>
          <t>카드</t>
        </is>
      </c>
      <c r="D294" s="5" t="inlineStr">
        <is>
          <t>여몽</t>
        </is>
      </c>
      <c r="E294" s="5" t="n">
        <v>1</v>
      </c>
      <c r="F294" s="5" t="inlineStr">
        <is>
          <t>S</t>
        </is>
      </c>
      <c r="G294" s="5">
        <f>IF(C294="카드",INDEX(비용표!$C$2:$C$7,MATCH(F294,비용표!$B$2:$B$7,0)),F294*INDEX(비용표!$C$8:$C$9,MATCH(C294,비용표!$B$8:$B$9,0)))</f>
        <v/>
      </c>
      <c r="H294" s="5">
        <f>G294*E294</f>
        <v/>
      </c>
      <c r="I294" s="10">
        <f>IF(A294=A293,I293&amp;" · ","")&amp;IF(C294="카드",D294&amp;E294,"["&amp;C294&amp;"] "&amp;D294)</f>
        <v/>
      </c>
    </row>
    <row r="295">
      <c r="A295" s="5" t="n">
        <v>84</v>
      </c>
      <c r="B295" s="5" t="n">
        <v>2</v>
      </c>
      <c r="C295" s="5" t="inlineStr">
        <is>
          <t>카드</t>
        </is>
      </c>
      <c r="D295" s="5" t="inlineStr">
        <is>
          <t>육손</t>
        </is>
      </c>
      <c r="E295" s="5" t="n">
        <v>1</v>
      </c>
      <c r="F295" s="5" t="inlineStr">
        <is>
          <t>S</t>
        </is>
      </c>
      <c r="G295" s="5">
        <f>IF(C295="카드",INDEX(비용표!$C$2:$C$7,MATCH(F295,비용표!$B$2:$B$7,0)),F295*INDEX(비용표!$C$8:$C$9,MATCH(C295,비용표!$B$8:$B$9,0)))</f>
        <v/>
      </c>
      <c r="H295" s="5">
        <f>G295*E295</f>
        <v/>
      </c>
      <c r="I295" s="10">
        <f>IF(A295=A294,I294&amp;" · ","")&amp;IF(C295="카드",D295&amp;E295,"["&amp;C295&amp;"] "&amp;D295)</f>
        <v/>
      </c>
    </row>
    <row r="296">
      <c r="A296" s="5" t="n">
        <v>84</v>
      </c>
      <c r="B296" s="5" t="n">
        <v>3</v>
      </c>
      <c r="C296" s="5" t="inlineStr">
        <is>
          <t>카드</t>
        </is>
      </c>
      <c r="D296" s="5" t="inlineStr">
        <is>
          <t>관우</t>
        </is>
      </c>
      <c r="E296" s="5" t="n">
        <v>1</v>
      </c>
      <c r="F296" s="5" t="inlineStr">
        <is>
          <t>S</t>
        </is>
      </c>
      <c r="G296" s="5">
        <f>IF(C296="카드",INDEX(비용표!$C$2:$C$7,MATCH(F296,비용표!$B$2:$B$7,0)),F296*INDEX(비용표!$C$8:$C$9,MATCH(C296,비용표!$B$8:$B$9,0)))</f>
        <v/>
      </c>
      <c r="H296" s="5">
        <f>G296*E296</f>
        <v/>
      </c>
      <c r="I296" s="10">
        <f>IF(A296=A295,I295&amp;" · ","")&amp;IF(C296="카드",D296&amp;E296,"["&amp;C296&amp;"] "&amp;D296)</f>
        <v/>
      </c>
    </row>
    <row r="297">
      <c r="A297" s="5" t="n">
        <v>84</v>
      </c>
      <c r="B297" s="5" t="n">
        <v>4</v>
      </c>
      <c r="C297" s="5" t="inlineStr">
        <is>
          <t>카드</t>
        </is>
      </c>
      <c r="D297" s="5" t="inlineStr">
        <is>
          <t>미방</t>
        </is>
      </c>
      <c r="E297" s="5" t="n">
        <v>1</v>
      </c>
      <c r="F297" s="5" t="inlineStr">
        <is>
          <t>D</t>
        </is>
      </c>
      <c r="G297" s="5">
        <f>IF(C297="카드",INDEX(비용표!$C$2:$C$7,MATCH(F297,비용표!$B$2:$B$7,0)),F297*INDEX(비용표!$C$8:$C$9,MATCH(C297,비용표!$B$8:$B$9,0)))</f>
        <v/>
      </c>
      <c r="H297" s="5">
        <f>G297*E297</f>
        <v/>
      </c>
      <c r="I297" s="10">
        <f>IF(A297=A296,I296&amp;" · ","")&amp;IF(C297="카드",D297&amp;E297,"["&amp;C297&amp;"] "&amp;D297)</f>
        <v/>
      </c>
    </row>
    <row r="298">
      <c r="A298" s="5" t="n">
        <v>84</v>
      </c>
      <c r="B298" s="5" t="n">
        <v>5</v>
      </c>
      <c r="C298" s="5" t="inlineStr">
        <is>
          <t>카드</t>
        </is>
      </c>
      <c r="D298" s="5" t="inlineStr">
        <is>
          <t>손권</t>
        </is>
      </c>
      <c r="E298" s="5" t="n">
        <v>1</v>
      </c>
      <c r="F298" s="5" t="inlineStr">
        <is>
          <t>S</t>
        </is>
      </c>
      <c r="G298" s="5">
        <f>IF(C298="카드",INDEX(비용표!$C$2:$C$7,MATCH(F298,비용표!$B$2:$B$7,0)),F298*INDEX(비용표!$C$8:$C$9,MATCH(C298,비용표!$B$8:$B$9,0)))</f>
        <v/>
      </c>
      <c r="H298" s="5">
        <f>G298*E298</f>
        <v/>
      </c>
      <c r="I298" s="10">
        <f>IF(A298=A297,I297&amp;" · ","")&amp;IF(C298="카드",D298&amp;E298,"["&amp;C298&amp;"] "&amp;D298)</f>
        <v/>
      </c>
    </row>
    <row r="299">
      <c r="A299" s="5" t="n">
        <v>85</v>
      </c>
      <c r="B299" s="5" t="n">
        <v>1</v>
      </c>
      <c r="C299" s="5" t="inlineStr">
        <is>
          <t>카드</t>
        </is>
      </c>
      <c r="D299" s="5" t="inlineStr">
        <is>
          <t>관우</t>
        </is>
      </c>
      <c r="E299" s="5" t="n">
        <v>1</v>
      </c>
      <c r="F299" s="5" t="inlineStr">
        <is>
          <t>S</t>
        </is>
      </c>
      <c r="G299" s="5">
        <f>IF(C299="카드",INDEX(비용표!$C$2:$C$7,MATCH(F299,비용표!$B$2:$B$7,0)),F299*INDEX(비용표!$C$8:$C$9,MATCH(C299,비용표!$B$8:$B$9,0)))</f>
        <v/>
      </c>
      <c r="H299" s="5">
        <f>G299*E299</f>
        <v/>
      </c>
      <c r="I299" s="10">
        <f>IF(A299=A298,I298&amp;" · ","")&amp;IF(C299="카드",D299&amp;E299,"["&amp;C299&amp;"] "&amp;D299)</f>
        <v/>
      </c>
    </row>
    <row r="300">
      <c r="A300" s="5" t="n">
        <v>85</v>
      </c>
      <c r="B300" s="5" t="n">
        <v>2</v>
      </c>
      <c r="C300" s="5" t="inlineStr">
        <is>
          <t>카드</t>
        </is>
      </c>
      <c r="D300" s="5" t="inlineStr">
        <is>
          <t>관평</t>
        </is>
      </c>
      <c r="E300" s="5" t="n">
        <v>1</v>
      </c>
      <c r="F300" s="5" t="inlineStr">
        <is>
          <t>A</t>
        </is>
      </c>
      <c r="G300" s="5">
        <f>IF(C300="카드",INDEX(비용표!$C$2:$C$7,MATCH(F300,비용표!$B$2:$B$7,0)),F300*INDEX(비용표!$C$8:$C$9,MATCH(C300,비용표!$B$8:$B$9,0)))</f>
        <v/>
      </c>
      <c r="H300" s="5">
        <f>G300*E300</f>
        <v/>
      </c>
      <c r="I300" s="10">
        <f>IF(A300=A299,I299&amp;" · ","")&amp;IF(C300="카드",D300&amp;E300,"["&amp;C300&amp;"] "&amp;D300)</f>
        <v/>
      </c>
    </row>
    <row r="301">
      <c r="A301" s="5" t="n">
        <v>85</v>
      </c>
      <c r="B301" s="5" t="n">
        <v>3</v>
      </c>
      <c r="C301" s="5" t="inlineStr">
        <is>
          <t>카드</t>
        </is>
      </c>
      <c r="D301" s="5" t="inlineStr">
        <is>
          <t>주창</t>
        </is>
      </c>
      <c r="E301" s="5" t="n">
        <v>1</v>
      </c>
      <c r="F301" s="5" t="inlineStr">
        <is>
          <t>A</t>
        </is>
      </c>
      <c r="G301" s="5">
        <f>IF(C301="카드",INDEX(비용표!$C$2:$C$7,MATCH(F301,비용표!$B$2:$B$7,0)),F301*INDEX(비용표!$C$8:$C$9,MATCH(C301,비용표!$B$8:$B$9,0)))</f>
        <v/>
      </c>
      <c r="H301" s="5">
        <f>G301*E301</f>
        <v/>
      </c>
      <c r="I301" s="10">
        <f>IF(A301=A300,I300&amp;" · ","")&amp;IF(C301="카드",D301&amp;E301,"["&amp;C301&amp;"] "&amp;D301)</f>
        <v/>
      </c>
    </row>
    <row r="302">
      <c r="A302" s="5" t="n">
        <v>85</v>
      </c>
      <c r="B302" s="5" t="n">
        <v>4</v>
      </c>
      <c r="C302" s="5" t="inlineStr">
        <is>
          <t>카드</t>
        </is>
      </c>
      <c r="D302" s="5" t="inlineStr">
        <is>
          <t>요화</t>
        </is>
      </c>
      <c r="E302" s="5" t="n">
        <v>1</v>
      </c>
      <c r="F302" s="5" t="inlineStr">
        <is>
          <t>B</t>
        </is>
      </c>
      <c r="G302" s="5">
        <f>IF(C302="카드",INDEX(비용표!$C$2:$C$7,MATCH(F302,비용표!$B$2:$B$7,0)),F302*INDEX(비용표!$C$8:$C$9,MATCH(C302,비용표!$B$8:$B$9,0)))</f>
        <v/>
      </c>
      <c r="H302" s="5">
        <f>G302*E302</f>
        <v/>
      </c>
      <c r="I302" s="10">
        <f>IF(A302=A301,I301&amp;" · ","")&amp;IF(C302="카드",D302&amp;E302,"["&amp;C302&amp;"] "&amp;D302)</f>
        <v/>
      </c>
    </row>
    <row r="303">
      <c r="A303" s="5" t="n">
        <v>85</v>
      </c>
      <c r="B303" s="5" t="n">
        <v>5</v>
      </c>
      <c r="C303" s="5" t="inlineStr">
        <is>
          <t>카드</t>
        </is>
      </c>
      <c r="D303" s="5" t="inlineStr">
        <is>
          <t>유봉</t>
        </is>
      </c>
      <c r="E303" s="5" t="n">
        <v>1</v>
      </c>
      <c r="F303" s="5" t="inlineStr">
        <is>
          <t>C</t>
        </is>
      </c>
      <c r="G303" s="5">
        <f>IF(C303="카드",INDEX(비용표!$C$2:$C$7,MATCH(F303,비용표!$B$2:$B$7,0)),F303*INDEX(비용표!$C$8:$C$9,MATCH(C303,비용표!$B$8:$B$9,0)))</f>
        <v/>
      </c>
      <c r="H303" s="5">
        <f>G303*E303</f>
        <v/>
      </c>
      <c r="I303" s="10">
        <f>IF(A303=A302,I302&amp;" · ","")&amp;IF(C303="카드",D303&amp;E303,"["&amp;C303&amp;"] "&amp;D303)</f>
        <v/>
      </c>
    </row>
    <row r="304">
      <c r="A304" s="5" t="n">
        <v>86</v>
      </c>
      <c r="B304" s="5" t="n">
        <v>1</v>
      </c>
      <c r="C304" s="5" t="inlineStr">
        <is>
          <t>카드</t>
        </is>
      </c>
      <c r="D304" s="5" t="inlineStr">
        <is>
          <t>조비</t>
        </is>
      </c>
      <c r="E304" s="5" t="n">
        <v>1</v>
      </c>
      <c r="F304" s="5" t="inlineStr">
        <is>
          <t>C</t>
        </is>
      </c>
      <c r="G304" s="5">
        <f>IF(C304="카드",INDEX(비용표!$C$2:$C$7,MATCH(F304,비용표!$B$2:$B$7,0)),F304*INDEX(비용표!$C$8:$C$9,MATCH(C304,비용표!$B$8:$B$9,0)))</f>
        <v/>
      </c>
      <c r="H304" s="5">
        <f>G304*E304</f>
        <v/>
      </c>
      <c r="I304" s="10">
        <f>IF(A304=A303,I303&amp;" · ","")&amp;IF(C304="카드",D304&amp;E304,"["&amp;C304&amp;"] "&amp;D304)</f>
        <v/>
      </c>
    </row>
    <row r="305">
      <c r="A305" s="5" t="n">
        <v>86</v>
      </c>
      <c r="B305" s="5" t="n">
        <v>2</v>
      </c>
      <c r="C305" s="5" t="inlineStr">
        <is>
          <t>카드</t>
        </is>
      </c>
      <c r="D305" s="5" t="inlineStr">
        <is>
          <t>헌제</t>
        </is>
      </c>
      <c r="E305" s="5" t="n">
        <v>1</v>
      </c>
      <c r="F305" s="5" t="inlineStr">
        <is>
          <t>E</t>
        </is>
      </c>
      <c r="G305" s="5">
        <f>IF(C305="카드",INDEX(비용표!$C$2:$C$7,MATCH(F305,비용표!$B$2:$B$7,0)),F305*INDEX(비용표!$C$8:$C$9,MATCH(C305,비용표!$B$8:$B$9,0)))</f>
        <v/>
      </c>
      <c r="H305" s="5">
        <f>G305*E305</f>
        <v/>
      </c>
      <c r="I305" s="10">
        <f>IF(A305=A304,I304&amp;" · ","")&amp;IF(C305="카드",D305&amp;E305,"["&amp;C305&amp;"] "&amp;D305)</f>
        <v/>
      </c>
    </row>
    <row r="306">
      <c r="A306" s="5" t="n">
        <v>86</v>
      </c>
      <c r="B306" s="5" t="n">
        <v>3</v>
      </c>
      <c r="C306" s="5" t="inlineStr">
        <is>
          <t>카드</t>
        </is>
      </c>
      <c r="D306" s="5" t="inlineStr">
        <is>
          <t>사마의</t>
        </is>
      </c>
      <c r="E306" s="5" t="n">
        <v>1</v>
      </c>
      <c r="F306" s="5" t="inlineStr">
        <is>
          <t>S</t>
        </is>
      </c>
      <c r="G306" s="5">
        <f>IF(C306="카드",INDEX(비용표!$C$2:$C$7,MATCH(F306,비용표!$B$2:$B$7,0)),F306*INDEX(비용표!$C$8:$C$9,MATCH(C306,비용표!$B$8:$B$9,0)))</f>
        <v/>
      </c>
      <c r="H306" s="5">
        <f>G306*E306</f>
        <v/>
      </c>
      <c r="I306" s="10">
        <f>IF(A306=A305,I305&amp;" · ","")&amp;IF(C306="카드",D306&amp;E306,"["&amp;C306&amp;"] "&amp;D306)</f>
        <v/>
      </c>
    </row>
    <row r="307">
      <c r="A307" s="5" t="n">
        <v>87</v>
      </c>
      <c r="B307" s="5" t="n">
        <v>1</v>
      </c>
      <c r="C307" s="5" t="inlineStr">
        <is>
          <t>카드</t>
        </is>
      </c>
      <c r="D307" s="5" t="inlineStr">
        <is>
          <t>조식</t>
        </is>
      </c>
      <c r="E307" s="5" t="n">
        <v>1</v>
      </c>
      <c r="F307" s="5" t="inlineStr">
        <is>
          <t>B</t>
        </is>
      </c>
      <c r="G307" s="5">
        <f>IF(C307="카드",INDEX(비용표!$C$2:$C$7,MATCH(F307,비용표!$B$2:$B$7,0)),F307*INDEX(비용표!$C$8:$C$9,MATCH(C307,비용표!$B$8:$B$9,0)))</f>
        <v/>
      </c>
      <c r="H307" s="5">
        <f>G307*E307</f>
        <v/>
      </c>
      <c r="I307" s="10">
        <f>IF(A307=A306,I306&amp;" · ","")&amp;IF(C307="카드",D307&amp;E307,"["&amp;C307&amp;"] "&amp;D307)</f>
        <v/>
      </c>
    </row>
    <row r="308">
      <c r="A308" s="5" t="n">
        <v>87</v>
      </c>
      <c r="B308" s="5" t="n">
        <v>2</v>
      </c>
      <c r="C308" s="5" t="inlineStr">
        <is>
          <t>카드</t>
        </is>
      </c>
      <c r="D308" s="5" t="inlineStr">
        <is>
          <t>조비</t>
        </is>
      </c>
      <c r="E308" s="5" t="n">
        <v>1</v>
      </c>
      <c r="F308" s="5" t="inlineStr">
        <is>
          <t>C</t>
        </is>
      </c>
      <c r="G308" s="5">
        <f>IF(C308="카드",INDEX(비용표!$C$2:$C$7,MATCH(F308,비용표!$B$2:$B$7,0)),F308*INDEX(비용표!$C$8:$C$9,MATCH(C308,비용표!$B$8:$B$9,0)))</f>
        <v/>
      </c>
      <c r="H308" s="5">
        <f>G308*E308</f>
        <v/>
      </c>
      <c r="I308" s="10">
        <f>IF(A308=A307,I307&amp;" · ","")&amp;IF(C308="카드",D308&amp;E308,"["&amp;C308&amp;"] "&amp;D308)</f>
        <v/>
      </c>
    </row>
    <row r="309">
      <c r="A309" s="5" t="n">
        <v>88</v>
      </c>
      <c r="B309" s="5" t="n">
        <v>1</v>
      </c>
      <c r="C309" s="5" t="inlineStr">
        <is>
          <t>카드</t>
        </is>
      </c>
      <c r="D309" s="5" t="inlineStr">
        <is>
          <t>관흥</t>
        </is>
      </c>
      <c r="E309" s="5" t="n">
        <v>1</v>
      </c>
      <c r="F309" s="5" t="inlineStr">
        <is>
          <t>A</t>
        </is>
      </c>
      <c r="G309" s="5">
        <f>IF(C309="카드",INDEX(비용표!$C$2:$C$7,MATCH(F309,비용표!$B$2:$B$7,0)),F309*INDEX(비용표!$C$8:$C$9,MATCH(C309,비용표!$B$8:$B$9,0)))</f>
        <v/>
      </c>
      <c r="H309" s="5">
        <f>G309*E309</f>
        <v/>
      </c>
      <c r="I309" s="10">
        <f>IF(A309=A308,I308&amp;" · ","")&amp;IF(C309="카드",D309&amp;E309,"["&amp;C309&amp;"] "&amp;D309)</f>
        <v/>
      </c>
    </row>
    <row r="310">
      <c r="A310" s="5" t="n">
        <v>88</v>
      </c>
      <c r="B310" s="5" t="n">
        <v>2</v>
      </c>
      <c r="C310" s="5" t="inlineStr">
        <is>
          <t>카드</t>
        </is>
      </c>
      <c r="D310" s="5" t="inlineStr">
        <is>
          <t>장포</t>
        </is>
      </c>
      <c r="E310" s="5" t="n">
        <v>1</v>
      </c>
      <c r="F310" s="5" t="inlineStr">
        <is>
          <t>A</t>
        </is>
      </c>
      <c r="G310" s="5">
        <f>IF(C310="카드",INDEX(비용표!$C$2:$C$7,MATCH(F310,비용표!$B$2:$B$7,0)),F310*INDEX(비용표!$C$8:$C$9,MATCH(C310,비용표!$B$8:$B$9,0)))</f>
        <v/>
      </c>
      <c r="H310" s="5">
        <f>G310*E310</f>
        <v/>
      </c>
      <c r="I310" s="10">
        <f>IF(A310=A309,I309&amp;" · ","")&amp;IF(C310="카드",D310&amp;E310,"["&amp;C310&amp;"] "&amp;D310)</f>
        <v/>
      </c>
    </row>
    <row r="311">
      <c r="A311" s="5" t="n">
        <v>89</v>
      </c>
      <c r="B311" s="5" t="n">
        <v>1</v>
      </c>
      <c r="C311" s="5" t="inlineStr">
        <is>
          <t>카드</t>
        </is>
      </c>
      <c r="D311" s="5" t="inlineStr">
        <is>
          <t>사마가</t>
        </is>
      </c>
      <c r="E311" s="5" t="n">
        <v>1</v>
      </c>
      <c r="F311" s="5" t="inlineStr">
        <is>
          <t>A</t>
        </is>
      </c>
      <c r="G311" s="5">
        <f>IF(C311="카드",INDEX(비용표!$C$2:$C$7,MATCH(F311,비용표!$B$2:$B$7,0)),F311*INDEX(비용표!$C$8:$C$9,MATCH(C311,비용표!$B$8:$B$9,0)))</f>
        <v/>
      </c>
      <c r="H311" s="5">
        <f>G311*E311</f>
        <v/>
      </c>
      <c r="I311" s="10">
        <f>IF(A311=A310,I310&amp;" · ","")&amp;IF(C311="카드",D311&amp;E311,"["&amp;C311&amp;"] "&amp;D311)</f>
        <v/>
      </c>
    </row>
    <row r="312">
      <c r="A312" s="5" t="n">
        <v>89</v>
      </c>
      <c r="B312" s="5" t="n">
        <v>2</v>
      </c>
      <c r="C312" s="5" t="inlineStr">
        <is>
          <t>카드</t>
        </is>
      </c>
      <c r="D312" s="5" t="inlineStr">
        <is>
          <t>감녕</t>
        </is>
      </c>
      <c r="E312" s="5" t="n">
        <v>1</v>
      </c>
      <c r="F312" s="5" t="inlineStr">
        <is>
          <t>S</t>
        </is>
      </c>
      <c r="G312" s="5">
        <f>IF(C312="카드",INDEX(비용표!$C$2:$C$7,MATCH(F312,비용표!$B$2:$B$7,0)),F312*INDEX(비용표!$C$8:$C$9,MATCH(C312,비용표!$B$8:$B$9,0)))</f>
        <v/>
      </c>
      <c r="H312" s="5">
        <f>G312*E312</f>
        <v/>
      </c>
      <c r="I312" s="10">
        <f>IF(A312=A311,I311&amp;" · ","")&amp;IF(C312="카드",D312&amp;E312,"["&amp;C312&amp;"] "&amp;D312)</f>
        <v/>
      </c>
    </row>
    <row r="313">
      <c r="A313" s="5" t="n">
        <v>89</v>
      </c>
      <c r="B313" s="5" t="n">
        <v>3</v>
      </c>
      <c r="C313" s="5" t="inlineStr">
        <is>
          <t>카드</t>
        </is>
      </c>
      <c r="D313" s="5" t="inlineStr">
        <is>
          <t>유비</t>
        </is>
      </c>
      <c r="E313" s="5" t="n">
        <v>1</v>
      </c>
      <c r="F313" s="5" t="inlineStr">
        <is>
          <t>S</t>
        </is>
      </c>
      <c r="G313" s="5">
        <f>IF(C313="카드",INDEX(비용표!$C$2:$C$7,MATCH(F313,비용표!$B$2:$B$7,0)),F313*INDEX(비용표!$C$8:$C$9,MATCH(C313,비용표!$B$8:$B$9,0)))</f>
        <v/>
      </c>
      <c r="H313" s="5">
        <f>G313*E313</f>
        <v/>
      </c>
      <c r="I313" s="10">
        <f>IF(A313=A312,I312&amp;" · ","")&amp;IF(C313="카드",D313&amp;E313,"["&amp;C313&amp;"] "&amp;D313)</f>
        <v/>
      </c>
    </row>
    <row r="314">
      <c r="A314" s="5" t="n">
        <v>90</v>
      </c>
      <c r="B314" s="5" t="n">
        <v>1</v>
      </c>
      <c r="C314" s="5" t="inlineStr">
        <is>
          <t>카드</t>
        </is>
      </c>
      <c r="D314" s="5" t="inlineStr">
        <is>
          <t>육손</t>
        </is>
      </c>
      <c r="E314" s="5" t="n">
        <v>1</v>
      </c>
      <c r="F314" s="5" t="inlineStr">
        <is>
          <t>S</t>
        </is>
      </c>
      <c r="G314" s="5">
        <f>IF(C314="카드",INDEX(비용표!$C$2:$C$7,MATCH(F314,비용표!$B$2:$B$7,0)),F314*INDEX(비용표!$C$8:$C$9,MATCH(C314,비용표!$B$8:$B$9,0)))</f>
        <v/>
      </c>
      <c r="H314" s="5">
        <f>G314*E314</f>
        <v/>
      </c>
      <c r="I314" s="10">
        <f>IF(A314=A313,I313&amp;" · ","")&amp;IF(C314="카드",D314&amp;E314,"["&amp;C314&amp;"] "&amp;D314)</f>
        <v/>
      </c>
    </row>
    <row r="315">
      <c r="A315" s="5" t="n">
        <v>90</v>
      </c>
      <c r="B315" s="5" t="n">
        <v>2</v>
      </c>
      <c r="C315" s="5" t="inlineStr">
        <is>
          <t>카드</t>
        </is>
      </c>
      <c r="D315" s="5" t="inlineStr">
        <is>
          <t>유비</t>
        </is>
      </c>
      <c r="E315" s="5" t="n">
        <v>1</v>
      </c>
      <c r="F315" s="5" t="inlineStr">
        <is>
          <t>S</t>
        </is>
      </c>
      <c r="G315" s="5">
        <f>IF(C315="카드",INDEX(비용표!$C$2:$C$7,MATCH(F315,비용표!$B$2:$B$7,0)),F315*INDEX(비용표!$C$8:$C$9,MATCH(C315,비용표!$B$8:$B$9,0)))</f>
        <v/>
      </c>
      <c r="H315" s="5">
        <f>G315*E315</f>
        <v/>
      </c>
      <c r="I315" s="10">
        <f>IF(A315=A314,I314&amp;" · ","")&amp;IF(C315="카드",D315&amp;E315,"["&amp;C315&amp;"] "&amp;D315)</f>
        <v/>
      </c>
    </row>
    <row r="316">
      <c r="A316" s="5" t="n">
        <v>90</v>
      </c>
      <c r="B316" s="5" t="n">
        <v>3</v>
      </c>
      <c r="C316" s="5" t="inlineStr">
        <is>
          <t>카드</t>
        </is>
      </c>
      <c r="D316" s="5" t="inlineStr">
        <is>
          <t>주연</t>
        </is>
      </c>
      <c r="E316" s="5" t="n">
        <v>1</v>
      </c>
      <c r="F316" s="5" t="inlineStr">
        <is>
          <t>B</t>
        </is>
      </c>
      <c r="G316" s="5">
        <f>IF(C316="카드",INDEX(비용표!$C$2:$C$7,MATCH(F316,비용표!$B$2:$B$7,0)),F316*INDEX(비용표!$C$8:$C$9,MATCH(C316,비용표!$B$8:$B$9,0)))</f>
        <v/>
      </c>
      <c r="H316" s="5">
        <f>G316*E316</f>
        <v/>
      </c>
      <c r="I316" s="10">
        <f>IF(A316=A315,I315&amp;" · ","")&amp;IF(C316="카드",D316&amp;E316,"["&amp;C316&amp;"] "&amp;D316)</f>
        <v/>
      </c>
    </row>
    <row r="317">
      <c r="A317" s="5" t="n">
        <v>90</v>
      </c>
      <c r="B317" s="5" t="n">
        <v>4</v>
      </c>
      <c r="C317" s="5" t="inlineStr">
        <is>
          <t>카드</t>
        </is>
      </c>
      <c r="D317" s="5" t="inlineStr">
        <is>
          <t>마량</t>
        </is>
      </c>
      <c r="E317" s="5" t="n">
        <v>1</v>
      </c>
      <c r="F317" s="5" t="inlineStr">
        <is>
          <t>A</t>
        </is>
      </c>
      <c r="G317" s="5">
        <f>IF(C317="카드",INDEX(비용표!$C$2:$C$7,MATCH(F317,비용표!$B$2:$B$7,0)),F317*INDEX(비용표!$C$8:$C$9,MATCH(C317,비용표!$B$8:$B$9,0)))</f>
        <v/>
      </c>
      <c r="H317" s="5">
        <f>G317*E317</f>
        <v/>
      </c>
      <c r="I317" s="10">
        <f>IF(A317=A316,I316&amp;" · ","")&amp;IF(C317="카드",D317&amp;E317,"["&amp;C317&amp;"] "&amp;D317)</f>
        <v/>
      </c>
    </row>
    <row r="318">
      <c r="A318" s="5" t="n">
        <v>90</v>
      </c>
      <c r="B318" s="5" t="n">
        <v>5</v>
      </c>
      <c r="C318" s="5" t="inlineStr">
        <is>
          <t>카드</t>
        </is>
      </c>
      <c r="D318" s="5" t="inlineStr">
        <is>
          <t>황권</t>
        </is>
      </c>
      <c r="E318" s="5" t="n">
        <v>1</v>
      </c>
      <c r="F318" s="5" t="inlineStr">
        <is>
          <t>B</t>
        </is>
      </c>
      <c r="G318" s="5">
        <f>IF(C318="카드",INDEX(비용표!$C$2:$C$7,MATCH(F318,비용표!$B$2:$B$7,0)),F318*INDEX(비용표!$C$8:$C$9,MATCH(C318,비용표!$B$8:$B$9,0)))</f>
        <v/>
      </c>
      <c r="H318" s="5">
        <f>G318*E318</f>
        <v/>
      </c>
      <c r="I318" s="10">
        <f>IF(A318=A317,I317&amp;" · ","")&amp;IF(C318="카드",D318&amp;E318,"["&amp;C318&amp;"] "&amp;D318)</f>
        <v/>
      </c>
    </row>
    <row r="319">
      <c r="A319" s="5" t="n">
        <v>91</v>
      </c>
      <c r="B319" s="5" t="n">
        <v>1</v>
      </c>
      <c r="C319" s="5" t="inlineStr">
        <is>
          <t>카드</t>
        </is>
      </c>
      <c r="D319" s="5" t="inlineStr">
        <is>
          <t>유비</t>
        </is>
      </c>
      <c r="E319" s="5" t="n">
        <v>1</v>
      </c>
      <c r="F319" s="5" t="inlineStr">
        <is>
          <t>S</t>
        </is>
      </c>
      <c r="G319" s="5">
        <f>IF(C319="카드",INDEX(비용표!$C$2:$C$7,MATCH(F319,비용표!$B$2:$B$7,0)),F319*INDEX(비용표!$C$8:$C$9,MATCH(C319,비용표!$B$8:$B$9,0)))</f>
        <v/>
      </c>
      <c r="H319" s="5">
        <f>G319*E319</f>
        <v/>
      </c>
      <c r="I319" s="10">
        <f>IF(A319=A318,I318&amp;" · ","")&amp;IF(C319="카드",D319&amp;E319,"["&amp;C319&amp;"] "&amp;D319)</f>
        <v/>
      </c>
    </row>
    <row r="320">
      <c r="A320" s="5" t="n">
        <v>91</v>
      </c>
      <c r="B320" s="5" t="n">
        <v>2</v>
      </c>
      <c r="C320" s="5" t="inlineStr">
        <is>
          <t>카드</t>
        </is>
      </c>
      <c r="D320" s="5" t="inlineStr">
        <is>
          <t>제갈량</t>
        </is>
      </c>
      <c r="E320" s="5" t="n">
        <v>1</v>
      </c>
      <c r="F320" s="5" t="inlineStr">
        <is>
          <t>S</t>
        </is>
      </c>
      <c r="G320" s="5">
        <f>IF(C320="카드",INDEX(비용표!$C$2:$C$7,MATCH(F320,비용표!$B$2:$B$7,0)),F320*INDEX(비용표!$C$8:$C$9,MATCH(C320,비용표!$B$8:$B$9,0)))</f>
        <v/>
      </c>
      <c r="H320" s="5">
        <f>G320*E320</f>
        <v/>
      </c>
      <c r="I320" s="10">
        <f>IF(A320=A319,I319&amp;" · ","")&amp;IF(C320="카드",D320&amp;E320,"["&amp;C320&amp;"] "&amp;D320)</f>
        <v/>
      </c>
    </row>
    <row r="321">
      <c r="A321" s="5" t="n">
        <v>91</v>
      </c>
      <c r="B321" s="5" t="n">
        <v>3</v>
      </c>
      <c r="C321" s="5" t="inlineStr">
        <is>
          <t>카드</t>
        </is>
      </c>
      <c r="D321" s="5" t="inlineStr">
        <is>
          <t>유선</t>
        </is>
      </c>
      <c r="E321" s="5" t="n">
        <v>1</v>
      </c>
      <c r="F321" s="5" t="inlineStr">
        <is>
          <t>D</t>
        </is>
      </c>
      <c r="G321" s="5">
        <f>IF(C321="카드",INDEX(비용표!$C$2:$C$7,MATCH(F321,비용표!$B$2:$B$7,0)),F321*INDEX(비용표!$C$8:$C$9,MATCH(C321,비용표!$B$8:$B$9,0)))</f>
        <v/>
      </c>
      <c r="H321" s="5">
        <f>G321*E321</f>
        <v/>
      </c>
      <c r="I321" s="10">
        <f>IF(A321=A320,I320&amp;" · ","")&amp;IF(C321="카드",D321&amp;E321,"["&amp;C321&amp;"] "&amp;D321)</f>
        <v/>
      </c>
    </row>
    <row r="322">
      <c r="A322" s="5" t="n">
        <v>91</v>
      </c>
      <c r="B322" s="5" t="n">
        <v>4</v>
      </c>
      <c r="C322" s="5" t="inlineStr">
        <is>
          <t>카드</t>
        </is>
      </c>
      <c r="D322" s="5" t="inlineStr">
        <is>
          <t>이엄</t>
        </is>
      </c>
      <c r="E322" s="5" t="n">
        <v>1</v>
      </c>
      <c r="F322" s="5" t="inlineStr">
        <is>
          <t>A</t>
        </is>
      </c>
      <c r="G322" s="5">
        <f>IF(C322="카드",INDEX(비용표!$C$2:$C$7,MATCH(F322,비용표!$B$2:$B$7,0)),F322*INDEX(비용표!$C$8:$C$9,MATCH(C322,비용표!$B$8:$B$9,0)))</f>
        <v/>
      </c>
      <c r="H322" s="5">
        <f>G322*E322</f>
        <v/>
      </c>
      <c r="I322" s="10">
        <f>IF(A322=A321,I321&amp;" · ","")&amp;IF(C322="카드",D322&amp;E322,"["&amp;C322&amp;"] "&amp;D322)</f>
        <v/>
      </c>
    </row>
    <row r="323">
      <c r="A323" s="5" t="n">
        <v>91</v>
      </c>
      <c r="B323" s="5" t="n">
        <v>5</v>
      </c>
      <c r="C323" s="5" t="inlineStr">
        <is>
          <t>카드</t>
        </is>
      </c>
      <c r="D323" s="5" t="inlineStr">
        <is>
          <t>조운</t>
        </is>
      </c>
      <c r="E323" s="5" t="n">
        <v>1</v>
      </c>
      <c r="F323" s="5" t="inlineStr">
        <is>
          <t>S</t>
        </is>
      </c>
      <c r="G323" s="5">
        <f>IF(C323="카드",INDEX(비용표!$C$2:$C$7,MATCH(F323,비용표!$B$2:$B$7,0)),F323*INDEX(비용표!$C$8:$C$9,MATCH(C323,비용표!$B$8:$B$9,0)))</f>
        <v/>
      </c>
      <c r="H323" s="5">
        <f>G323*E323</f>
        <v/>
      </c>
      <c r="I323" s="10">
        <f>IF(A323=A322,I322&amp;" · ","")&amp;IF(C323="카드",D323&amp;E323,"["&amp;C323&amp;"] "&amp;D323)</f>
        <v/>
      </c>
    </row>
    <row r="324">
      <c r="A324" s="5" t="n">
        <v>92</v>
      </c>
      <c r="B324" s="5" t="n">
        <v>1</v>
      </c>
      <c r="C324" s="5" t="inlineStr">
        <is>
          <t>카드</t>
        </is>
      </c>
      <c r="D324" s="5" t="inlineStr">
        <is>
          <t>서성</t>
        </is>
      </c>
      <c r="E324" s="5" t="n">
        <v>1</v>
      </c>
      <c r="F324" s="5" t="inlineStr">
        <is>
          <t>B</t>
        </is>
      </c>
      <c r="G324" s="5">
        <f>IF(C324="카드",INDEX(비용표!$C$2:$C$7,MATCH(F324,비용표!$B$2:$B$7,0)),F324*INDEX(비용표!$C$8:$C$9,MATCH(C324,비용표!$B$8:$B$9,0)))</f>
        <v/>
      </c>
      <c r="H324" s="5">
        <f>G324*E324</f>
        <v/>
      </c>
      <c r="I324" s="10">
        <f>IF(A324=A323,I323&amp;" · ","")&amp;IF(C324="카드",D324&amp;E324,"["&amp;C324&amp;"] "&amp;D324)</f>
        <v/>
      </c>
    </row>
    <row r="325">
      <c r="A325" s="5" t="n">
        <v>92</v>
      </c>
      <c r="B325" s="5" t="n">
        <v>2</v>
      </c>
      <c r="C325" s="5" t="inlineStr">
        <is>
          <t>카드</t>
        </is>
      </c>
      <c r="D325" s="5" t="inlineStr">
        <is>
          <t>조비</t>
        </is>
      </c>
      <c r="E325" s="5" t="n">
        <v>1</v>
      </c>
      <c r="F325" s="5" t="inlineStr">
        <is>
          <t>C</t>
        </is>
      </c>
      <c r="G325" s="5">
        <f>IF(C325="카드",INDEX(비용표!$C$2:$C$7,MATCH(F325,비용표!$B$2:$B$7,0)),F325*INDEX(비용표!$C$8:$C$9,MATCH(C325,비용표!$B$8:$B$9,0)))</f>
        <v/>
      </c>
      <c r="H325" s="5">
        <f>G325*E325</f>
        <v/>
      </c>
      <c r="I325" s="10">
        <f>IF(A325=A324,I324&amp;" · ","")&amp;IF(C325="카드",D325&amp;E325,"["&amp;C325&amp;"] "&amp;D325)</f>
        <v/>
      </c>
    </row>
    <row r="326">
      <c r="A326" s="5" t="n">
        <v>93</v>
      </c>
      <c r="B326" s="5" t="n">
        <v>1</v>
      </c>
      <c r="C326" s="5" t="inlineStr">
        <is>
          <t>카드</t>
        </is>
      </c>
      <c r="D326" s="5" t="inlineStr">
        <is>
          <t>축융</t>
        </is>
      </c>
      <c r="E326" s="5" t="n">
        <v>1</v>
      </c>
      <c r="F326" s="5" t="inlineStr">
        <is>
          <t>B</t>
        </is>
      </c>
      <c r="G326" s="5">
        <f>IF(C326="카드",INDEX(비용표!$C$2:$C$7,MATCH(F326,비용표!$B$2:$B$7,0)),F326*INDEX(비용표!$C$8:$C$9,MATCH(C326,비용표!$B$8:$B$9,0)))</f>
        <v/>
      </c>
      <c r="H326" s="5">
        <f>G326*E326</f>
        <v/>
      </c>
      <c r="I326" s="10">
        <f>IF(A326=A325,I325&amp;" · ","")&amp;IF(C326="카드",D326&amp;E326,"["&amp;C326&amp;"] "&amp;D326)</f>
        <v/>
      </c>
    </row>
    <row r="327">
      <c r="A327" s="5" t="n">
        <v>93</v>
      </c>
      <c r="B327" s="5" t="n">
        <v>2</v>
      </c>
      <c r="C327" s="5" t="inlineStr">
        <is>
          <t>카드</t>
        </is>
      </c>
      <c r="D327" s="5" t="inlineStr">
        <is>
          <t>오란</t>
        </is>
      </c>
      <c r="E327" s="5" t="n">
        <v>1</v>
      </c>
      <c r="F327" s="5" t="inlineStr">
        <is>
          <t>A</t>
        </is>
      </c>
      <c r="G327" s="5">
        <f>IF(C327="카드",INDEX(비용표!$C$2:$C$7,MATCH(F327,비용표!$B$2:$B$7,0)),F327*INDEX(비용표!$C$8:$C$9,MATCH(C327,비용표!$B$8:$B$9,0)))</f>
        <v/>
      </c>
      <c r="H327" s="5">
        <f>G327*E327</f>
        <v/>
      </c>
      <c r="I327" s="10">
        <f>IF(A327=A326,I326&amp;" · ","")&amp;IF(C327="카드",D327&amp;E327,"["&amp;C327&amp;"] "&amp;D327)</f>
        <v/>
      </c>
    </row>
    <row r="328">
      <c r="A328" s="5" t="n">
        <v>93</v>
      </c>
      <c r="B328" s="5" t="n">
        <v>3</v>
      </c>
      <c r="C328" s="5" t="inlineStr">
        <is>
          <t>카드</t>
        </is>
      </c>
      <c r="D328" s="5" t="inlineStr">
        <is>
          <t>제갈량</t>
        </is>
      </c>
      <c r="E328" s="5" t="n">
        <v>1</v>
      </c>
      <c r="F328" s="5" t="inlineStr">
        <is>
          <t>S</t>
        </is>
      </c>
      <c r="G328" s="5">
        <f>IF(C328="카드",INDEX(비용표!$C$2:$C$7,MATCH(F328,비용표!$B$2:$B$7,0)),F328*INDEX(비용표!$C$8:$C$9,MATCH(C328,비용표!$B$8:$B$9,0)))</f>
        <v/>
      </c>
      <c r="H328" s="5">
        <f>G328*E328</f>
        <v/>
      </c>
      <c r="I328" s="10">
        <f>IF(A328=A327,I327&amp;" · ","")&amp;IF(C328="카드",D328&amp;E328,"["&amp;C328&amp;"] "&amp;D328)</f>
        <v/>
      </c>
    </row>
    <row r="329">
      <c r="A329" s="5" t="n">
        <v>93</v>
      </c>
      <c r="B329" s="5" t="n">
        <v>4</v>
      </c>
      <c r="C329" s="5" t="inlineStr">
        <is>
          <t>카드</t>
        </is>
      </c>
      <c r="D329" s="5" t="inlineStr">
        <is>
          <t>마대</t>
        </is>
      </c>
      <c r="E329" s="5" t="n">
        <v>1</v>
      </c>
      <c r="F329" s="5" t="inlineStr">
        <is>
          <t>B</t>
        </is>
      </c>
      <c r="G329" s="5">
        <f>IF(C329="카드",INDEX(비용표!$C$2:$C$7,MATCH(F329,비용표!$B$2:$B$7,0)),F329*INDEX(비용표!$C$8:$C$9,MATCH(C329,비용표!$B$8:$B$9,0)))</f>
        <v/>
      </c>
      <c r="H329" s="5">
        <f>G329*E329</f>
        <v/>
      </c>
      <c r="I329" s="10">
        <f>IF(A329=A328,I328&amp;" · ","")&amp;IF(C329="카드",D329&amp;E329,"["&amp;C329&amp;"] "&amp;D329)</f>
        <v/>
      </c>
    </row>
    <row r="330">
      <c r="A330" s="5" t="n">
        <v>93</v>
      </c>
      <c r="B330" s="5" t="n">
        <v>5</v>
      </c>
      <c r="C330" s="5" t="inlineStr">
        <is>
          <t>카드</t>
        </is>
      </c>
      <c r="D330" s="5" t="inlineStr">
        <is>
          <t>왕평</t>
        </is>
      </c>
      <c r="E330" s="5" t="n">
        <v>1</v>
      </c>
      <c r="F330" s="5" t="inlineStr">
        <is>
          <t>B</t>
        </is>
      </c>
      <c r="G330" s="5">
        <f>IF(C330="카드",INDEX(비용표!$C$2:$C$7,MATCH(F330,비용표!$B$2:$B$7,0)),F330*INDEX(비용표!$C$8:$C$9,MATCH(C330,비용표!$B$8:$B$9,0)))</f>
        <v/>
      </c>
      <c r="H330" s="5">
        <f>G330*E330</f>
        <v/>
      </c>
      <c r="I330" s="10">
        <f>IF(A330=A329,I329&amp;" · ","")&amp;IF(C330="카드",D330&amp;E330,"["&amp;C330&amp;"] "&amp;D330)</f>
        <v/>
      </c>
    </row>
    <row r="331">
      <c r="A331" s="5" t="n">
        <v>94</v>
      </c>
      <c r="B331" s="5" t="n">
        <v>1</v>
      </c>
      <c r="C331" s="5" t="inlineStr">
        <is>
          <t>카드</t>
        </is>
      </c>
      <c r="D331" s="5" t="inlineStr">
        <is>
          <t>제갈량</t>
        </is>
      </c>
      <c r="E331" s="5" t="n">
        <v>1</v>
      </c>
      <c r="F331" s="5" t="inlineStr">
        <is>
          <t>S</t>
        </is>
      </c>
      <c r="G331" s="5">
        <f>IF(C331="카드",INDEX(비용표!$C$2:$C$7,MATCH(F331,비용표!$B$2:$B$7,0)),F331*INDEX(비용표!$C$8:$C$9,MATCH(C331,비용표!$B$8:$B$9,0)))</f>
        <v/>
      </c>
      <c r="H331" s="5">
        <f>G331*E331</f>
        <v/>
      </c>
      <c r="I331" s="10">
        <f>IF(A331=A330,I330&amp;" · ","")&amp;IF(C331="카드",D331&amp;E331,"["&amp;C331&amp;"] "&amp;D331)</f>
        <v/>
      </c>
    </row>
    <row r="332">
      <c r="A332" s="5" t="n">
        <v>94</v>
      </c>
      <c r="B332" s="5" t="n">
        <v>2</v>
      </c>
      <c r="C332" s="5" t="inlineStr">
        <is>
          <t>카드</t>
        </is>
      </c>
      <c r="D332" s="5" t="inlineStr">
        <is>
          <t>유선</t>
        </is>
      </c>
      <c r="E332" s="5" t="n">
        <v>1</v>
      </c>
      <c r="F332" s="5" t="inlineStr">
        <is>
          <t>D</t>
        </is>
      </c>
      <c r="G332" s="5">
        <f>IF(C332="카드",INDEX(비용표!$C$2:$C$7,MATCH(F332,비용표!$B$2:$B$7,0)),F332*INDEX(비용표!$C$8:$C$9,MATCH(C332,비용표!$B$8:$B$9,0)))</f>
        <v/>
      </c>
      <c r="H332" s="5">
        <f>G332*E332</f>
        <v/>
      </c>
      <c r="I332" s="10">
        <f>IF(A332=A331,I331&amp;" · ","")&amp;IF(C332="카드",D332&amp;E332,"["&amp;C332&amp;"] "&amp;D332)</f>
        <v/>
      </c>
    </row>
    <row r="333">
      <c r="A333" s="5" t="n">
        <v>94</v>
      </c>
      <c r="B333" s="5" t="n">
        <v>3</v>
      </c>
      <c r="C333" s="5" t="inlineStr">
        <is>
          <t>카드</t>
        </is>
      </c>
      <c r="D333" s="5" t="inlineStr">
        <is>
          <t>조운</t>
        </is>
      </c>
      <c r="E333" s="5" t="n">
        <v>1</v>
      </c>
      <c r="F333" s="5" t="inlineStr">
        <is>
          <t>S</t>
        </is>
      </c>
      <c r="G333" s="5">
        <f>IF(C333="카드",INDEX(비용표!$C$2:$C$7,MATCH(F333,비용표!$B$2:$B$7,0)),F333*INDEX(비용표!$C$8:$C$9,MATCH(C333,비용표!$B$8:$B$9,0)))</f>
        <v/>
      </c>
      <c r="H333" s="5">
        <f>G333*E333</f>
        <v/>
      </c>
      <c r="I333" s="10">
        <f>IF(A333=A332,I332&amp;" · ","")&amp;IF(C333="카드",D333&amp;E333,"["&amp;C333&amp;"] "&amp;D333)</f>
        <v/>
      </c>
    </row>
    <row r="334">
      <c r="A334" s="5" t="n">
        <v>94</v>
      </c>
      <c r="B334" s="5" t="n">
        <v>4</v>
      </c>
      <c r="C334" s="5" t="inlineStr">
        <is>
          <t>카드</t>
        </is>
      </c>
      <c r="D334" s="5" t="inlineStr">
        <is>
          <t>위연</t>
        </is>
      </c>
      <c r="E334" s="5" t="n">
        <v>1</v>
      </c>
      <c r="F334" s="5" t="inlineStr">
        <is>
          <t>A</t>
        </is>
      </c>
      <c r="G334" s="5">
        <f>IF(C334="카드",INDEX(비용표!$C$2:$C$7,MATCH(F334,비용표!$B$2:$B$7,0)),F334*INDEX(비용표!$C$8:$C$9,MATCH(C334,비용표!$B$8:$B$9,0)))</f>
        <v/>
      </c>
      <c r="H334" s="5">
        <f>G334*E334</f>
        <v/>
      </c>
      <c r="I334" s="10">
        <f>IF(A334=A333,I333&amp;" · ","")&amp;IF(C334="카드",D334&amp;E334,"["&amp;C334&amp;"] "&amp;D334)</f>
        <v/>
      </c>
    </row>
    <row r="335">
      <c r="A335" s="5" t="n">
        <v>94</v>
      </c>
      <c r="B335" s="5" t="n">
        <v>5</v>
      </c>
      <c r="C335" s="5" t="inlineStr">
        <is>
          <t>카드</t>
        </is>
      </c>
      <c r="D335" s="5" t="inlineStr">
        <is>
          <t>비위</t>
        </is>
      </c>
      <c r="E335" s="5" t="n">
        <v>1</v>
      </c>
      <c r="F335" s="5" t="inlineStr">
        <is>
          <t>B</t>
        </is>
      </c>
      <c r="G335" s="5">
        <f>IF(C335="카드",INDEX(비용표!$C$2:$C$7,MATCH(F335,비용표!$B$2:$B$7,0)),F335*INDEX(비용표!$C$8:$C$9,MATCH(C335,비용표!$B$8:$B$9,0)))</f>
        <v/>
      </c>
      <c r="H335" s="5">
        <f>G335*E335</f>
        <v/>
      </c>
      <c r="I335" s="10">
        <f>IF(A335=A334,I334&amp;" · ","")&amp;IF(C335="카드",D335&amp;E335,"["&amp;C335&amp;"] "&amp;D335)</f>
        <v/>
      </c>
    </row>
    <row r="336">
      <c r="A336" s="5" t="n">
        <v>95</v>
      </c>
      <c r="B336" s="5" t="n">
        <v>1</v>
      </c>
      <c r="C336" s="5" t="inlineStr">
        <is>
          <t>카드</t>
        </is>
      </c>
      <c r="D336" s="5" t="inlineStr">
        <is>
          <t>장로</t>
        </is>
      </c>
      <c r="E336" s="5" t="n">
        <v>1</v>
      </c>
      <c r="F336" s="5" t="inlineStr">
        <is>
          <t>A</t>
        </is>
      </c>
      <c r="G336" s="5">
        <f>IF(C336="카드",INDEX(비용표!$C$2:$C$7,MATCH(F336,비용표!$B$2:$B$7,0)),F336*INDEX(비용표!$C$8:$C$9,MATCH(C336,비용표!$B$8:$B$9,0)))</f>
        <v/>
      </c>
      <c r="H336" s="5">
        <f>G336*E336</f>
        <v/>
      </c>
      <c r="I336" s="10">
        <f>IF(A336=A335,I335&amp;" · ","")&amp;IF(C336="카드",D336&amp;E336,"["&amp;C336&amp;"] "&amp;D336)</f>
        <v/>
      </c>
    </row>
    <row r="337">
      <c r="A337" s="5" t="n">
        <v>95</v>
      </c>
      <c r="B337" s="5" t="n">
        <v>2</v>
      </c>
      <c r="C337" s="5" t="inlineStr">
        <is>
          <t>카드</t>
        </is>
      </c>
      <c r="D337" s="5" t="inlineStr">
        <is>
          <t>염포</t>
        </is>
      </c>
      <c r="E337" s="5" t="n">
        <v>1</v>
      </c>
      <c r="F337" s="5" t="inlineStr">
        <is>
          <t>B</t>
        </is>
      </c>
      <c r="G337" s="5">
        <f>IF(C337="카드",INDEX(비용표!$C$2:$C$7,MATCH(F337,비용표!$B$2:$B$7,0)),F337*INDEX(비용표!$C$8:$C$9,MATCH(C337,비용표!$B$8:$B$9,0)))</f>
        <v/>
      </c>
      <c r="H337" s="5">
        <f>G337*E337</f>
        <v/>
      </c>
      <c r="I337" s="10">
        <f>IF(A337=A336,I336&amp;" · ","")&amp;IF(C337="카드",D337&amp;E337,"["&amp;C337&amp;"] "&amp;D337)</f>
        <v/>
      </c>
    </row>
    <row r="338">
      <c r="A338" s="5" t="n">
        <v>95</v>
      </c>
      <c r="B338" s="5" t="n">
        <v>3</v>
      </c>
      <c r="C338" s="5" t="inlineStr">
        <is>
          <t>카드</t>
        </is>
      </c>
      <c r="D338" s="5" t="inlineStr">
        <is>
          <t>양송</t>
        </is>
      </c>
      <c r="E338" s="5" t="n">
        <v>1</v>
      </c>
      <c r="F338" s="5" t="inlineStr">
        <is>
          <t>D</t>
        </is>
      </c>
      <c r="G338" s="5">
        <f>IF(C338="카드",INDEX(비용표!$C$2:$C$7,MATCH(F338,비용표!$B$2:$B$7,0)),F338*INDEX(비용표!$C$8:$C$9,MATCH(C338,비용표!$B$8:$B$9,0)))</f>
        <v/>
      </c>
      <c r="H338" s="5">
        <f>G338*E338</f>
        <v/>
      </c>
      <c r="I338" s="10">
        <f>IF(A338=A337,I337&amp;" · ","")&amp;IF(C338="카드",D338&amp;E338,"["&amp;C338&amp;"] "&amp;D338)</f>
        <v/>
      </c>
    </row>
    <row r="339">
      <c r="A339" s="5" t="n">
        <v>95</v>
      </c>
      <c r="B339" s="5" t="n">
        <v>4</v>
      </c>
      <c r="C339" s="5" t="inlineStr">
        <is>
          <t>카드</t>
        </is>
      </c>
      <c r="D339" s="5" t="inlineStr">
        <is>
          <t>양앙</t>
        </is>
      </c>
      <c r="E339" s="5" t="n">
        <v>1</v>
      </c>
      <c r="F339" s="5" t="inlineStr">
        <is>
          <t>C</t>
        </is>
      </c>
      <c r="G339" s="5">
        <f>IF(C339="카드",INDEX(비용표!$C$2:$C$7,MATCH(F339,비용표!$B$2:$B$7,0)),F339*INDEX(비용표!$C$8:$C$9,MATCH(C339,비용표!$B$8:$B$9,0)))</f>
        <v/>
      </c>
      <c r="H339" s="5">
        <f>G339*E339</f>
        <v/>
      </c>
      <c r="I339" s="10">
        <f>IF(A339=A338,I338&amp;" · ","")&amp;IF(C339="카드",D339&amp;E339,"["&amp;C339&amp;"] "&amp;D339)</f>
        <v/>
      </c>
    </row>
    <row r="340">
      <c r="A340" s="5" t="n">
        <v>95</v>
      </c>
      <c r="B340" s="5" t="n">
        <v>5</v>
      </c>
      <c r="C340" s="5" t="inlineStr">
        <is>
          <t>카드</t>
        </is>
      </c>
      <c r="D340" s="5" t="inlineStr">
        <is>
          <t>양임</t>
        </is>
      </c>
      <c r="E340" s="5" t="n">
        <v>1</v>
      </c>
      <c r="F340" s="5" t="inlineStr">
        <is>
          <t>D</t>
        </is>
      </c>
      <c r="G340" s="5">
        <f>IF(C340="카드",INDEX(비용표!$C$2:$C$7,MATCH(F340,비용표!$B$2:$B$7,0)),F340*INDEX(비용표!$C$8:$C$9,MATCH(C340,비용표!$B$8:$B$9,0)))</f>
        <v/>
      </c>
      <c r="H340" s="5">
        <f>G340*E340</f>
        <v/>
      </c>
      <c r="I340" s="10">
        <f>IF(A340=A339,I339&amp;" · ","")&amp;IF(C340="카드",D340&amp;E340,"["&amp;C340&amp;"] "&amp;D340)</f>
        <v/>
      </c>
    </row>
    <row r="341">
      <c r="A341" s="5" t="n">
        <v>96</v>
      </c>
      <c r="B341" s="5" t="n">
        <v>1</v>
      </c>
      <c r="C341" s="5" t="inlineStr">
        <is>
          <t>카드</t>
        </is>
      </c>
      <c r="D341" s="5" t="inlineStr">
        <is>
          <t>강유</t>
        </is>
      </c>
      <c r="E341" s="5" t="n">
        <v>1</v>
      </c>
      <c r="F341" s="5" t="inlineStr">
        <is>
          <t>S</t>
        </is>
      </c>
      <c r="G341" s="5">
        <f>IF(C341="카드",INDEX(비용표!$C$2:$C$7,MATCH(F341,비용표!$B$2:$B$7,0)),F341*INDEX(비용표!$C$8:$C$9,MATCH(C341,비용표!$B$8:$B$9,0)))</f>
        <v/>
      </c>
      <c r="H341" s="5">
        <f>G341*E341</f>
        <v/>
      </c>
      <c r="I341" s="10">
        <f>IF(A341=A340,I340&amp;" · ","")&amp;IF(C341="카드",D341&amp;E341,"["&amp;C341&amp;"] "&amp;D341)</f>
        <v/>
      </c>
    </row>
    <row r="342">
      <c r="A342" s="5" t="n">
        <v>96</v>
      </c>
      <c r="B342" s="5" t="n">
        <v>2</v>
      </c>
      <c r="C342" s="5" t="inlineStr">
        <is>
          <t>카드</t>
        </is>
      </c>
      <c r="D342" s="5" t="inlineStr">
        <is>
          <t>제갈량</t>
        </is>
      </c>
      <c r="E342" s="5" t="n">
        <v>1</v>
      </c>
      <c r="F342" s="5" t="inlineStr">
        <is>
          <t>S</t>
        </is>
      </c>
      <c r="G342" s="5">
        <f>IF(C342="카드",INDEX(비용표!$C$2:$C$7,MATCH(F342,비용표!$B$2:$B$7,0)),F342*INDEX(비용표!$C$8:$C$9,MATCH(C342,비용표!$B$8:$B$9,0)))</f>
        <v/>
      </c>
      <c r="H342" s="5">
        <f>G342*E342</f>
        <v/>
      </c>
      <c r="I342" s="10">
        <f>IF(A342=A341,I341&amp;" · ","")&amp;IF(C342="카드",D342&amp;E342,"["&amp;C342&amp;"] "&amp;D342)</f>
        <v/>
      </c>
    </row>
    <row r="343">
      <c r="A343" s="5" t="n">
        <v>96</v>
      </c>
      <c r="B343" s="5" t="n">
        <v>3</v>
      </c>
      <c r="C343" s="5" t="inlineStr">
        <is>
          <t>카드</t>
        </is>
      </c>
      <c r="D343" s="5" t="inlineStr">
        <is>
          <t>조운</t>
        </is>
      </c>
      <c r="E343" s="5" t="n">
        <v>1</v>
      </c>
      <c r="F343" s="5" t="inlineStr">
        <is>
          <t>S</t>
        </is>
      </c>
      <c r="G343" s="5">
        <f>IF(C343="카드",INDEX(비용표!$C$2:$C$7,MATCH(F343,비용표!$B$2:$B$7,0)),F343*INDEX(비용표!$C$8:$C$9,MATCH(C343,비용표!$B$8:$B$9,0)))</f>
        <v/>
      </c>
      <c r="H343" s="5">
        <f>G343*E343</f>
        <v/>
      </c>
      <c r="I343" s="10">
        <f>IF(A343=A342,I342&amp;" · ","")&amp;IF(C343="카드",D343&amp;E343,"["&amp;C343&amp;"] "&amp;D343)</f>
        <v/>
      </c>
    </row>
    <row r="344">
      <c r="A344" s="5" t="n">
        <v>97</v>
      </c>
      <c r="B344" s="5" t="n">
        <v>1</v>
      </c>
      <c r="C344" s="5" t="inlineStr">
        <is>
          <t>카드</t>
        </is>
      </c>
      <c r="D344" s="5" t="inlineStr">
        <is>
          <t>마속</t>
        </is>
      </c>
      <c r="E344" s="5" t="n">
        <v>1</v>
      </c>
      <c r="F344" s="5" t="inlineStr">
        <is>
          <t>B</t>
        </is>
      </c>
      <c r="G344" s="5">
        <f>IF(C344="카드",INDEX(비용표!$C$2:$C$7,MATCH(F344,비용표!$B$2:$B$7,0)),F344*INDEX(비용표!$C$8:$C$9,MATCH(C344,비용표!$B$8:$B$9,0)))</f>
        <v/>
      </c>
      <c r="H344" s="5">
        <f>G344*E344</f>
        <v/>
      </c>
      <c r="I344" s="10">
        <f>IF(A344=A343,I343&amp;" · ","")&amp;IF(C344="카드",D344&amp;E344,"["&amp;C344&amp;"] "&amp;D344)</f>
        <v/>
      </c>
    </row>
    <row r="345">
      <c r="A345" s="5" t="n">
        <v>97</v>
      </c>
      <c r="B345" s="5" t="n">
        <v>2</v>
      </c>
      <c r="C345" s="5" t="inlineStr">
        <is>
          <t>카드</t>
        </is>
      </c>
      <c r="D345" s="5" t="inlineStr">
        <is>
          <t>왕평</t>
        </is>
      </c>
      <c r="E345" s="5" t="n">
        <v>1</v>
      </c>
      <c r="F345" s="5" t="inlineStr">
        <is>
          <t>B</t>
        </is>
      </c>
      <c r="G345" s="5">
        <f>IF(C345="카드",INDEX(비용표!$C$2:$C$7,MATCH(F345,비용표!$B$2:$B$7,0)),F345*INDEX(비용표!$C$8:$C$9,MATCH(C345,비용표!$B$8:$B$9,0)))</f>
        <v/>
      </c>
      <c r="H345" s="5">
        <f>G345*E345</f>
        <v/>
      </c>
      <c r="I345" s="10">
        <f>IF(A345=A344,I344&amp;" · ","")&amp;IF(C345="카드",D345&amp;E345,"["&amp;C345&amp;"] "&amp;D345)</f>
        <v/>
      </c>
    </row>
    <row r="346">
      <c r="A346" s="5" t="n">
        <v>97</v>
      </c>
      <c r="B346" s="5" t="n">
        <v>3</v>
      </c>
      <c r="C346" s="5" t="inlineStr">
        <is>
          <t>카드</t>
        </is>
      </c>
      <c r="D346" s="5" t="inlineStr">
        <is>
          <t>장합</t>
        </is>
      </c>
      <c r="E346" s="5" t="n">
        <v>1</v>
      </c>
      <c r="F346" s="5" t="inlineStr">
        <is>
          <t>S</t>
        </is>
      </c>
      <c r="G346" s="5">
        <f>IF(C346="카드",INDEX(비용표!$C$2:$C$7,MATCH(F346,비용표!$B$2:$B$7,0)),F346*INDEX(비용표!$C$8:$C$9,MATCH(C346,비용표!$B$8:$B$9,0)))</f>
        <v/>
      </c>
      <c r="H346" s="5">
        <f>G346*E346</f>
        <v/>
      </c>
      <c r="I346" s="10">
        <f>IF(A346=A345,I345&amp;" · ","")&amp;IF(C346="카드",D346&amp;E346,"["&amp;C346&amp;"] "&amp;D346)</f>
        <v/>
      </c>
    </row>
    <row r="347">
      <c r="A347" s="5" t="n">
        <v>97</v>
      </c>
      <c r="B347" s="5" t="n">
        <v>4</v>
      </c>
      <c r="C347" s="5" t="inlineStr">
        <is>
          <t>카드</t>
        </is>
      </c>
      <c r="D347" s="5" t="inlineStr">
        <is>
          <t>사마의</t>
        </is>
      </c>
      <c r="E347" s="5" t="n">
        <v>1</v>
      </c>
      <c r="F347" s="5" t="inlineStr">
        <is>
          <t>S</t>
        </is>
      </c>
      <c r="G347" s="5">
        <f>IF(C347="카드",INDEX(비용표!$C$2:$C$7,MATCH(F347,비용표!$B$2:$B$7,0)),F347*INDEX(비용표!$C$8:$C$9,MATCH(C347,비용표!$B$8:$B$9,0)))</f>
        <v/>
      </c>
      <c r="H347" s="5">
        <f>G347*E347</f>
        <v/>
      </c>
      <c r="I347" s="10">
        <f>IF(A347=A346,I346&amp;" · ","")&amp;IF(C347="카드",D347&amp;E347,"["&amp;C347&amp;"] "&amp;D347)</f>
        <v/>
      </c>
    </row>
    <row r="348">
      <c r="A348" s="5" t="n">
        <v>98</v>
      </c>
      <c r="B348" s="5" t="n">
        <v>1</v>
      </c>
      <c r="C348" s="5" t="inlineStr">
        <is>
          <t>카드</t>
        </is>
      </c>
      <c r="D348" s="5" t="inlineStr">
        <is>
          <t>제갈량</t>
        </is>
      </c>
      <c r="E348" s="5" t="n">
        <v>1</v>
      </c>
      <c r="F348" s="5" t="inlineStr">
        <is>
          <t>S</t>
        </is>
      </c>
      <c r="G348" s="5">
        <f>IF(C348="카드",INDEX(비용표!$C$2:$C$7,MATCH(F348,비용표!$B$2:$B$7,0)),F348*INDEX(비용표!$C$8:$C$9,MATCH(C348,비용표!$B$8:$B$9,0)))</f>
        <v/>
      </c>
      <c r="H348" s="5">
        <f>G348*E348</f>
        <v/>
      </c>
      <c r="I348" s="10">
        <f>IF(A348=A347,I347&amp;" · ","")&amp;IF(C348="카드",D348&amp;E348,"["&amp;C348&amp;"] "&amp;D348)</f>
        <v/>
      </c>
    </row>
    <row r="349">
      <c r="A349" s="5" t="n">
        <v>98</v>
      </c>
      <c r="B349" s="5" t="n">
        <v>2</v>
      </c>
      <c r="C349" s="5" t="inlineStr">
        <is>
          <t>카드</t>
        </is>
      </c>
      <c r="D349" s="5" t="inlineStr">
        <is>
          <t>사마의</t>
        </is>
      </c>
      <c r="E349" s="5" t="n">
        <v>1</v>
      </c>
      <c r="F349" s="5" t="inlineStr">
        <is>
          <t>S</t>
        </is>
      </c>
      <c r="G349" s="5">
        <f>IF(C349="카드",INDEX(비용표!$C$2:$C$7,MATCH(F349,비용표!$B$2:$B$7,0)),F349*INDEX(비용표!$C$8:$C$9,MATCH(C349,비용표!$B$8:$B$9,0)))</f>
        <v/>
      </c>
      <c r="H349" s="5">
        <f>G349*E349</f>
        <v/>
      </c>
      <c r="I349" s="10">
        <f>IF(A349=A348,I348&amp;" · ","")&amp;IF(C349="카드",D349&amp;E349,"["&amp;C349&amp;"] "&amp;D349)</f>
        <v/>
      </c>
    </row>
    <row r="350">
      <c r="A350" s="5" t="n">
        <v>98</v>
      </c>
      <c r="B350" s="5" t="n">
        <v>3</v>
      </c>
      <c r="C350" s="5" t="inlineStr">
        <is>
          <t>카드</t>
        </is>
      </c>
      <c r="D350" s="5" t="inlineStr">
        <is>
          <t>사마소</t>
        </is>
      </c>
      <c r="E350" s="5" t="n">
        <v>1</v>
      </c>
      <c r="F350" s="5" t="inlineStr">
        <is>
          <t>A</t>
        </is>
      </c>
      <c r="G350" s="5">
        <f>IF(C350="카드",INDEX(비용표!$C$2:$C$7,MATCH(F350,비용표!$B$2:$B$7,0)),F350*INDEX(비용표!$C$8:$C$9,MATCH(C350,비용표!$B$8:$B$9,0)))</f>
        <v/>
      </c>
      <c r="H350" s="5">
        <f>G350*E350</f>
        <v/>
      </c>
      <c r="I350" s="10">
        <f>IF(A350=A349,I349&amp;" · ","")&amp;IF(C350="카드",D350&amp;E350,"["&amp;C350&amp;"] "&amp;D350)</f>
        <v/>
      </c>
    </row>
    <row r="351">
      <c r="A351" s="5" t="n">
        <v>99</v>
      </c>
      <c r="B351" s="5" t="n">
        <v>1</v>
      </c>
      <c r="C351" s="5" t="inlineStr">
        <is>
          <t>카드</t>
        </is>
      </c>
      <c r="D351" s="5" t="inlineStr">
        <is>
          <t>학소</t>
        </is>
      </c>
      <c r="E351" s="5" t="n">
        <v>1</v>
      </c>
      <c r="F351" s="5" t="inlineStr">
        <is>
          <t>A</t>
        </is>
      </c>
      <c r="G351" s="5">
        <f>IF(C351="카드",INDEX(비용표!$C$2:$C$7,MATCH(F351,비용표!$B$2:$B$7,0)),F351*INDEX(비용표!$C$8:$C$9,MATCH(C351,비용표!$B$8:$B$9,0)))</f>
        <v/>
      </c>
      <c r="H351" s="5">
        <f>G351*E351</f>
        <v/>
      </c>
      <c r="I351" s="10">
        <f>IF(A351=A350,I350&amp;" · ","")&amp;IF(C351="카드",D351&amp;E351,"["&amp;C351&amp;"] "&amp;D351)</f>
        <v/>
      </c>
    </row>
    <row r="352">
      <c r="A352" s="5" t="n">
        <v>99</v>
      </c>
      <c r="B352" s="5" t="n">
        <v>2</v>
      </c>
      <c r="C352" s="5" t="inlineStr">
        <is>
          <t>카드</t>
        </is>
      </c>
      <c r="D352" s="5" t="inlineStr">
        <is>
          <t>제갈량</t>
        </is>
      </c>
      <c r="E352" s="5" t="n">
        <v>1</v>
      </c>
      <c r="F352" s="5" t="inlineStr">
        <is>
          <t>S</t>
        </is>
      </c>
      <c r="G352" s="5">
        <f>IF(C352="카드",INDEX(비용표!$C$2:$C$7,MATCH(F352,비용표!$B$2:$B$7,0)),F352*INDEX(비용표!$C$8:$C$9,MATCH(C352,비용표!$B$8:$B$9,0)))</f>
        <v/>
      </c>
      <c r="H352" s="5">
        <f>G352*E352</f>
        <v/>
      </c>
      <c r="I352" s="10">
        <f>IF(A352=A351,I351&amp;" · ","")&amp;IF(C352="카드",D352&amp;E352,"["&amp;C352&amp;"] "&amp;D352)</f>
        <v/>
      </c>
    </row>
    <row r="353">
      <c r="A353" s="5" t="n">
        <v>100</v>
      </c>
      <c r="B353" s="5" t="n">
        <v>1</v>
      </c>
      <c r="C353" s="5" t="inlineStr">
        <is>
          <t>카드</t>
        </is>
      </c>
      <c r="D353" s="5" t="inlineStr">
        <is>
          <t>제갈량</t>
        </is>
      </c>
      <c r="E353" s="5" t="n">
        <v>1</v>
      </c>
      <c r="F353" s="5" t="inlineStr">
        <is>
          <t>S</t>
        </is>
      </c>
      <c r="G353" s="5">
        <f>IF(C353="카드",INDEX(비용표!$C$2:$C$7,MATCH(F353,비용표!$B$2:$B$7,0)),F353*INDEX(비용표!$C$8:$C$9,MATCH(C353,비용표!$B$8:$B$9,0)))</f>
        <v/>
      </c>
      <c r="H353" s="5">
        <f>G353*E353</f>
        <v/>
      </c>
      <c r="I353" s="10">
        <f>IF(A353=A352,I352&amp;" · ","")&amp;IF(C353="카드",D353&amp;E353,"["&amp;C353&amp;"] "&amp;D353)</f>
        <v/>
      </c>
    </row>
    <row r="354">
      <c r="A354" s="5" t="n">
        <v>100</v>
      </c>
      <c r="B354" s="5" t="n">
        <v>2</v>
      </c>
      <c r="C354" s="5" t="inlineStr">
        <is>
          <t>카드</t>
        </is>
      </c>
      <c r="D354" s="5" t="inlineStr">
        <is>
          <t>이엄</t>
        </is>
      </c>
      <c r="E354" s="5" t="n">
        <v>1</v>
      </c>
      <c r="F354" s="5" t="inlineStr">
        <is>
          <t>A</t>
        </is>
      </c>
      <c r="G354" s="5">
        <f>IF(C354="카드",INDEX(비용표!$C$2:$C$7,MATCH(F354,비용표!$B$2:$B$7,0)),F354*INDEX(비용표!$C$8:$C$9,MATCH(C354,비용표!$B$8:$B$9,0)))</f>
        <v/>
      </c>
      <c r="H354" s="5">
        <f>G354*E354</f>
        <v/>
      </c>
      <c r="I354" s="10">
        <f>IF(A354=A353,I353&amp;" · ","")&amp;IF(C354="카드",D354&amp;E354,"["&amp;C354&amp;"] "&amp;D354)</f>
        <v/>
      </c>
    </row>
    <row r="355">
      <c r="A355" s="5" t="n">
        <v>100</v>
      </c>
      <c r="B355" s="5" t="n">
        <v>3</v>
      </c>
      <c r="C355" s="5" t="inlineStr">
        <is>
          <t>아이템</t>
        </is>
      </c>
      <c r="D355" s="5" t="inlineStr">
        <is>
          <t>목우유마</t>
        </is>
      </c>
      <c r="E355" s="5" t="n">
        <v>1</v>
      </c>
      <c r="F355" s="5" t="n">
        <v>4</v>
      </c>
      <c r="G355" s="5">
        <f>IF(C355="카드",INDEX(비용표!$C$2:$C$7,MATCH(F355,비용표!$B$2:$B$7,0)),F355*INDEX(비용표!$C$8:$C$9,MATCH(C355,비용표!$B$8:$B$9,0)))</f>
        <v/>
      </c>
      <c r="H355" s="5">
        <f>G355*E355</f>
        <v/>
      </c>
      <c r="I355" s="10">
        <f>IF(A355=A354,I354&amp;" · ","")&amp;IF(C355="카드",D355&amp;E355,"["&amp;C355&amp;"] "&amp;D355)</f>
        <v/>
      </c>
    </row>
    <row r="356">
      <c r="A356" s="5" t="n">
        <v>101</v>
      </c>
      <c r="B356" s="5" t="n">
        <v>1</v>
      </c>
      <c r="C356" s="5" t="inlineStr">
        <is>
          <t>카드</t>
        </is>
      </c>
      <c r="D356" s="5" t="inlineStr">
        <is>
          <t>장합</t>
        </is>
      </c>
      <c r="E356" s="5" t="n">
        <v>1</v>
      </c>
      <c r="F356" s="5" t="inlineStr">
        <is>
          <t>S</t>
        </is>
      </c>
      <c r="G356" s="5">
        <f>IF(C356="카드",INDEX(비용표!$C$2:$C$7,MATCH(F356,비용표!$B$2:$B$7,0)),F356*INDEX(비용표!$C$8:$C$9,MATCH(C356,비용표!$B$8:$B$9,0)))</f>
        <v/>
      </c>
      <c r="H356" s="5">
        <f>G356*E356</f>
        <v/>
      </c>
      <c r="I356" s="10">
        <f>IF(A356=A355,I355&amp;" · ","")&amp;IF(C356="카드",D356&amp;E356,"["&amp;C356&amp;"] "&amp;D356)</f>
        <v/>
      </c>
    </row>
    <row r="357">
      <c r="A357" s="5" t="n">
        <v>101</v>
      </c>
      <c r="B357" s="5" t="n">
        <v>2</v>
      </c>
      <c r="C357" s="5" t="inlineStr">
        <is>
          <t>카드</t>
        </is>
      </c>
      <c r="D357" s="5" t="inlineStr">
        <is>
          <t>제갈량</t>
        </is>
      </c>
      <c r="E357" s="5" t="n">
        <v>1</v>
      </c>
      <c r="F357" s="5" t="inlineStr">
        <is>
          <t>S</t>
        </is>
      </c>
      <c r="G357" s="5">
        <f>IF(C357="카드",INDEX(비용표!$C$2:$C$7,MATCH(F357,비용표!$B$2:$B$7,0)),F357*INDEX(비용표!$C$8:$C$9,MATCH(C357,비용표!$B$8:$B$9,0)))</f>
        <v/>
      </c>
      <c r="H357" s="5">
        <f>G357*E357</f>
        <v/>
      </c>
      <c r="I357" s="10">
        <f>IF(A357=A356,I356&amp;" · ","")&amp;IF(C357="카드",D357&amp;E357,"["&amp;C357&amp;"] "&amp;D357)</f>
        <v/>
      </c>
    </row>
    <row r="358">
      <c r="A358" s="5" t="n">
        <v>102</v>
      </c>
      <c r="B358" s="5" t="n">
        <v>1</v>
      </c>
      <c r="C358" s="5" t="inlineStr">
        <is>
          <t>카드</t>
        </is>
      </c>
      <c r="D358" s="5" t="inlineStr">
        <is>
          <t>위연</t>
        </is>
      </c>
      <c r="E358" s="5" t="n">
        <v>1</v>
      </c>
      <c r="F358" s="5" t="inlineStr">
        <is>
          <t>A</t>
        </is>
      </c>
      <c r="G358" s="5">
        <f>IF(C358="카드",INDEX(비용표!$C$2:$C$7,MATCH(F358,비용표!$B$2:$B$7,0)),F358*INDEX(비용표!$C$8:$C$9,MATCH(C358,비용표!$B$8:$B$9,0)))</f>
        <v/>
      </c>
      <c r="H358" s="5">
        <f>G358*E358</f>
        <v/>
      </c>
      <c r="I358" s="10">
        <f>IF(A358=A357,I357&amp;" · ","")&amp;IF(C358="카드",D358&amp;E358,"["&amp;C358&amp;"] "&amp;D358)</f>
        <v/>
      </c>
    </row>
    <row r="359">
      <c r="A359" s="5" t="n">
        <v>102</v>
      </c>
      <c r="B359" s="5" t="n">
        <v>2</v>
      </c>
      <c r="C359" s="5" t="inlineStr">
        <is>
          <t>카드</t>
        </is>
      </c>
      <c r="D359" s="5" t="inlineStr">
        <is>
          <t>마대</t>
        </is>
      </c>
      <c r="E359" s="5" t="n">
        <v>1</v>
      </c>
      <c r="F359" s="5" t="inlineStr">
        <is>
          <t>B</t>
        </is>
      </c>
      <c r="G359" s="5">
        <f>IF(C359="카드",INDEX(비용표!$C$2:$C$7,MATCH(F359,비용표!$B$2:$B$7,0)),F359*INDEX(비용표!$C$8:$C$9,MATCH(C359,비용표!$B$8:$B$9,0)))</f>
        <v/>
      </c>
      <c r="H359" s="5">
        <f>G359*E359</f>
        <v/>
      </c>
      <c r="I359" s="10">
        <f>IF(A359=A358,I358&amp;" · ","")&amp;IF(C359="카드",D359&amp;E359,"["&amp;C359&amp;"] "&amp;D359)</f>
        <v/>
      </c>
    </row>
    <row r="360">
      <c r="A360" s="5" t="n">
        <v>103</v>
      </c>
      <c r="B360" s="5" t="n">
        <v>1</v>
      </c>
      <c r="C360" s="5" t="inlineStr">
        <is>
          <t>카드</t>
        </is>
      </c>
      <c r="D360" s="5" t="inlineStr">
        <is>
          <t>사마의</t>
        </is>
      </c>
      <c r="E360" s="5" t="n">
        <v>1</v>
      </c>
      <c r="F360" s="5" t="inlineStr">
        <is>
          <t>S</t>
        </is>
      </c>
      <c r="G360" s="5">
        <f>IF(C360="카드",INDEX(비용표!$C$2:$C$7,MATCH(F360,비용표!$B$2:$B$7,0)),F360*INDEX(비용표!$C$8:$C$9,MATCH(C360,비용표!$B$8:$B$9,0)))</f>
        <v/>
      </c>
      <c r="H360" s="5">
        <f>G360*E360</f>
        <v/>
      </c>
      <c r="I360" s="10">
        <f>IF(A360=A359,I359&amp;" · ","")&amp;IF(C360="카드",D360&amp;E360,"["&amp;C360&amp;"] "&amp;D360)</f>
        <v/>
      </c>
    </row>
    <row r="361">
      <c r="A361" s="5" t="n">
        <v>103</v>
      </c>
      <c r="B361" s="5" t="n">
        <v>2</v>
      </c>
      <c r="C361" s="5" t="inlineStr">
        <is>
          <t>카드</t>
        </is>
      </c>
      <c r="D361" s="5" t="inlineStr">
        <is>
          <t>사마사</t>
        </is>
      </c>
      <c r="E361" s="5" t="n">
        <v>1</v>
      </c>
      <c r="F361" s="5" t="inlineStr">
        <is>
          <t>A</t>
        </is>
      </c>
      <c r="G361" s="5">
        <f>IF(C361="카드",INDEX(비용표!$C$2:$C$7,MATCH(F361,비용표!$B$2:$B$7,0)),F361*INDEX(비용표!$C$8:$C$9,MATCH(C361,비용표!$B$8:$B$9,0)))</f>
        <v/>
      </c>
      <c r="H361" s="5">
        <f>G361*E361</f>
        <v/>
      </c>
      <c r="I361" s="10">
        <f>IF(A361=A360,I360&amp;" · ","")&amp;IF(C361="카드",D361&amp;E361,"["&amp;C361&amp;"] "&amp;D361)</f>
        <v/>
      </c>
    </row>
    <row r="362">
      <c r="A362" s="5" t="n">
        <v>103</v>
      </c>
      <c r="B362" s="5" t="n">
        <v>3</v>
      </c>
      <c r="C362" s="5" t="inlineStr">
        <is>
          <t>카드</t>
        </is>
      </c>
      <c r="D362" s="5" t="inlineStr">
        <is>
          <t>사마소</t>
        </is>
      </c>
      <c r="E362" s="5" t="n">
        <v>1</v>
      </c>
      <c r="F362" s="5" t="inlineStr">
        <is>
          <t>A</t>
        </is>
      </c>
      <c r="G362" s="5">
        <f>IF(C362="카드",INDEX(비용표!$C$2:$C$7,MATCH(F362,비용표!$B$2:$B$7,0)),F362*INDEX(비용표!$C$8:$C$9,MATCH(C362,비용표!$B$8:$B$9,0)))</f>
        <v/>
      </c>
      <c r="H362" s="5">
        <f>G362*E362</f>
        <v/>
      </c>
      <c r="I362" s="10">
        <f>IF(A362=A361,I361&amp;" · ","")&amp;IF(C362="카드",D362&amp;E362,"["&amp;C362&amp;"] "&amp;D362)</f>
        <v/>
      </c>
    </row>
    <row r="363">
      <c r="A363" s="5" t="n">
        <v>103</v>
      </c>
      <c r="B363" s="5" t="n">
        <v>4</v>
      </c>
      <c r="C363" s="5" t="inlineStr">
        <is>
          <t>카드</t>
        </is>
      </c>
      <c r="D363" s="5" t="inlineStr">
        <is>
          <t>제갈량</t>
        </is>
      </c>
      <c r="E363" s="5" t="n">
        <v>1</v>
      </c>
      <c r="F363" s="5" t="inlineStr">
        <is>
          <t>S</t>
        </is>
      </c>
      <c r="G363" s="5">
        <f>IF(C363="카드",INDEX(비용표!$C$2:$C$7,MATCH(F363,비용표!$B$2:$B$7,0)),F363*INDEX(비용표!$C$8:$C$9,MATCH(C363,비용표!$B$8:$B$9,0)))</f>
        <v/>
      </c>
      <c r="H363" s="5">
        <f>G363*E363</f>
        <v/>
      </c>
      <c r="I363" s="10">
        <f>IF(A363=A362,I362&amp;" · ","")&amp;IF(C363="카드",D363&amp;E363,"["&amp;C363&amp;"] "&amp;D363)</f>
        <v/>
      </c>
    </row>
    <row r="364">
      <c r="A364" s="5" t="n">
        <v>103</v>
      </c>
      <c r="B364" s="5" t="n">
        <v>5</v>
      </c>
      <c r="C364" s="5" t="inlineStr">
        <is>
          <t>아이템</t>
        </is>
      </c>
      <c r="D364" s="5" t="inlineStr">
        <is>
          <t>폭약</t>
        </is>
      </c>
      <c r="E364" s="5" t="n">
        <v>1</v>
      </c>
      <c r="F364" s="5" t="n">
        <v>3</v>
      </c>
      <c r="G364" s="5">
        <f>IF(C364="카드",INDEX(비용표!$C$2:$C$7,MATCH(F364,비용표!$B$2:$B$7,0)),F364*INDEX(비용표!$C$8:$C$9,MATCH(C364,비용표!$B$8:$B$9,0)))</f>
        <v/>
      </c>
      <c r="H364" s="5">
        <f>G364*E364</f>
        <v/>
      </c>
      <c r="I364" s="10">
        <f>IF(A364=A363,I363&amp;" · ","")&amp;IF(C364="카드",D364&amp;E364,"["&amp;C364&amp;"] "&amp;D364)</f>
        <v/>
      </c>
    </row>
    <row r="365">
      <c r="A365" s="5" t="n">
        <v>104</v>
      </c>
      <c r="B365" s="5" t="n">
        <v>1</v>
      </c>
      <c r="C365" s="5" t="inlineStr">
        <is>
          <t>카드</t>
        </is>
      </c>
      <c r="D365" s="5" t="inlineStr">
        <is>
          <t>제갈량</t>
        </is>
      </c>
      <c r="E365" s="5" t="n">
        <v>1</v>
      </c>
      <c r="F365" s="5" t="inlineStr">
        <is>
          <t>S</t>
        </is>
      </c>
      <c r="G365" s="5">
        <f>IF(C365="카드",INDEX(비용표!$C$2:$C$7,MATCH(F365,비용표!$B$2:$B$7,0)),F365*INDEX(비용표!$C$8:$C$9,MATCH(C365,비용표!$B$8:$B$9,0)))</f>
        <v/>
      </c>
      <c r="H365" s="5">
        <f>G365*E365</f>
        <v/>
      </c>
      <c r="I365" s="10">
        <f>IF(A365=A364,I364&amp;" · ","")&amp;IF(C365="카드",D365&amp;E365,"["&amp;C365&amp;"] "&amp;D365)</f>
        <v/>
      </c>
    </row>
    <row r="366">
      <c r="A366" s="5" t="n">
        <v>104</v>
      </c>
      <c r="B366" s="5" t="n">
        <v>2</v>
      </c>
      <c r="C366" s="5" t="inlineStr">
        <is>
          <t>카드</t>
        </is>
      </c>
      <c r="D366" s="5" t="inlineStr">
        <is>
          <t>사마의</t>
        </is>
      </c>
      <c r="E366" s="5" t="n">
        <v>1</v>
      </c>
      <c r="F366" s="5" t="inlineStr">
        <is>
          <t>S</t>
        </is>
      </c>
      <c r="G366" s="5">
        <f>IF(C366="카드",INDEX(비용표!$C$2:$C$7,MATCH(F366,비용표!$B$2:$B$7,0)),F366*INDEX(비용표!$C$8:$C$9,MATCH(C366,비용표!$B$8:$B$9,0)))</f>
        <v/>
      </c>
      <c r="H366" s="5">
        <f>G366*E366</f>
        <v/>
      </c>
      <c r="I366" s="10">
        <f>IF(A366=A365,I365&amp;" · ","")&amp;IF(C366="카드",D366&amp;E366,"["&amp;C366&amp;"] "&amp;D366)</f>
        <v/>
      </c>
    </row>
    <row r="367">
      <c r="A367" s="5" t="n">
        <v>104</v>
      </c>
      <c r="B367" s="5" t="n">
        <v>3</v>
      </c>
      <c r="C367" s="5" t="inlineStr">
        <is>
          <t>카드</t>
        </is>
      </c>
      <c r="D367" s="5" t="inlineStr">
        <is>
          <t>강유</t>
        </is>
      </c>
      <c r="E367" s="5" t="n">
        <v>1</v>
      </c>
      <c r="F367" s="5" t="inlineStr">
        <is>
          <t>S</t>
        </is>
      </c>
      <c r="G367" s="5">
        <f>IF(C367="카드",INDEX(비용표!$C$2:$C$7,MATCH(F367,비용표!$B$2:$B$7,0)),F367*INDEX(비용표!$C$8:$C$9,MATCH(C367,비용표!$B$8:$B$9,0)))</f>
        <v/>
      </c>
      <c r="H367" s="5">
        <f>G367*E367</f>
        <v/>
      </c>
      <c r="I367" s="10">
        <f>IF(A367=A366,I366&amp;" · ","")&amp;IF(C367="카드",D367&amp;E367,"["&amp;C367&amp;"] "&amp;D367)</f>
        <v/>
      </c>
    </row>
    <row r="368">
      <c r="A368" s="5" t="n">
        <v>104</v>
      </c>
      <c r="B368" s="5" t="n">
        <v>4</v>
      </c>
      <c r="C368" s="5" t="inlineStr">
        <is>
          <t>카드</t>
        </is>
      </c>
      <c r="D368" s="5" t="inlineStr">
        <is>
          <t>위연</t>
        </is>
      </c>
      <c r="E368" s="5" t="n">
        <v>1</v>
      </c>
      <c r="F368" s="5" t="inlineStr">
        <is>
          <t>A</t>
        </is>
      </c>
      <c r="G368" s="5">
        <f>IF(C368="카드",INDEX(비용표!$C$2:$C$7,MATCH(F368,비용표!$B$2:$B$7,0)),F368*INDEX(비용표!$C$8:$C$9,MATCH(C368,비용표!$B$8:$B$9,0)))</f>
        <v/>
      </c>
      <c r="H368" s="5">
        <f>G368*E368</f>
        <v/>
      </c>
      <c r="I368" s="10">
        <f>IF(A368=A367,I367&amp;" · ","")&amp;IF(C368="카드",D368&amp;E368,"["&amp;C368&amp;"] "&amp;D368)</f>
        <v/>
      </c>
    </row>
    <row r="369">
      <c r="A369" s="5" t="n">
        <v>104</v>
      </c>
      <c r="B369" s="5" t="n">
        <v>5</v>
      </c>
      <c r="C369" s="5" t="inlineStr">
        <is>
          <t>카드</t>
        </is>
      </c>
      <c r="D369" s="5" t="inlineStr">
        <is>
          <t>마대</t>
        </is>
      </c>
      <c r="E369" s="5" t="n">
        <v>1</v>
      </c>
      <c r="F369" s="5" t="inlineStr">
        <is>
          <t>B</t>
        </is>
      </c>
      <c r="G369" s="5">
        <f>IF(C369="카드",INDEX(비용표!$C$2:$C$7,MATCH(F369,비용표!$B$2:$B$7,0)),F369*INDEX(비용표!$C$8:$C$9,MATCH(C369,비용표!$B$8:$B$9,0)))</f>
        <v/>
      </c>
      <c r="H369" s="5">
        <f>G369*E369</f>
        <v/>
      </c>
      <c r="I369" s="10">
        <f>IF(A369=A368,I368&amp;" · ","")&amp;IF(C369="카드",D369&amp;E369,"["&amp;C369&amp;"] "&amp;D369)</f>
        <v/>
      </c>
    </row>
    <row r="370">
      <c r="A370" s="5" t="n">
        <v>105</v>
      </c>
      <c r="B370" s="5" t="n">
        <v>1</v>
      </c>
      <c r="C370" s="5" t="inlineStr">
        <is>
          <t>카드</t>
        </is>
      </c>
      <c r="D370" s="5" t="inlineStr">
        <is>
          <t>사마의</t>
        </is>
      </c>
      <c r="E370" s="5" t="n">
        <v>1</v>
      </c>
      <c r="F370" s="5" t="inlineStr">
        <is>
          <t>S</t>
        </is>
      </c>
      <c r="G370" s="5">
        <f>IF(C370="카드",INDEX(비용표!$C$2:$C$7,MATCH(F370,비용표!$B$2:$B$7,0)),F370*INDEX(비용표!$C$8:$C$9,MATCH(C370,비용표!$B$8:$B$9,0)))</f>
        <v/>
      </c>
      <c r="H370" s="5">
        <f>G370*E370</f>
        <v/>
      </c>
      <c r="I370" s="10">
        <f>IF(A370=A369,I369&amp;" · ","")&amp;IF(C370="카드",D370&amp;E370,"["&amp;C370&amp;"] "&amp;D370)</f>
        <v/>
      </c>
    </row>
    <row r="371">
      <c r="A371" s="5" t="n">
        <v>105</v>
      </c>
      <c r="B371" s="5" t="n">
        <v>2</v>
      </c>
      <c r="C371" s="5" t="inlineStr">
        <is>
          <t>카드</t>
        </is>
      </c>
      <c r="D371" s="5" t="inlineStr">
        <is>
          <t>사마사</t>
        </is>
      </c>
      <c r="E371" s="5" t="n">
        <v>1</v>
      </c>
      <c r="F371" s="5" t="inlineStr">
        <is>
          <t>A</t>
        </is>
      </c>
      <c r="G371" s="5">
        <f>IF(C371="카드",INDEX(비용표!$C$2:$C$7,MATCH(F371,비용표!$B$2:$B$7,0)),F371*INDEX(비용표!$C$8:$C$9,MATCH(C371,비용표!$B$8:$B$9,0)))</f>
        <v/>
      </c>
      <c r="H371" s="5">
        <f>G371*E371</f>
        <v/>
      </c>
      <c r="I371" s="10">
        <f>IF(A371=A370,I370&amp;" · ","")&amp;IF(C371="카드",D371&amp;E371,"["&amp;C371&amp;"] "&amp;D371)</f>
        <v/>
      </c>
    </row>
    <row r="372">
      <c r="A372" s="5" t="n">
        <v>105</v>
      </c>
      <c r="B372" s="5" t="n">
        <v>3</v>
      </c>
      <c r="C372" s="5" t="inlineStr">
        <is>
          <t>카드</t>
        </is>
      </c>
      <c r="D372" s="5" t="inlineStr">
        <is>
          <t>사마소</t>
        </is>
      </c>
      <c r="E372" s="5" t="n">
        <v>1</v>
      </c>
      <c r="F372" s="5" t="inlineStr">
        <is>
          <t>A</t>
        </is>
      </c>
      <c r="G372" s="5">
        <f>IF(C372="카드",INDEX(비용표!$C$2:$C$7,MATCH(F372,비용표!$B$2:$B$7,0)),F372*INDEX(비용표!$C$8:$C$9,MATCH(C372,비용표!$B$8:$B$9,0)))</f>
        <v/>
      </c>
      <c r="H372" s="5">
        <f>G372*E372</f>
        <v/>
      </c>
      <c r="I372" s="10">
        <f>IF(A372=A371,I371&amp;" · ","")&amp;IF(C372="카드",D372&amp;E372,"["&amp;C372&amp;"] "&amp;D372)</f>
        <v/>
      </c>
    </row>
    <row r="373">
      <c r="A373" s="5" t="n">
        <v>106</v>
      </c>
      <c r="B373" s="5" t="n">
        <v>1</v>
      </c>
      <c r="C373" s="5" t="inlineStr">
        <is>
          <t>카드</t>
        </is>
      </c>
      <c r="D373" s="5" t="inlineStr">
        <is>
          <t>강유</t>
        </is>
      </c>
      <c r="E373" s="5" t="n">
        <v>1</v>
      </c>
      <c r="F373" s="5" t="inlineStr">
        <is>
          <t>S</t>
        </is>
      </c>
      <c r="G373" s="5">
        <f>IF(C373="카드",INDEX(비용표!$C$2:$C$7,MATCH(F373,비용표!$B$2:$B$7,0)),F373*INDEX(비용표!$C$8:$C$9,MATCH(C373,비용표!$B$8:$B$9,0)))</f>
        <v/>
      </c>
      <c r="H373" s="5">
        <f>G373*E373</f>
        <v/>
      </c>
      <c r="I373" s="10">
        <f>IF(A373=A372,I372&amp;" · ","")&amp;IF(C373="카드",D373&amp;E373,"["&amp;C373&amp;"] "&amp;D373)</f>
        <v/>
      </c>
    </row>
    <row r="374">
      <c r="A374" s="5" t="n">
        <v>106</v>
      </c>
      <c r="B374" s="5" t="n">
        <v>2</v>
      </c>
      <c r="C374" s="5" t="inlineStr">
        <is>
          <t>카드</t>
        </is>
      </c>
      <c r="D374" s="5" t="inlineStr">
        <is>
          <t>요화</t>
        </is>
      </c>
      <c r="E374" s="5" t="n">
        <v>1</v>
      </c>
      <c r="F374" s="5" t="inlineStr">
        <is>
          <t>B</t>
        </is>
      </c>
      <c r="G374" s="5">
        <f>IF(C374="카드",INDEX(비용표!$C$2:$C$7,MATCH(F374,비용표!$B$2:$B$7,0)),F374*INDEX(비용표!$C$8:$C$9,MATCH(C374,비용표!$B$8:$B$9,0)))</f>
        <v/>
      </c>
      <c r="H374" s="5">
        <f>G374*E374</f>
        <v/>
      </c>
      <c r="I374" s="10">
        <f>IF(A374=A373,I373&amp;" · ","")&amp;IF(C374="카드",D374&amp;E374,"["&amp;C374&amp;"] "&amp;D374)</f>
        <v/>
      </c>
    </row>
    <row r="375">
      <c r="A375" s="5" t="n">
        <v>106</v>
      </c>
      <c r="B375" s="5" t="n">
        <v>3</v>
      </c>
      <c r="C375" s="5" t="inlineStr">
        <is>
          <t>카드</t>
        </is>
      </c>
      <c r="D375" s="5" t="inlineStr">
        <is>
          <t>마충</t>
        </is>
      </c>
      <c r="E375" s="5" t="n">
        <v>1</v>
      </c>
      <c r="F375" s="5" t="inlineStr">
        <is>
          <t>C</t>
        </is>
      </c>
      <c r="G375" s="5">
        <f>IF(C375="카드",INDEX(비용표!$C$2:$C$7,MATCH(F375,비용표!$B$2:$B$7,0)),F375*INDEX(비용표!$C$8:$C$9,MATCH(C375,비용표!$B$8:$B$9,0)))</f>
        <v/>
      </c>
      <c r="H375" s="5">
        <f>G375*E375</f>
        <v/>
      </c>
      <c r="I375" s="10">
        <f>IF(A375=A374,I374&amp;" · ","")&amp;IF(C375="카드",D375&amp;E375,"["&amp;C375&amp;"] "&amp;D375)</f>
        <v/>
      </c>
    </row>
    <row r="376">
      <c r="A376" s="5" t="n">
        <v>107</v>
      </c>
      <c r="B376" s="5" t="n">
        <v>1</v>
      </c>
      <c r="C376" s="5" t="inlineStr">
        <is>
          <t>카드</t>
        </is>
      </c>
      <c r="D376" s="5" t="inlineStr">
        <is>
          <t>제갈량</t>
        </is>
      </c>
      <c r="E376" s="5" t="n">
        <v>1</v>
      </c>
      <c r="F376" s="5" t="inlineStr">
        <is>
          <t>S</t>
        </is>
      </c>
      <c r="G376" s="5">
        <f>IF(C376="카드",INDEX(비용표!$C$2:$C$7,MATCH(F376,비용표!$B$2:$B$7,0)),F376*INDEX(비용표!$C$8:$C$9,MATCH(C376,비용표!$B$8:$B$9,0)))</f>
        <v/>
      </c>
      <c r="H376" s="5">
        <f>G376*E376</f>
        <v/>
      </c>
      <c r="I376" s="10">
        <f>IF(A376=A375,I375&amp;" · ","")&amp;IF(C376="카드",D376&amp;E376,"["&amp;C376&amp;"] "&amp;D376)</f>
        <v/>
      </c>
    </row>
    <row r="377">
      <c r="A377" s="5" t="n">
        <v>107</v>
      </c>
      <c r="B377" s="5" t="n">
        <v>2</v>
      </c>
      <c r="C377" s="5" t="inlineStr">
        <is>
          <t>카드</t>
        </is>
      </c>
      <c r="D377" s="5" t="inlineStr">
        <is>
          <t>장완</t>
        </is>
      </c>
      <c r="E377" s="5" t="n">
        <v>1</v>
      </c>
      <c r="F377" s="5" t="inlineStr">
        <is>
          <t>A</t>
        </is>
      </c>
      <c r="G377" s="5">
        <f>IF(C377="카드",INDEX(비용표!$C$2:$C$7,MATCH(F377,비용표!$B$2:$B$7,0)),F377*INDEX(비용표!$C$8:$C$9,MATCH(C377,비용표!$B$8:$B$9,0)))</f>
        <v/>
      </c>
      <c r="H377" s="5">
        <f>G377*E377</f>
        <v/>
      </c>
      <c r="I377" s="10">
        <f>IF(A377=A376,I376&amp;" · ","")&amp;IF(C377="카드",D377&amp;E377,"["&amp;C377&amp;"] "&amp;D377)</f>
        <v/>
      </c>
    </row>
    <row r="378">
      <c r="A378" s="5" t="n">
        <v>107</v>
      </c>
      <c r="B378" s="5" t="n">
        <v>3</v>
      </c>
      <c r="C378" s="5" t="inlineStr">
        <is>
          <t>카드</t>
        </is>
      </c>
      <c r="D378" s="5" t="inlineStr">
        <is>
          <t>비위</t>
        </is>
      </c>
      <c r="E378" s="5" t="n">
        <v>1</v>
      </c>
      <c r="F378" s="5" t="inlineStr">
        <is>
          <t>B</t>
        </is>
      </c>
      <c r="G378" s="5">
        <f>IF(C378="카드",INDEX(비용표!$C$2:$C$7,MATCH(F378,비용표!$B$2:$B$7,0)),F378*INDEX(비용표!$C$8:$C$9,MATCH(C378,비용표!$B$8:$B$9,0)))</f>
        <v/>
      </c>
      <c r="H378" s="5">
        <f>G378*E378</f>
        <v/>
      </c>
      <c r="I378" s="10">
        <f>IF(A378=A377,I377&amp;" · ","")&amp;IF(C378="카드",D378&amp;E378,"["&amp;C378&amp;"] "&amp;D378)</f>
        <v/>
      </c>
    </row>
    <row r="379">
      <c r="A379" s="5" t="n">
        <v>108</v>
      </c>
      <c r="B379" s="5" t="n">
        <v>1</v>
      </c>
      <c r="C379" s="5" t="inlineStr">
        <is>
          <t>카드</t>
        </is>
      </c>
      <c r="D379" s="5" t="inlineStr">
        <is>
          <t>관우</t>
        </is>
      </c>
      <c r="E379" s="5" t="n">
        <v>1</v>
      </c>
      <c r="F379" s="5" t="inlineStr">
        <is>
          <t>S</t>
        </is>
      </c>
      <c r="G379" s="5">
        <f>IF(C379="카드",INDEX(비용표!$C$2:$C$7,MATCH(F379,비용표!$B$2:$B$7,0)),F379*INDEX(비용표!$C$8:$C$9,MATCH(C379,비용표!$B$8:$B$9,0)))</f>
        <v/>
      </c>
      <c r="H379" s="5">
        <f>G379*E379</f>
        <v/>
      </c>
      <c r="I379" s="10">
        <f>IF(A379=A378,I378&amp;" · ","")&amp;IF(C379="카드",D379&amp;E379,"["&amp;C379&amp;"] "&amp;D379)</f>
        <v/>
      </c>
    </row>
    <row r="380">
      <c r="A380" s="5" t="n">
        <v>108</v>
      </c>
      <c r="B380" s="5" t="n">
        <v>2</v>
      </c>
      <c r="C380" s="5" t="inlineStr">
        <is>
          <t>카드</t>
        </is>
      </c>
      <c r="D380" s="5" t="inlineStr">
        <is>
          <t>장비</t>
        </is>
      </c>
      <c r="E380" s="5" t="n">
        <v>1</v>
      </c>
      <c r="F380" s="5" t="inlineStr">
        <is>
          <t>S</t>
        </is>
      </c>
      <c r="G380" s="5">
        <f>IF(C380="카드",INDEX(비용표!$C$2:$C$7,MATCH(F380,비용표!$B$2:$B$7,0)),F380*INDEX(비용표!$C$8:$C$9,MATCH(C380,비용표!$B$8:$B$9,0)))</f>
        <v/>
      </c>
      <c r="H380" s="5">
        <f>G380*E380</f>
        <v/>
      </c>
      <c r="I380" s="10">
        <f>IF(A380=A379,I379&amp;" · ","")&amp;IF(C380="카드",D380&amp;E380,"["&amp;C380&amp;"] "&amp;D380)</f>
        <v/>
      </c>
    </row>
    <row r="381">
      <c r="A381" s="5" t="n">
        <v>108</v>
      </c>
      <c r="B381" s="5" t="n">
        <v>3</v>
      </c>
      <c r="C381" s="5" t="inlineStr">
        <is>
          <t>카드</t>
        </is>
      </c>
      <c r="D381" s="5" t="inlineStr">
        <is>
          <t>조운</t>
        </is>
      </c>
      <c r="E381" s="5" t="n">
        <v>1</v>
      </c>
      <c r="F381" s="5" t="inlineStr">
        <is>
          <t>S</t>
        </is>
      </c>
      <c r="G381" s="5">
        <f>IF(C381="카드",INDEX(비용표!$C$2:$C$7,MATCH(F381,비용표!$B$2:$B$7,0)),F381*INDEX(비용표!$C$8:$C$9,MATCH(C381,비용표!$B$8:$B$9,0)))</f>
        <v/>
      </c>
      <c r="H381" s="5">
        <f>G381*E381</f>
        <v/>
      </c>
      <c r="I381" s="10">
        <f>IF(A381=A380,I380&amp;" · ","")&amp;IF(C381="카드",D381&amp;E381,"["&amp;C381&amp;"] "&amp;D381)</f>
        <v/>
      </c>
    </row>
    <row r="382">
      <c r="A382" s="5" t="n">
        <v>108</v>
      </c>
      <c r="B382" s="5" t="n">
        <v>4</v>
      </c>
      <c r="C382" s="5" t="inlineStr">
        <is>
          <t>카드</t>
        </is>
      </c>
      <c r="D382" s="5" t="inlineStr">
        <is>
          <t>마초</t>
        </is>
      </c>
      <c r="E382" s="5" t="n">
        <v>1</v>
      </c>
      <c r="F382" s="5" t="inlineStr">
        <is>
          <t>S</t>
        </is>
      </c>
      <c r="G382" s="5">
        <f>IF(C382="카드",INDEX(비용표!$C$2:$C$7,MATCH(F382,비용표!$B$2:$B$7,0)),F382*INDEX(비용표!$C$8:$C$9,MATCH(C382,비용표!$B$8:$B$9,0)))</f>
        <v/>
      </c>
      <c r="H382" s="5">
        <f>G382*E382</f>
        <v/>
      </c>
      <c r="I382" s="10">
        <f>IF(A382=A381,I381&amp;" · ","")&amp;IF(C382="카드",D382&amp;E382,"["&amp;C382&amp;"] "&amp;D382)</f>
        <v/>
      </c>
    </row>
    <row r="383">
      <c r="A383" s="5" t="n">
        <v>108</v>
      </c>
      <c r="B383" s="5" t="n">
        <v>5</v>
      </c>
      <c r="C383" s="5" t="inlineStr">
        <is>
          <t>카드</t>
        </is>
      </c>
      <c r="D383" s="5" t="inlineStr">
        <is>
          <t>황충</t>
        </is>
      </c>
      <c r="E383" s="5" t="n">
        <v>1</v>
      </c>
      <c r="F383" s="5" t="inlineStr">
        <is>
          <t>S</t>
        </is>
      </c>
      <c r="G383" s="5">
        <f>IF(C383="카드",INDEX(비용표!$C$2:$C$7,MATCH(F383,비용표!$B$2:$B$7,0)),F383*INDEX(비용표!$C$8:$C$9,MATCH(C383,비용표!$B$8:$B$9,0)))</f>
        <v/>
      </c>
      <c r="H383" s="5">
        <f>G383*E383</f>
        <v/>
      </c>
      <c r="I383" s="10">
        <f>IF(A383=A382,I382&amp;" · ","")&amp;IF(C383="카드",D383&amp;E383,"["&amp;C383&amp;"] "&amp;D383)</f>
        <v/>
      </c>
    </row>
    <row r="384">
      <c r="A384" s="5" t="n">
        <v>109</v>
      </c>
      <c r="B384" s="5" t="n">
        <v>1</v>
      </c>
      <c r="C384" s="5" t="inlineStr">
        <is>
          <t>카드</t>
        </is>
      </c>
      <c r="D384" s="5" t="inlineStr">
        <is>
          <t>장료</t>
        </is>
      </c>
      <c r="E384" s="5" t="n">
        <v>1</v>
      </c>
      <c r="F384" s="5" t="inlineStr">
        <is>
          <t>S</t>
        </is>
      </c>
      <c r="G384" s="5">
        <f>IF(C384="카드",INDEX(비용표!$C$2:$C$7,MATCH(F384,비용표!$B$2:$B$7,0)),F384*INDEX(비용표!$C$8:$C$9,MATCH(C384,비용표!$B$8:$B$9,0)))</f>
        <v/>
      </c>
      <c r="H384" s="5">
        <f>G384*E384</f>
        <v/>
      </c>
      <c r="I384" s="10">
        <f>IF(A384=A383,I383&amp;" · ","")&amp;IF(C384="카드",D384&amp;E384,"["&amp;C384&amp;"] "&amp;D384)</f>
        <v/>
      </c>
    </row>
    <row r="385">
      <c r="A385" s="5" t="n">
        <v>109</v>
      </c>
      <c r="B385" s="5" t="n">
        <v>2</v>
      </c>
      <c r="C385" s="5" t="inlineStr">
        <is>
          <t>카드</t>
        </is>
      </c>
      <c r="D385" s="5" t="inlineStr">
        <is>
          <t>악진</t>
        </is>
      </c>
      <c r="E385" s="5" t="n">
        <v>1</v>
      </c>
      <c r="F385" s="5" t="inlineStr">
        <is>
          <t>B</t>
        </is>
      </c>
      <c r="G385" s="5">
        <f>IF(C385="카드",INDEX(비용표!$C$2:$C$7,MATCH(F385,비용표!$B$2:$B$7,0)),F385*INDEX(비용표!$C$8:$C$9,MATCH(C385,비용표!$B$8:$B$9,0)))</f>
        <v/>
      </c>
      <c r="H385" s="5">
        <f>G385*E385</f>
        <v/>
      </c>
      <c r="I385" s="10">
        <f>IF(A385=A384,I384&amp;" · ","")&amp;IF(C385="카드",D385&amp;E385,"["&amp;C385&amp;"] "&amp;D385)</f>
        <v/>
      </c>
    </row>
    <row r="386">
      <c r="A386" s="5" t="n">
        <v>109</v>
      </c>
      <c r="B386" s="5" t="n">
        <v>3</v>
      </c>
      <c r="C386" s="5" t="inlineStr">
        <is>
          <t>카드</t>
        </is>
      </c>
      <c r="D386" s="5" t="inlineStr">
        <is>
          <t>우금</t>
        </is>
      </c>
      <c r="E386" s="5" t="n">
        <v>1</v>
      </c>
      <c r="F386" s="5" t="inlineStr">
        <is>
          <t>C</t>
        </is>
      </c>
      <c r="G386" s="5">
        <f>IF(C386="카드",INDEX(비용표!$C$2:$C$7,MATCH(F386,비용표!$B$2:$B$7,0)),F386*INDEX(비용표!$C$8:$C$9,MATCH(C386,비용표!$B$8:$B$9,0)))</f>
        <v/>
      </c>
      <c r="H386" s="5">
        <f>G386*E386</f>
        <v/>
      </c>
      <c r="I386" s="10">
        <f>IF(A386=A385,I385&amp;" · ","")&amp;IF(C386="카드",D386&amp;E386,"["&amp;C386&amp;"] "&amp;D386)</f>
        <v/>
      </c>
    </row>
    <row r="387">
      <c r="A387" s="5" t="n">
        <v>109</v>
      </c>
      <c r="B387" s="5" t="n">
        <v>4</v>
      </c>
      <c r="C387" s="5" t="inlineStr">
        <is>
          <t>카드</t>
        </is>
      </c>
      <c r="D387" s="5" t="inlineStr">
        <is>
          <t>장합</t>
        </is>
      </c>
      <c r="E387" s="5" t="n">
        <v>1</v>
      </c>
      <c r="F387" s="5" t="inlineStr">
        <is>
          <t>S</t>
        </is>
      </c>
      <c r="G387" s="5">
        <f>IF(C387="카드",INDEX(비용표!$C$2:$C$7,MATCH(F387,비용표!$B$2:$B$7,0)),F387*INDEX(비용표!$C$8:$C$9,MATCH(C387,비용표!$B$8:$B$9,0)))</f>
        <v/>
      </c>
      <c r="H387" s="5">
        <f>G387*E387</f>
        <v/>
      </c>
      <c r="I387" s="10">
        <f>IF(A387=A386,I386&amp;" · ","")&amp;IF(C387="카드",D387&amp;E387,"["&amp;C387&amp;"] "&amp;D387)</f>
        <v/>
      </c>
    </row>
    <row r="388">
      <c r="A388" s="5" t="n">
        <v>109</v>
      </c>
      <c r="B388" s="5" t="n">
        <v>5</v>
      </c>
      <c r="C388" s="5" t="inlineStr">
        <is>
          <t>카드</t>
        </is>
      </c>
      <c r="D388" s="5" t="inlineStr">
        <is>
          <t>서황</t>
        </is>
      </c>
      <c r="E388" s="5" t="n">
        <v>1</v>
      </c>
      <c r="F388" s="5" t="inlineStr">
        <is>
          <t>S</t>
        </is>
      </c>
      <c r="G388" s="5">
        <f>IF(C388="카드",INDEX(비용표!$C$2:$C$7,MATCH(F388,비용표!$B$2:$B$7,0)),F388*INDEX(비용표!$C$8:$C$9,MATCH(C388,비용표!$B$8:$B$9,0)))</f>
        <v/>
      </c>
      <c r="H388" s="5">
        <f>G388*E388</f>
        <v/>
      </c>
      <c r="I388" s="10">
        <f>IF(A388=A387,I387&amp;" · ","")&amp;IF(C388="카드",D388&amp;E388,"["&amp;C388&amp;"] "&amp;D388)</f>
        <v/>
      </c>
    </row>
    <row r="389">
      <c r="A389" s="5" t="n">
        <v>110</v>
      </c>
      <c r="B389" s="5" t="n">
        <v>1</v>
      </c>
      <c r="C389" s="5" t="inlineStr">
        <is>
          <t>카드</t>
        </is>
      </c>
      <c r="D389" s="5" t="inlineStr">
        <is>
          <t>주유</t>
        </is>
      </c>
      <c r="E389" s="5" t="n">
        <v>1</v>
      </c>
      <c r="F389" s="5" t="inlineStr">
        <is>
          <t>S</t>
        </is>
      </c>
      <c r="G389" s="5">
        <f>IF(C389="카드",INDEX(비용표!$C$2:$C$7,MATCH(F389,비용표!$B$2:$B$7,0)),F389*INDEX(비용표!$C$8:$C$9,MATCH(C389,비용표!$B$8:$B$9,0)))</f>
        <v/>
      </c>
      <c r="H389" s="5">
        <f>G389*E389</f>
        <v/>
      </c>
      <c r="I389" s="10">
        <f>IF(A389=A388,I388&amp;" · ","")&amp;IF(C389="카드",D389&amp;E389,"["&amp;C389&amp;"] "&amp;D389)</f>
        <v/>
      </c>
    </row>
    <row r="390">
      <c r="A390" s="5" t="n">
        <v>110</v>
      </c>
      <c r="B390" s="5" t="n">
        <v>2</v>
      </c>
      <c r="C390" s="5" t="inlineStr">
        <is>
          <t>카드</t>
        </is>
      </c>
      <c r="D390" s="5" t="inlineStr">
        <is>
          <t>노숙</t>
        </is>
      </c>
      <c r="E390" s="5" t="n">
        <v>1</v>
      </c>
      <c r="F390" s="5" t="inlineStr">
        <is>
          <t>S</t>
        </is>
      </c>
      <c r="G390" s="5">
        <f>IF(C390="카드",INDEX(비용표!$C$2:$C$7,MATCH(F390,비용표!$B$2:$B$7,0)),F390*INDEX(비용표!$C$8:$C$9,MATCH(C390,비용표!$B$8:$B$9,0)))</f>
        <v/>
      </c>
      <c r="H390" s="5">
        <f>G390*E390</f>
        <v/>
      </c>
      <c r="I390" s="10">
        <f>IF(A390=A389,I389&amp;" · ","")&amp;IF(C390="카드",D390&amp;E390,"["&amp;C390&amp;"] "&amp;D390)</f>
        <v/>
      </c>
    </row>
    <row r="391">
      <c r="A391" s="5" t="n">
        <v>110</v>
      </c>
      <c r="B391" s="5" t="n">
        <v>3</v>
      </c>
      <c r="C391" s="5" t="inlineStr">
        <is>
          <t>카드</t>
        </is>
      </c>
      <c r="D391" s="5" t="inlineStr">
        <is>
          <t>여몽</t>
        </is>
      </c>
      <c r="E391" s="5" t="n">
        <v>1</v>
      </c>
      <c r="F391" s="5" t="inlineStr">
        <is>
          <t>S</t>
        </is>
      </c>
      <c r="G391" s="5">
        <f>IF(C391="카드",INDEX(비용표!$C$2:$C$7,MATCH(F391,비용표!$B$2:$B$7,0)),F391*INDEX(비용표!$C$8:$C$9,MATCH(C391,비용표!$B$8:$B$9,0)))</f>
        <v/>
      </c>
      <c r="H391" s="5">
        <f>G391*E391</f>
        <v/>
      </c>
      <c r="I391" s="10">
        <f>IF(A391=A390,I390&amp;" · ","")&amp;IF(C391="카드",D391&amp;E391,"["&amp;C391&amp;"] "&amp;D391)</f>
        <v/>
      </c>
    </row>
    <row r="392">
      <c r="A392" s="5" t="n">
        <v>110</v>
      </c>
      <c r="B392" s="5" t="n">
        <v>4</v>
      </c>
      <c r="C392" s="5" t="inlineStr">
        <is>
          <t>카드</t>
        </is>
      </c>
      <c r="D392" s="5" t="inlineStr">
        <is>
          <t>육손</t>
        </is>
      </c>
      <c r="E392" s="5" t="n">
        <v>1</v>
      </c>
      <c r="F392" s="5" t="inlineStr">
        <is>
          <t>S</t>
        </is>
      </c>
      <c r="G392" s="5">
        <f>IF(C392="카드",INDEX(비용표!$C$2:$C$7,MATCH(F392,비용표!$B$2:$B$7,0)),F392*INDEX(비용표!$C$8:$C$9,MATCH(C392,비용표!$B$8:$B$9,0)))</f>
        <v/>
      </c>
      <c r="H392" s="5">
        <f>G392*E392</f>
        <v/>
      </c>
      <c r="I392" s="10">
        <f>IF(A392=A391,I391&amp;" · ","")&amp;IF(C392="카드",D392&amp;E392,"["&amp;C392&amp;"] "&amp;D392)</f>
        <v/>
      </c>
    </row>
    <row r="393">
      <c r="A393" s="5" t="n">
        <v>111</v>
      </c>
      <c r="B393" s="5" t="n">
        <v>1</v>
      </c>
      <c r="C393" s="5" t="inlineStr">
        <is>
          <t>카드</t>
        </is>
      </c>
      <c r="D393" s="5" t="inlineStr">
        <is>
          <t>순욱</t>
        </is>
      </c>
      <c r="E393" s="5" t="n">
        <v>1</v>
      </c>
      <c r="F393" s="5" t="inlineStr">
        <is>
          <t>S</t>
        </is>
      </c>
      <c r="G393" s="5">
        <f>IF(C393="카드",INDEX(비용표!$C$2:$C$7,MATCH(F393,비용표!$B$2:$B$7,0)),F393*INDEX(비용표!$C$8:$C$9,MATCH(C393,비용표!$B$8:$B$9,0)))</f>
        <v/>
      </c>
      <c r="H393" s="5">
        <f>G393*E393</f>
        <v/>
      </c>
      <c r="I393" s="10">
        <f>IF(A393=A392,I392&amp;" · ","")&amp;IF(C393="카드",D393&amp;E393,"["&amp;C393&amp;"] "&amp;D393)</f>
        <v/>
      </c>
    </row>
    <row r="394">
      <c r="A394" s="5" t="n">
        <v>111</v>
      </c>
      <c r="B394" s="5" t="n">
        <v>2</v>
      </c>
      <c r="C394" s="5" t="inlineStr">
        <is>
          <t>카드</t>
        </is>
      </c>
      <c r="D394" s="5" t="inlineStr">
        <is>
          <t>순유</t>
        </is>
      </c>
      <c r="E394" s="5" t="n">
        <v>1</v>
      </c>
      <c r="F394" s="5" t="inlineStr">
        <is>
          <t>A</t>
        </is>
      </c>
      <c r="G394" s="5">
        <f>IF(C394="카드",INDEX(비용표!$C$2:$C$7,MATCH(F394,비용표!$B$2:$B$7,0)),F394*INDEX(비용표!$C$8:$C$9,MATCH(C394,비용표!$B$8:$B$9,0)))</f>
        <v/>
      </c>
      <c r="H394" s="5">
        <f>G394*E394</f>
        <v/>
      </c>
      <c r="I394" s="10">
        <f>IF(A394=A393,I393&amp;" · ","")&amp;IF(C394="카드",D394&amp;E394,"["&amp;C394&amp;"] "&amp;D394)</f>
        <v/>
      </c>
    </row>
    <row r="395">
      <c r="A395" s="5" t="n">
        <v>111</v>
      </c>
      <c r="B395" s="5" t="n">
        <v>3</v>
      </c>
      <c r="C395" s="5" t="inlineStr">
        <is>
          <t>카드</t>
        </is>
      </c>
      <c r="D395" s="5" t="inlineStr">
        <is>
          <t>곽가</t>
        </is>
      </c>
      <c r="E395" s="5" t="n">
        <v>1</v>
      </c>
      <c r="F395" s="5" t="inlineStr">
        <is>
          <t>S</t>
        </is>
      </c>
      <c r="G395" s="5">
        <f>IF(C395="카드",INDEX(비용표!$C$2:$C$7,MATCH(F395,비용표!$B$2:$B$7,0)),F395*INDEX(비용표!$C$8:$C$9,MATCH(C395,비용표!$B$8:$B$9,0)))</f>
        <v/>
      </c>
      <c r="H395" s="5">
        <f>G395*E395</f>
        <v/>
      </c>
      <c r="I395" s="10">
        <f>IF(A395=A394,I394&amp;" · ","")&amp;IF(C395="카드",D395&amp;E395,"["&amp;C395&amp;"] "&amp;D395)</f>
        <v/>
      </c>
    </row>
    <row r="396">
      <c r="A396" s="5" t="n">
        <v>111</v>
      </c>
      <c r="B396" s="5" t="n">
        <v>4</v>
      </c>
      <c r="C396" s="5" t="inlineStr">
        <is>
          <t>카드</t>
        </is>
      </c>
      <c r="D396" s="5" t="inlineStr">
        <is>
          <t>가후</t>
        </is>
      </c>
      <c r="E396" s="5" t="n">
        <v>1</v>
      </c>
      <c r="F396" s="5" t="inlineStr">
        <is>
          <t>S</t>
        </is>
      </c>
      <c r="G396" s="5">
        <f>IF(C396="카드",INDEX(비용표!$C$2:$C$7,MATCH(F396,비용표!$B$2:$B$7,0)),F396*INDEX(비용표!$C$8:$C$9,MATCH(C396,비용표!$B$8:$B$9,0)))</f>
        <v/>
      </c>
      <c r="H396" s="5">
        <f>G396*E396</f>
        <v/>
      </c>
      <c r="I396" s="10">
        <f>IF(A396=A395,I395&amp;" · ","")&amp;IF(C396="카드",D396&amp;E396,"["&amp;C396&amp;"] "&amp;D396)</f>
        <v/>
      </c>
    </row>
    <row r="397">
      <c r="A397" s="5" t="n">
        <v>111</v>
      </c>
      <c r="B397" s="5" t="n">
        <v>5</v>
      </c>
      <c r="C397" s="5" t="inlineStr">
        <is>
          <t>카드</t>
        </is>
      </c>
      <c r="D397" s="5" t="inlineStr">
        <is>
          <t>사마의</t>
        </is>
      </c>
      <c r="E397" s="5" t="n">
        <v>1</v>
      </c>
      <c r="F397" s="5" t="inlineStr">
        <is>
          <t>S</t>
        </is>
      </c>
      <c r="G397" s="5">
        <f>IF(C397="카드",INDEX(비용표!$C$2:$C$7,MATCH(F397,비용표!$B$2:$B$7,0)),F397*INDEX(비용표!$C$8:$C$9,MATCH(C397,비용표!$B$8:$B$9,0)))</f>
        <v/>
      </c>
      <c r="H397" s="5">
        <f>G397*E397</f>
        <v/>
      </c>
      <c r="I397" s="10">
        <f>IF(A397=A396,I396&amp;" · ","")&amp;IF(C397="카드",D397&amp;E397,"["&amp;C397&amp;"] "&amp;D397)</f>
        <v/>
      </c>
    </row>
    <row r="398">
      <c r="A398" s="5" t="n">
        <v>112</v>
      </c>
      <c r="B398" s="5" t="n">
        <v>1</v>
      </c>
      <c r="C398" s="5" t="inlineStr">
        <is>
          <t>카드</t>
        </is>
      </c>
      <c r="D398" s="5" t="inlineStr">
        <is>
          <t>정보</t>
        </is>
      </c>
      <c r="E398" s="5" t="n">
        <v>1</v>
      </c>
      <c r="F398" s="5" t="inlineStr">
        <is>
          <t>A</t>
        </is>
      </c>
      <c r="G398" s="5">
        <f>IF(C398="카드",INDEX(비용표!$C$2:$C$7,MATCH(F398,비용표!$B$2:$B$7,0)),F398*INDEX(비용표!$C$8:$C$9,MATCH(C398,비용표!$B$8:$B$9,0)))</f>
        <v/>
      </c>
      <c r="H398" s="5">
        <f>G398*E398</f>
        <v/>
      </c>
      <c r="I398" s="10">
        <f>IF(A398=A397,I397&amp;" · ","")&amp;IF(C398="카드",D398&amp;E398,"["&amp;C398&amp;"] "&amp;D398)</f>
        <v/>
      </c>
    </row>
    <row r="399">
      <c r="A399" s="5" t="n">
        <v>112</v>
      </c>
      <c r="B399" s="5" t="n">
        <v>2</v>
      </c>
      <c r="C399" s="5" t="inlineStr">
        <is>
          <t>카드</t>
        </is>
      </c>
      <c r="D399" s="5" t="inlineStr">
        <is>
          <t>황개</t>
        </is>
      </c>
      <c r="E399" s="5" t="n">
        <v>1</v>
      </c>
      <c r="F399" s="5" t="inlineStr">
        <is>
          <t>A</t>
        </is>
      </c>
      <c r="G399" s="5">
        <f>IF(C399="카드",INDEX(비용표!$C$2:$C$7,MATCH(F399,비용표!$B$2:$B$7,0)),F399*INDEX(비용표!$C$8:$C$9,MATCH(C399,비용표!$B$8:$B$9,0)))</f>
        <v/>
      </c>
      <c r="H399" s="5">
        <f>G399*E399</f>
        <v/>
      </c>
      <c r="I399" s="10">
        <f>IF(A399=A398,I398&amp;" · ","")&amp;IF(C399="카드",D399&amp;E399,"["&amp;C399&amp;"] "&amp;D399)</f>
        <v/>
      </c>
    </row>
    <row r="400">
      <c r="A400" s="5" t="n">
        <v>112</v>
      </c>
      <c r="B400" s="5" t="n">
        <v>3</v>
      </c>
      <c r="C400" s="5" t="inlineStr">
        <is>
          <t>카드</t>
        </is>
      </c>
      <c r="D400" s="5" t="inlineStr">
        <is>
          <t>주태</t>
        </is>
      </c>
      <c r="E400" s="5" t="n">
        <v>1</v>
      </c>
      <c r="F400" s="5" t="inlineStr">
        <is>
          <t>A</t>
        </is>
      </c>
      <c r="G400" s="5">
        <f>IF(C400="카드",INDEX(비용표!$C$2:$C$7,MATCH(F400,비용표!$B$2:$B$7,0)),F400*INDEX(비용표!$C$8:$C$9,MATCH(C400,비용표!$B$8:$B$9,0)))</f>
        <v/>
      </c>
      <c r="H400" s="5">
        <f>G400*E400</f>
        <v/>
      </c>
      <c r="I400" s="10">
        <f>IF(A400=A399,I399&amp;" · ","")&amp;IF(C400="카드",D400&amp;E400,"["&amp;C400&amp;"] "&amp;D400)</f>
        <v/>
      </c>
    </row>
    <row r="401">
      <c r="A401" s="5" t="n">
        <v>112</v>
      </c>
      <c r="B401" s="5" t="n">
        <v>4</v>
      </c>
      <c r="C401" s="5" t="inlineStr">
        <is>
          <t>카드</t>
        </is>
      </c>
      <c r="D401" s="5" t="inlineStr">
        <is>
          <t>감녕</t>
        </is>
      </c>
      <c r="E401" s="5" t="n">
        <v>1</v>
      </c>
      <c r="F401" s="5" t="inlineStr">
        <is>
          <t>S</t>
        </is>
      </c>
      <c r="G401" s="5">
        <f>IF(C401="카드",INDEX(비용표!$C$2:$C$7,MATCH(F401,비용표!$B$2:$B$7,0)),F401*INDEX(비용표!$C$8:$C$9,MATCH(C401,비용표!$B$8:$B$9,0)))</f>
        <v/>
      </c>
      <c r="H401" s="5">
        <f>G401*E401</f>
        <v/>
      </c>
      <c r="I401" s="10">
        <f>IF(A401=A400,I400&amp;" · ","")&amp;IF(C401="카드",D401&amp;E401,"["&amp;C401&amp;"] "&amp;D401)</f>
        <v/>
      </c>
    </row>
    <row r="402">
      <c r="A402" s="5" t="n">
        <v>112</v>
      </c>
      <c r="B402" s="5" t="n">
        <v>5</v>
      </c>
      <c r="C402" s="5" t="inlineStr">
        <is>
          <t>카드</t>
        </is>
      </c>
      <c r="D402" s="5" t="inlineStr">
        <is>
          <t>능통</t>
        </is>
      </c>
      <c r="E402" s="5" t="n">
        <v>1</v>
      </c>
      <c r="F402" s="5" t="inlineStr">
        <is>
          <t>A</t>
        </is>
      </c>
      <c r="G402" s="5">
        <f>IF(C402="카드",INDEX(비용표!$C$2:$C$7,MATCH(F402,비용표!$B$2:$B$7,0)),F402*INDEX(비용표!$C$8:$C$9,MATCH(C402,비용표!$B$8:$B$9,0)))</f>
        <v/>
      </c>
      <c r="H402" s="5">
        <f>G402*E402</f>
        <v/>
      </c>
      <c r="I402" s="10">
        <f>IF(A402=A401,I401&amp;" · ","")&amp;IF(C402="카드",D402&amp;E402,"["&amp;C402&amp;"] "&amp;D402)</f>
        <v/>
      </c>
    </row>
    <row r="403">
      <c r="A403" s="5" t="n">
        <v>113</v>
      </c>
      <c r="B403" s="5" t="n">
        <v>1</v>
      </c>
      <c r="C403" s="5" t="inlineStr">
        <is>
          <t>카드</t>
        </is>
      </c>
      <c r="D403" s="5" t="inlineStr">
        <is>
          <t>주태</t>
        </is>
      </c>
      <c r="E403" s="5" t="n">
        <v>1</v>
      </c>
      <c r="F403" s="5" t="inlineStr">
        <is>
          <t>A</t>
        </is>
      </c>
      <c r="G403" s="5">
        <f>IF(C403="카드",INDEX(비용표!$C$2:$C$7,MATCH(F403,비용표!$B$2:$B$7,0)),F403*INDEX(비용표!$C$8:$C$9,MATCH(C403,비용표!$B$8:$B$9,0)))</f>
        <v/>
      </c>
      <c r="H403" s="5">
        <f>G403*E403</f>
        <v/>
      </c>
      <c r="I403" s="10">
        <f>IF(A403=A402,I402&amp;" · ","")&amp;IF(C403="카드",D403&amp;E403,"["&amp;C403&amp;"] "&amp;D403)</f>
        <v/>
      </c>
    </row>
    <row r="404">
      <c r="A404" s="5" t="n">
        <v>113</v>
      </c>
      <c r="B404" s="5" t="n">
        <v>2</v>
      </c>
      <c r="C404" s="5" t="inlineStr">
        <is>
          <t>카드</t>
        </is>
      </c>
      <c r="D404" s="5" t="inlineStr">
        <is>
          <t>손권</t>
        </is>
      </c>
      <c r="E404" s="5" t="n">
        <v>1</v>
      </c>
      <c r="F404" s="5" t="inlineStr">
        <is>
          <t>S</t>
        </is>
      </c>
      <c r="G404" s="5">
        <f>IF(C404="카드",INDEX(비용표!$C$2:$C$7,MATCH(F404,비용표!$B$2:$B$7,0)),F404*INDEX(비용표!$C$8:$C$9,MATCH(C404,비용표!$B$8:$B$9,0)))</f>
        <v/>
      </c>
      <c r="H404" s="5">
        <f>G404*E404</f>
        <v/>
      </c>
      <c r="I404" s="10">
        <f>IF(A404=A403,I403&amp;" · ","")&amp;IF(C404="카드",D404&amp;E404,"["&amp;C404&amp;"] "&amp;D404)</f>
        <v/>
      </c>
    </row>
    <row r="405">
      <c r="A405" s="5" t="n">
        <v>114</v>
      </c>
      <c r="B405" s="5" t="n">
        <v>1</v>
      </c>
      <c r="C405" s="5" t="inlineStr">
        <is>
          <t>카드</t>
        </is>
      </c>
      <c r="D405" s="5" t="inlineStr">
        <is>
          <t>하후돈</t>
        </is>
      </c>
      <c r="E405" s="5" t="n">
        <v>1</v>
      </c>
      <c r="F405" s="5" t="inlineStr">
        <is>
          <t>S</t>
        </is>
      </c>
      <c r="G405" s="5">
        <f>IF(C405="카드",INDEX(비용표!$C$2:$C$7,MATCH(F405,비용표!$B$2:$B$7,0)),F405*INDEX(비용표!$C$8:$C$9,MATCH(C405,비용표!$B$8:$B$9,0)))</f>
        <v/>
      </c>
      <c r="H405" s="5">
        <f>G405*E405</f>
        <v/>
      </c>
      <c r="I405" s="10">
        <f>IF(A405=A404,I404&amp;" · ","")&amp;IF(C405="카드",D405&amp;E405,"["&amp;C405&amp;"] "&amp;D405)</f>
        <v/>
      </c>
    </row>
    <row r="406">
      <c r="A406" s="5" t="n">
        <v>114</v>
      </c>
      <c r="B406" s="5" t="n">
        <v>2</v>
      </c>
      <c r="C406" s="5" t="inlineStr">
        <is>
          <t>카드</t>
        </is>
      </c>
      <c r="D406" s="5" t="inlineStr">
        <is>
          <t>하후연</t>
        </is>
      </c>
      <c r="E406" s="5" t="n">
        <v>1</v>
      </c>
      <c r="F406" s="5" t="inlineStr">
        <is>
          <t>A</t>
        </is>
      </c>
      <c r="G406" s="5">
        <f>IF(C406="카드",INDEX(비용표!$C$2:$C$7,MATCH(F406,비용표!$B$2:$B$7,0)),F406*INDEX(비용표!$C$8:$C$9,MATCH(C406,비용표!$B$8:$B$9,0)))</f>
        <v/>
      </c>
      <c r="H406" s="5">
        <f>G406*E406</f>
        <v/>
      </c>
      <c r="I406" s="10">
        <f>IF(A406=A405,I405&amp;" · ","")&amp;IF(C406="카드",D406&amp;E406,"["&amp;C406&amp;"] "&amp;D406)</f>
        <v/>
      </c>
    </row>
    <row r="407">
      <c r="A407" s="5" t="n">
        <v>115</v>
      </c>
      <c r="B407" s="5" t="n">
        <v>1</v>
      </c>
      <c r="C407" s="5" t="inlineStr">
        <is>
          <t>카드</t>
        </is>
      </c>
      <c r="D407" s="5" t="inlineStr">
        <is>
          <t>마량</t>
        </is>
      </c>
      <c r="E407" s="5" t="n">
        <v>1</v>
      </c>
      <c r="F407" s="5" t="inlineStr">
        <is>
          <t>A</t>
        </is>
      </c>
      <c r="G407" s="5">
        <f>IF(C407="카드",INDEX(비용표!$C$2:$C$7,MATCH(F407,비용표!$B$2:$B$7,0)),F407*INDEX(비용표!$C$8:$C$9,MATCH(C407,비용표!$B$8:$B$9,0)))</f>
        <v/>
      </c>
      <c r="H407" s="5">
        <f>G407*E407</f>
        <v/>
      </c>
      <c r="I407" s="10">
        <f>IF(A407=A406,I406&amp;" · ","")&amp;IF(C407="카드",D407&amp;E407,"["&amp;C407&amp;"] "&amp;D407)</f>
        <v/>
      </c>
    </row>
    <row r="408">
      <c r="A408" s="5" t="n">
        <v>115</v>
      </c>
      <c r="B408" s="5" t="n">
        <v>2</v>
      </c>
      <c r="C408" s="5" t="inlineStr">
        <is>
          <t>카드</t>
        </is>
      </c>
      <c r="D408" s="5" t="inlineStr">
        <is>
          <t>마속</t>
        </is>
      </c>
      <c r="E408" s="5" t="n">
        <v>1</v>
      </c>
      <c r="F408" s="5" t="inlineStr">
        <is>
          <t>B</t>
        </is>
      </c>
      <c r="G408" s="5">
        <f>IF(C408="카드",INDEX(비용표!$C$2:$C$7,MATCH(F408,비용표!$B$2:$B$7,0)),F408*INDEX(비용표!$C$8:$C$9,MATCH(C408,비용표!$B$8:$B$9,0)))</f>
        <v/>
      </c>
      <c r="H408" s="5">
        <f>G408*E408</f>
        <v/>
      </c>
      <c r="I408" s="10">
        <f>IF(A408=A407,I407&amp;" · ","")&amp;IF(C408="카드",D408&amp;E408,"["&amp;C408&amp;"] "&amp;D408)</f>
        <v/>
      </c>
    </row>
    <row r="409">
      <c r="A409" s="5" t="n">
        <v>116</v>
      </c>
      <c r="B409" s="5" t="n">
        <v>1</v>
      </c>
      <c r="C409" s="5" t="inlineStr">
        <is>
          <t>카드</t>
        </is>
      </c>
      <c r="D409" s="5" t="inlineStr">
        <is>
          <t>마등</t>
        </is>
      </c>
      <c r="E409" s="5" t="n">
        <v>1</v>
      </c>
      <c r="F409" s="5" t="inlineStr">
        <is>
          <t>A</t>
        </is>
      </c>
      <c r="G409" s="5">
        <f>IF(C409="카드",INDEX(비용표!$C$2:$C$7,MATCH(F409,비용표!$B$2:$B$7,0)),F409*INDEX(비용표!$C$8:$C$9,MATCH(C409,비용표!$B$8:$B$9,0)))</f>
        <v/>
      </c>
      <c r="H409" s="5">
        <f>G409*E409</f>
        <v/>
      </c>
      <c r="I409" s="10">
        <f>IF(A409=A408,I408&amp;" · ","")&amp;IF(C409="카드",D409&amp;E409,"["&amp;C409&amp;"] "&amp;D409)</f>
        <v/>
      </c>
    </row>
    <row r="410">
      <c r="A410" s="5" t="n">
        <v>116</v>
      </c>
      <c r="B410" s="5" t="n">
        <v>2</v>
      </c>
      <c r="C410" s="5" t="inlineStr">
        <is>
          <t>카드</t>
        </is>
      </c>
      <c r="D410" s="5" t="inlineStr">
        <is>
          <t>마초</t>
        </is>
      </c>
      <c r="E410" s="5" t="n">
        <v>1</v>
      </c>
      <c r="F410" s="5" t="inlineStr">
        <is>
          <t>S</t>
        </is>
      </c>
      <c r="G410" s="5">
        <f>IF(C410="카드",INDEX(비용표!$C$2:$C$7,MATCH(F410,비용표!$B$2:$B$7,0)),F410*INDEX(비용표!$C$8:$C$9,MATCH(C410,비용표!$B$8:$B$9,0)))</f>
        <v/>
      </c>
      <c r="H410" s="5">
        <f>G410*E410</f>
        <v/>
      </c>
      <c r="I410" s="10">
        <f>IF(A410=A409,I409&amp;" · ","")&amp;IF(C410="카드",D410&amp;E410,"["&amp;C410&amp;"] "&amp;D410)</f>
        <v/>
      </c>
    </row>
    <row r="411">
      <c r="A411" s="5" t="n">
        <v>116</v>
      </c>
      <c r="B411" s="5" t="n">
        <v>3</v>
      </c>
      <c r="C411" s="5" t="inlineStr">
        <is>
          <t>카드</t>
        </is>
      </c>
      <c r="D411" s="5" t="inlineStr">
        <is>
          <t>마대</t>
        </is>
      </c>
      <c r="E411" s="5" t="n">
        <v>1</v>
      </c>
      <c r="F411" s="5" t="inlineStr">
        <is>
          <t>B</t>
        </is>
      </c>
      <c r="G411" s="5">
        <f>IF(C411="카드",INDEX(비용표!$C$2:$C$7,MATCH(F411,비용표!$B$2:$B$7,0)),F411*INDEX(비용표!$C$8:$C$9,MATCH(C411,비용표!$B$8:$B$9,0)))</f>
        <v/>
      </c>
      <c r="H411" s="5">
        <f>G411*E411</f>
        <v/>
      </c>
      <c r="I411" s="10">
        <f>IF(A411=A410,I410&amp;" · ","")&amp;IF(C411="카드",D411&amp;E411,"["&amp;C411&amp;"] "&amp;D411)</f>
        <v/>
      </c>
    </row>
    <row r="412">
      <c r="A412" s="5" t="n">
        <v>117</v>
      </c>
      <c r="B412" s="5" t="n">
        <v>1</v>
      </c>
      <c r="C412" s="5" t="inlineStr">
        <is>
          <t>카드</t>
        </is>
      </c>
      <c r="D412" s="5" t="inlineStr">
        <is>
          <t>유표</t>
        </is>
      </c>
      <c r="E412" s="5" t="n">
        <v>1</v>
      </c>
      <c r="F412" s="5" t="inlineStr">
        <is>
          <t>B</t>
        </is>
      </c>
      <c r="G412" s="5">
        <f>IF(C412="카드",INDEX(비용표!$C$2:$C$7,MATCH(F412,비용표!$B$2:$B$7,0)),F412*INDEX(비용표!$C$8:$C$9,MATCH(C412,비용표!$B$8:$B$9,0)))</f>
        <v/>
      </c>
      <c r="H412" s="5">
        <f>G412*E412</f>
        <v/>
      </c>
      <c r="I412" s="10">
        <f>IF(A412=A411,I411&amp;" · ","")&amp;IF(C412="카드",D412&amp;E412,"["&amp;C412&amp;"] "&amp;D412)</f>
        <v/>
      </c>
    </row>
    <row r="413">
      <c r="A413" s="5" t="n">
        <v>117</v>
      </c>
      <c r="B413" s="5" t="n">
        <v>2</v>
      </c>
      <c r="C413" s="5" t="inlineStr">
        <is>
          <t>카드</t>
        </is>
      </c>
      <c r="D413" s="5" t="inlineStr">
        <is>
          <t>유기</t>
        </is>
      </c>
      <c r="E413" s="5" t="n">
        <v>1</v>
      </c>
      <c r="F413" s="5" t="inlineStr">
        <is>
          <t>D</t>
        </is>
      </c>
      <c r="G413" s="5">
        <f>IF(C413="카드",INDEX(비용표!$C$2:$C$7,MATCH(F413,비용표!$B$2:$B$7,0)),F413*INDEX(비용표!$C$8:$C$9,MATCH(C413,비용표!$B$8:$B$9,0)))</f>
        <v/>
      </c>
      <c r="H413" s="5">
        <f>G413*E413</f>
        <v/>
      </c>
      <c r="I413" s="10">
        <f>IF(A413=A412,I412&amp;" · ","")&amp;IF(C413="카드",D413&amp;E413,"["&amp;C413&amp;"] "&amp;D413)</f>
        <v/>
      </c>
    </row>
    <row r="414">
      <c r="A414" s="5" t="n">
        <v>117</v>
      </c>
      <c r="B414" s="5" t="n">
        <v>3</v>
      </c>
      <c r="C414" s="5" t="inlineStr">
        <is>
          <t>카드</t>
        </is>
      </c>
      <c r="D414" s="5" t="inlineStr">
        <is>
          <t>유종</t>
        </is>
      </c>
      <c r="E414" s="5" t="n">
        <v>1</v>
      </c>
      <c r="F414" s="5" t="inlineStr">
        <is>
          <t>C</t>
        </is>
      </c>
      <c r="G414" s="5">
        <f>IF(C414="카드",INDEX(비용표!$C$2:$C$7,MATCH(F414,비용표!$B$2:$B$7,0)),F414*INDEX(비용표!$C$8:$C$9,MATCH(C414,비용표!$B$8:$B$9,0)))</f>
        <v/>
      </c>
      <c r="H414" s="5">
        <f>G414*E414</f>
        <v/>
      </c>
      <c r="I414" s="10">
        <f>IF(A414=A413,I413&amp;" · ","")&amp;IF(C414="카드",D414&amp;E414,"["&amp;C414&amp;"] "&amp;D414)</f>
        <v/>
      </c>
    </row>
    <row r="415">
      <c r="A415" s="5" t="n">
        <v>117</v>
      </c>
      <c r="B415" s="5" t="n">
        <v>4</v>
      </c>
      <c r="C415" s="5" t="inlineStr">
        <is>
          <t>카드</t>
        </is>
      </c>
      <c r="D415" s="5" t="inlineStr">
        <is>
          <t>채모</t>
        </is>
      </c>
      <c r="E415" s="5" t="n">
        <v>1</v>
      </c>
      <c r="F415" s="5" t="inlineStr">
        <is>
          <t>B</t>
        </is>
      </c>
      <c r="G415" s="5">
        <f>IF(C415="카드",INDEX(비용표!$C$2:$C$7,MATCH(F415,비용표!$B$2:$B$7,0)),F415*INDEX(비용표!$C$8:$C$9,MATCH(C415,비용표!$B$8:$B$9,0)))</f>
        <v/>
      </c>
      <c r="H415" s="5">
        <f>G415*E415</f>
        <v/>
      </c>
      <c r="I415" s="10">
        <f>IF(A415=A414,I414&amp;" · ","")&amp;IF(C415="카드",D415&amp;E415,"["&amp;C415&amp;"] "&amp;D415)</f>
        <v/>
      </c>
    </row>
    <row r="416">
      <c r="A416" s="5" t="n">
        <v>117</v>
      </c>
      <c r="B416" s="5" t="n">
        <v>5</v>
      </c>
      <c r="C416" s="5" t="inlineStr">
        <is>
          <t>카드</t>
        </is>
      </c>
      <c r="D416" s="5" t="inlineStr">
        <is>
          <t>괴월</t>
        </is>
      </c>
      <c r="E416" s="5" t="n">
        <v>1</v>
      </c>
      <c r="F416" s="5" t="inlineStr">
        <is>
          <t>B</t>
        </is>
      </c>
      <c r="G416" s="5">
        <f>IF(C416="카드",INDEX(비용표!$C$2:$C$7,MATCH(F416,비용표!$B$2:$B$7,0)),F416*INDEX(비용표!$C$8:$C$9,MATCH(C416,비용표!$B$8:$B$9,0)))</f>
        <v/>
      </c>
      <c r="H416" s="5">
        <f>G416*E416</f>
        <v/>
      </c>
      <c r="I416" s="10">
        <f>IF(A416=A415,I415&amp;" · ","")&amp;IF(C416="카드",D416&amp;E416,"["&amp;C416&amp;"] "&amp;D416)</f>
        <v/>
      </c>
    </row>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showDropDown="0" showInputMessage="0" showErrorMessage="0" allowBlank="0" type="list">
      <formula1>"카드,병기,아이템"</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7"/>
  <cols>
    <col width="16" customWidth="1" min="1" max="1"/>
    <col width="110" customWidth="1" min="2" max="2"/>
  </cols>
  <sheetData>
    <row r="1" ht="30" customHeight="1">
      <c r="A1" s="1" t="inlineStr">
        <is>
          <t>항목</t>
        </is>
      </c>
      <c r="B1" s="1" t="inlineStr">
        <is>
          <t>규칙</t>
        </is>
      </c>
    </row>
    <row r="2">
      <c r="A2" s="11" t="inlineStr">
        <is>
          <t>칸</t>
        </is>
      </c>
      <c r="B2" s="4" t="inlineStr">
        <is>
          <t>조건 하나가 칸 하나. 카드 칸은 장수 카드, 병기 칸은 대장간 병기, 아이템 칸은 시장 아이템만 받는다.</t>
        </is>
      </c>
    </row>
    <row r="3">
      <c r="A3" s="11" t="inlineStr">
        <is>
          <t>등록</t>
        </is>
      </c>
      <c r="B3" s="4" t="inlineStr">
        <is>
          <t>칸마다 하나씩, 부분 등록 가능. 요건이 되는 칸을 누르면 「등록하시겠습니까?」. 되돌릴 수 없다.</t>
        </is>
      </c>
    </row>
    <row r="4">
      <c r="A4" s="11" t="inlineStr">
        <is>
          <t>카드 수</t>
        </is>
      </c>
      <c r="B4" s="4" t="inlineStr">
        <is>
          <t>한 컬렉션에 같은 장수 카드는 1장뿐이다 — 칸 하나 = 장수 하나 = 카드 1장 (2026-10-13 3차).</t>
        </is>
      </c>
    </row>
    <row r="5">
      <c r="A5" s="11" t="inlineStr">
        <is>
          <t>장수 카드</t>
        </is>
      </c>
      <c r="B5" s="4" t="inlineStr">
        <is>
          <t>풀의 본체를 1장으로 센다 — 여분 카드가 1장이라도 있으면 등록할 수 있고 여분만 쓴다. 본체는 빠지지 않는다.</t>
        </is>
      </c>
    </row>
    <row r="6">
      <c r="A6" s="11" t="inlineStr">
        <is>
          <t>완성</t>
        </is>
      </c>
      <c r="B6" s="4" t="inlineStr">
        <is>
          <t>모든 칸이 차면 완성 — 그때 점수와 효과가 생긴다. 부분 등록은 점수도 효과도 없다.</t>
        </is>
      </c>
    </row>
    <row r="7">
      <c r="A7" s="11" t="inlineStr">
        <is>
          <t>병기</t>
        </is>
      </c>
      <c r="B7" s="4" t="inlineStr">
        <is>
          <t>등록한 자루는 보유 목록에서 빠지므로 대장간 종류당 상한 = 만든 수 − 넣은 수. 장수에게 지급된 자루는 해제한 뒤에만 등록.</t>
        </is>
      </c>
    </row>
    <row r="8">
      <c r="A8" s="11" t="inlineStr">
        <is>
          <t>아이템</t>
        </is>
      </c>
      <c r="B8" s="4" t="inlineStr">
        <is>
          <t>가장 오래 산 것부터 빠진다. 이번 판에 들려 보낼 것으로 잡힌 수량은 등록할 수 없다.</t>
        </is>
      </c>
    </row>
    <row r="9">
      <c r="A9" s="11" t="inlineStr">
        <is>
          <t>능력치 상한</t>
        </is>
      </c>
      <c r="B9" s="4" t="inlineStr">
        <is>
          <t>등급별 능력치 값의 상한: 일반 1 · 희귀 2 · 영웅 2 · 전설 3 · 천하 3, 조건(함께 참전 · 적진에)이 걸리면 +1. HP는 2, MP는 1이 천장.</t>
        </is>
      </c>
    </row>
    <row r="10">
      <c r="A10" s="11" t="inlineStr">
        <is>
          <t>겹침</t>
        </is>
      </c>
      <c r="B10" s="4" t="inlineStr">
        <is>
          <t>같은 장수 × 같은 능력치를 받는 컬렉션은 하나뿐(데이터 검사로 고정). 진영 SP +1은 여럿 켜져도 +1. 도시 효과는 더한다.</t>
        </is>
      </c>
    </row>
    <row r="11">
      <c r="A11" s="11" t="inlineStr">
        <is>
          <t>금화</t>
        </is>
      </c>
      <c r="B11" s="4" t="inlineStr">
        <is>
          <t>도시 효과는 금화를 건드리지 않는다(얻기 · 할인 · 매물 늘리기 없음).</t>
        </is>
      </c>
    </row>
    <row r="12">
      <c r="A12" s="11" t="inlineStr">
        <is>
          <t>전투력</t>
        </is>
      </c>
      <c r="B12" s="4" t="inlineStr">
        <is>
          <t>컬렉션 효과는 battlePower()에 넣지 않는다.</t>
        </is>
      </c>
    </row>
    <row r="13">
      <c r="A13" s="11" t="inlineStr">
        <is>
          <t>판에 싣기</t>
        </is>
      </c>
      <c r="B13" s="4" t="inlineStr">
        <is>
          <t>판 시작 시각 이전에 완성된 컬렉션만. 조건(함께 참전 · 적진에)은 판이 시작될 때 한 번 판정하고 판 내내 간다.</t>
        </is>
      </c>
    </row>
    <row r="14" ht="32" customHeight="1">
      <c r="A14" s="11" t="inlineStr">
        <is>
          <t>배지</t>
        </is>
      </c>
      <c r="B14" s="4" t="inlineStr">
        <is>
          <t>상태이상 배지와 자리를 나눈다 — 초상화 가장자리 · 이름 칸 주변. ① 기술 변형(SP 6 → 5) ② 발동 효과(시작 연출 + 장수 팝업). 상대에게도 보인다.</t>
        </is>
      </c>
    </row>
    <row r="15">
      <c r="A15" s="11" t="inlineStr">
        <is>
          <t>출처</t>
        </is>
      </c>
      <c r="B15" s="4" t="inlineStr">
        <is>
          <t>Design/컬렉션_기획.md (2026-10-13 기획 세션 초안)</t>
        </is>
      </c>
    </row>
    <row r="16">
      <c r="A16" s="11" t="inlineStr">
        <is>
          <t>칸 수</t>
        </is>
      </c>
      <c r="B16" s="4" t="inlineStr">
        <is>
          <t>한 컬렉션의 칸은 장수 카드 · 병기 · 아이템을 합쳐 5개까지 — 상세 두루마리에 한 줄로 서도록 (2026-10-13).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2026-10-13T05:22:30Z</dcterms:created>
  <dcterms:modified xmlns:dcterms="http://purl.org/dc/terms/" xmlns:xsi="http://www.w3.org/2001/XMLSchema-instance" xsi:type="dcterms:W3CDTF">2026-10-14T00:24:08Z</dcterms:modified>
  <cp:lastModifiedBy>JoongEun Jung</cp:lastModifiedBy>
</cp:coreProperties>
</file>