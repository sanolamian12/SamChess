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860" yWindow="-8050" windowWidth="19200" windowHeight="9980" tabRatio="600" firstSheet="0" activeTab="0" autoFilterDateGrouping="1"/>
  </bookViews>
  <sheets>
    <sheet xmlns:r="http://schemas.openxmlformats.org/officeDocument/2006/relationships" name="컬렉션" sheetId="1" state="visible" r:id="rId1"/>
    <sheet xmlns:r="http://schemas.openxmlformats.org/officeDocument/2006/relationships" name="한글 제목" sheetId="2" state="visible" r:id="rId2"/>
    <sheet xmlns:r="http://schemas.openxmlformats.org/officeDocument/2006/relationships" name="다국어" sheetId="3" state="visible" r:id="rId3"/>
    <sheet xmlns:r="http://schemas.openxmlformats.org/officeDocument/2006/relationships" name="비용표" sheetId="4" state="visible" r:id="rId4"/>
    <sheet xmlns:r="http://schemas.openxmlformats.org/officeDocument/2006/relationships" name="칸" sheetId="5" state="visible" r:id="rId5"/>
    <sheet xmlns:r="http://schemas.openxmlformats.org/officeDocument/2006/relationships" name="규칙" sheetId="6" state="visible" r:id="rId6"/>
  </sheets>
  <definedNames>
    <definedName name="_xlnm._FilterDatabase" localSheetId="0" hidden="1">'컬렉션'!$A$1:$T$118</definedName>
  </definedNames>
  <calcPr calcId="191029" fullCalcOnLoad="1"/>
</workbook>
</file>

<file path=xl/styles.xml><?xml version="1.0" encoding="utf-8"?>
<styleSheet xmlns="http://schemas.openxmlformats.org/spreadsheetml/2006/main">
  <numFmts count="0"/>
  <fonts count="9">
    <font>
      <name val="맑은 고딕"/>
      <family val="2"/>
      <color theme="1"/>
      <sz val="11"/>
      <scheme val="minor"/>
    </font>
    <font>
      <name val="맑은 고딕"/>
      <charset val="129"/>
      <family val="3"/>
      <b val="1"/>
      <color rgb="FFFFFFFF"/>
      <sz val="10"/>
    </font>
    <font>
      <name val="맑은 고딕"/>
      <charset val="129"/>
      <family val="3"/>
      <sz val="10"/>
    </font>
    <font>
      <name val="맑은 고딕"/>
      <charset val="129"/>
      <family val="3"/>
      <color rgb="FF0000FF"/>
      <sz val="10"/>
    </font>
    <font>
      <name val="맑은 고딕"/>
      <charset val="129"/>
      <family val="3"/>
      <b val="1"/>
      <sz val="10"/>
    </font>
    <font>
      <name val="맑은 고딕"/>
      <charset val="129"/>
      <family val="3"/>
      <i val="1"/>
      <sz val="10"/>
    </font>
    <font>
      <name val="맑은 고딕"/>
      <charset val="129"/>
      <family val="3"/>
      <color rgb="FF808080"/>
      <sz val="10"/>
    </font>
    <font>
      <name val="맑은 고딕"/>
      <charset val="129"/>
      <family val="3"/>
      <sz val="8"/>
      <scheme val="minor"/>
    </font>
    <font>
      <b val="1"/>
    </font>
  </fonts>
  <fills count="5">
    <fill>
      <patternFill/>
    </fill>
    <fill>
      <patternFill patternType="gray125"/>
    </fill>
    <fill>
      <patternFill patternType="solid">
        <fgColor rgb="FF5B3A1E"/>
      </patternFill>
    </fill>
    <fill>
      <patternFill patternType="solid">
        <fgColor rgb="FFFFF7D6"/>
      </patternFill>
    </fill>
    <fill>
      <patternFill patternType="solid">
        <fgColor rgb="00DDD3BF"/>
      </patternFill>
    </fill>
  </fills>
  <borders count="2">
    <border>
      <left/>
      <right/>
      <top/>
      <bottom/>
      <diagonal/>
    </border>
    <border>
      <left style="thin">
        <color rgb="FFC8B89A"/>
      </left>
      <right style="thin">
        <color rgb="FFC8B89A"/>
      </right>
      <top style="thin">
        <color rgb="FFC8B89A"/>
      </top>
      <bottom style="thin">
        <color rgb="FFC8B89A"/>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4" fillId="0" borderId="1" applyAlignment="1" pivotButton="0" quotePrefix="0" xfId="0">
      <alignment vertical="top"/>
    </xf>
    <xf numFmtId="0" fontId="2" fillId="0" borderId="1" applyAlignment="1" pivotButton="0" quotePrefix="0" xfId="0">
      <alignment vertical="top" wrapText="1"/>
    </xf>
    <xf numFmtId="0" fontId="2" fillId="0" borderId="1" pivotButton="0" quotePrefix="0" xfId="0"/>
    <xf numFmtId="0" fontId="3" fillId="3" borderId="1" pivotButton="0" quotePrefix="0" xfId="0"/>
    <xf numFmtId="0" fontId="4" fillId="0" borderId="0" pivotButton="0" quotePrefix="0" xfId="0"/>
    <xf numFmtId="0" fontId="1" fillId="2" borderId="1" pivotButton="0" quotePrefix="0" xfId="0"/>
    <xf numFmtId="0" fontId="5" fillId="0" borderId="0" pivotButton="0" quotePrefix="0" xfId="0"/>
    <xf numFmtId="0" fontId="6" fillId="0" borderId="1" pivotButton="0" quotePrefix="0" xfId="0"/>
    <xf numFmtId="0" fontId="4" fillId="0" borderId="1" pivotButton="0" quotePrefix="0" xfId="0"/>
    <xf numFmtId="0" fontId="8" fillId="4" borderId="0" applyAlignment="1" pivotButton="0" quotePrefix="0" xfId="0">
      <alignment horizontal="center"/>
    </xf>
    <xf numFmtId="0" fontId="8" fillId="4" borderId="0" pivotButton="0" quotePrefix="0" xfId="0"/>
    <xf numFmtId="0" fontId="0" fillId="0" borderId="0"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기획 초안</author>
  </authors>
  <commentList>
    <comment ref="D1" authorId="0" shapeId="0">
      <text>
        <t>두루마리 제목에 붓글씨 글꼴로 쓴다. 라벨 그림에는 글자가 없다.</t>
      </text>
    </comment>
    <comment ref="E1" authorId="0" shapeId="0">
      <text>
        <t>「칸」 시트에서 수식으로 모은다 — 칸 시트를 고치면 따라 바뀐다. 컬렉션 #는 칸 시트에서 오름차순이어야 한다.</t>
      </text>
    </comment>
    <comment ref="G1" authorId="0" shapeId="0">
      <text>
        <t>상세 화면(두루마리)에 쓰이는 두세 문장. 정사와 연의가 다른 대목은 문장 안에 밝혔다.</t>
      </text>
    </comment>
    <comment ref="L1" authorId="0" shapeId="0">
      <text>
        <t>효과 열(M~T)에서 만든 글이다. 효과를 고치면 이 칸도 함께 고친다.</t>
      </text>
    </comment>
    <comment ref="T1" authorId="0" shapeId="0">
      <text>
        <t>grainRate 군량 충전% · grainCap 최대 군량 · forge 제조 시간% · heal 치료 시간% · research 연구 시간% · raidLoot 도적떼 약탈 %p · raidResp 응전 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18"/>
  <sheetViews>
    <sheetView tabSelected="1" workbookViewId="0">
      <pane ySplit="1" topLeftCell="A2" activePane="bottomLeft" state="frozen"/>
      <selection pane="bottomLeft" activeCell="A1" sqref="A1"/>
    </sheetView>
  </sheetViews>
  <sheetFormatPr baseColWidth="8" defaultRowHeight="17"/>
  <cols>
    <col width="5" customWidth="1" min="1" max="1"/>
    <col width="22" customWidth="1" min="2" max="2"/>
    <col width="18" customWidth="1" min="3" max="3"/>
    <col width="16" customWidth="1" min="4" max="4"/>
    <col width="40" customWidth="1" min="5" max="5"/>
    <col width="44" customWidth="1" min="6" max="6"/>
    <col width="70" customWidth="1" min="7" max="7"/>
    <col width="6" customWidth="1" min="8" max="8"/>
    <col width="7" customWidth="1" min="9" max="11"/>
    <col width="46" customWidth="1" min="12" max="12"/>
    <col width="9" customWidth="1" min="13" max="13"/>
    <col width="18" customWidth="1" min="14" max="14"/>
    <col width="8" customWidth="1" min="15" max="15"/>
    <col width="6" customWidth="1" min="16" max="16"/>
    <col width="26" customWidth="1" min="17" max="17"/>
    <col width="8" customWidth="1" min="18" max="18"/>
    <col width="14" customWidth="1" min="19" max="19"/>
    <col width="11" customWidth="1" min="20" max="20"/>
    <col width="10" customWidth="1" min="21" max="21"/>
  </cols>
  <sheetData>
    <row r="1" ht="30" customHeight="1">
      <c r="A1" s="1" t="inlineStr">
        <is>
          <t>#</t>
        </is>
      </c>
      <c r="B1" s="1" t="inlineStr">
        <is>
          <t>장</t>
        </is>
      </c>
      <c r="C1" s="1" t="inlineStr">
        <is>
          <t>타이틀</t>
        </is>
      </c>
      <c r="D1" s="1" t="inlineStr">
        <is>
          <t>한자</t>
        </is>
      </c>
      <c r="E1" s="1" t="inlineStr">
        <is>
          <t>달성 조건</t>
        </is>
      </c>
      <c r="F1" s="1" t="inlineStr">
        <is>
          <t>설명</t>
        </is>
      </c>
      <c r="G1" s="1" t="inlineStr">
        <is>
          <t>상세 설명</t>
        </is>
      </c>
      <c r="H1" s="1" t="inlineStr">
        <is>
          <t>칸 수</t>
        </is>
      </c>
      <c r="I1" s="1" t="inlineStr">
        <is>
          <t>비용</t>
        </is>
      </c>
      <c r="J1" s="1" t="inlineStr">
        <is>
          <t>등급</t>
        </is>
      </c>
      <c r="K1" s="1" t="inlineStr">
        <is>
          <t>점수</t>
        </is>
      </c>
      <c r="L1" s="1" t="inlineStr">
        <is>
          <t>효과 (읽는 글)</t>
        </is>
      </c>
      <c r="M1" s="1" t="inlineStr">
        <is>
          <t>효과 종류</t>
        </is>
      </c>
      <c r="N1" s="1" t="inlineStr">
        <is>
          <t>대상</t>
        </is>
      </c>
      <c r="O1" s="1" t="inlineStr">
        <is>
          <t>능력치</t>
        </is>
      </c>
      <c r="P1" s="1" t="inlineStr">
        <is>
          <t>값</t>
        </is>
      </c>
      <c r="Q1" s="1" t="inlineStr">
        <is>
          <t>함께 참전</t>
        </is>
      </c>
      <c r="R1" s="1" t="inlineStr">
        <is>
          <t>함께 최소</t>
        </is>
      </c>
      <c r="S1" s="1" t="inlineStr">
        <is>
          <t>적진에</t>
        </is>
      </c>
      <c r="T1" s="1" t="inlineStr">
        <is>
          <t>도시 키</t>
        </is>
      </c>
    </row>
    <row r="2" ht="32" customHeight="1">
      <c r="A2" s="2" t="n">
        <v>1</v>
      </c>
      <c r="B2" s="2" t="inlineStr">
        <is>
          <t>① 황건 · 반동탁 (184~192)</t>
        </is>
      </c>
      <c r="C2" s="3" t="inlineStr">
        <is>
          <t>도원결의</t>
        </is>
      </c>
      <c r="D2" s="2" t="inlineStr">
        <is>
          <t>桃園結義</t>
        </is>
      </c>
      <c r="E2" s="4">
        <f>INDEX(칸!$I$2:$I$416,MATCH(A2,칸!$A$2:$A$416,1))</f>
        <v/>
      </c>
      <c r="F2" s="4" t="inlineStr">
        <is>
          <t>삼국지의 시작. 세 사람은 복숭아나무 뜰에서 의형제를 맺었다고 한다.</t>
        </is>
      </c>
      <c r="G2" s="4" t="inlineStr">
        <is>
          <t>황건적이 일어난 해, 탁현의 유비 · 관우 · 장비는 장비의 집 뒤뜰 복숭아밭에서 의형제를 맺었다. 같은 날 태어나지 못했으나 같은 날 죽기를 바란다는 맹세는 세 사람의 평생을 묶었다.</t>
        </is>
      </c>
      <c r="H2" s="2">
        <f>COUNTIF(칸!$A$2:$A$416,A2)</f>
        <v/>
      </c>
      <c r="I2" s="2">
        <f>SUMIF(칸!$A$2:$A$416,A2,칸!$H$2:$H$416)</f>
        <v/>
      </c>
      <c r="J2" s="2">
        <f>INDEX(비용표!$A$13:$A$17,MATCH(I2,비용표!$B$13:$B$17,1))</f>
        <v/>
      </c>
      <c r="K2" s="2">
        <f>INDEX(비용표!$C$13:$C$17,MATCH(I2,비용표!$B$13:$B$17,1))</f>
        <v/>
      </c>
      <c r="L2" s="4" t="inlineStr">
        <is>
          <t>유비·관우·장비 함께 참전 시 유비·관우·장비 HP+2</t>
        </is>
      </c>
      <c r="M2" s="2" t="inlineStr">
        <is>
          <t>능력치</t>
        </is>
      </c>
      <c r="N2" s="2" t="inlineStr">
        <is>
          <t>유비·관우·장비</t>
        </is>
      </c>
      <c r="O2" s="2" t="inlineStr">
        <is>
          <t>HP</t>
        </is>
      </c>
      <c r="P2" s="2" t="n">
        <v>2</v>
      </c>
      <c r="Q2" s="4" t="inlineStr">
        <is>
          <t>유비·관우·장비</t>
        </is>
      </c>
      <c r="R2" s="2" t="n"/>
      <c r="S2" s="2" t="n"/>
      <c r="T2" s="2" t="n"/>
    </row>
    <row r="3" ht="32" customHeight="1">
      <c r="A3" s="2" t="n">
        <v>2</v>
      </c>
      <c r="B3" s="2" t="inlineStr">
        <is>
          <t>① 황건 · 반동탁 (184~192)</t>
        </is>
      </c>
      <c r="C3" s="3" t="inlineStr">
        <is>
          <t>황건적 토벌</t>
        </is>
      </c>
      <c r="D3" s="2" t="inlineStr">
        <is>
          <t>討黃巾賊</t>
        </is>
      </c>
      <c r="E3" s="4">
        <f>INDEX(칸!$I$2:$I$416,MATCH(A3,칸!$A$2:$A$416,1))</f>
        <v/>
      </c>
      <c r="F3" s="4" t="inlineStr">
        <is>
          <t>태평도의 장각이 일으킨 난. 훗날 천하를 나눌 세 사람이 같은 전장에 섰다.</t>
        </is>
      </c>
      <c r="G3" s="4" t="inlineStr">
        <is>
          <t>태평도의 교주 장각이 「창천은 이미 죽었다」며 수십만 신도를 일으켰다. 토벌에 나선 관군과 의병 가운데 유비 · 조조 · 손견이 있었다 — 훗날 천하를 셋으로 나눌 이들의 첫 전장이다.</t>
        </is>
      </c>
      <c r="H3" s="2">
        <f>COUNTIF(칸!$A$2:$A$416,A3)</f>
        <v/>
      </c>
      <c r="I3" s="2">
        <f>SUMIF(칸!$A$2:$A$416,A3,칸!$H$2:$H$416)</f>
        <v/>
      </c>
      <c r="J3" s="2">
        <f>INDEX(비용표!$A$13:$A$17,MATCH(I3,비용표!$B$13:$B$17,1))</f>
        <v/>
      </c>
      <c r="K3" s="2">
        <f>INDEX(비용표!$C$13:$C$17,MATCH(I3,비용표!$B$13:$B$17,1))</f>
        <v/>
      </c>
      <c r="L3" s="4" t="inlineStr">
        <is>
          <t>도적떼 약탈률 −1%p (도적 1명당 10% → 9%)</t>
        </is>
      </c>
      <c r="M3" s="2" t="inlineStr">
        <is>
          <t>도시</t>
        </is>
      </c>
      <c r="N3" s="2" t="n"/>
      <c r="O3" s="2" t="n"/>
      <c r="P3" s="2" t="n">
        <v>1</v>
      </c>
      <c r="Q3" s="4" t="n"/>
      <c r="R3" s="2" t="n"/>
      <c r="S3" s="2" t="n"/>
      <c r="T3" s="2" t="inlineStr">
        <is>
          <t>raidLoot</t>
        </is>
      </c>
    </row>
    <row r="4" ht="48" customHeight="1">
      <c r="A4" s="2" t="n">
        <v>3</v>
      </c>
      <c r="B4" s="2" t="inlineStr">
        <is>
          <t>① 황건 · 반동탁 (184~192)</t>
        </is>
      </c>
      <c r="C4" s="3" t="inlineStr">
        <is>
          <t>온주참화웅</t>
        </is>
      </c>
      <c r="D4" s="2" t="inlineStr">
        <is>
          <t>溫酒斬華雄</t>
        </is>
      </c>
      <c r="E4" s="4">
        <f>INDEX(칸!$I$2:$I$416,MATCH(A4,칸!$A$2:$A$416,1))</f>
        <v/>
      </c>
      <c r="F4" s="4" t="inlineStr">
        <is>
          <t>데운 술이 식기 전에 화웅의 목을 베어 돌아왔다.</t>
        </is>
      </c>
      <c r="G4" s="4" t="inlineStr">
        <is>
          <t>사수관 앞에서 동탁의 맹장 화웅이 연합군 장수들을 잇달아 베자, 마궁수에 불과하던 관우가 나섰다. 조조가 따라 준 데운 술이 식기도 전에 관우는 화웅의 목을 들고 돌아왔다고 연의는 전한다.</t>
        </is>
      </c>
      <c r="H4" s="2">
        <f>COUNTIF(칸!$A$2:$A$416,A4)</f>
        <v/>
      </c>
      <c r="I4" s="2">
        <f>SUMIF(칸!$A$2:$A$416,A4,칸!$H$2:$H$416)</f>
        <v/>
      </c>
      <c r="J4" s="2">
        <f>INDEX(비용표!$A$13:$A$17,MATCH(I4,비용표!$B$13:$B$17,1))</f>
        <v/>
      </c>
      <c r="K4" s="2">
        <f>INDEX(비용표!$C$13:$C$17,MATCH(I4,비용표!$B$13:$B$17,1))</f>
        <v/>
      </c>
      <c r="L4" s="4" t="inlineStr">
        <is>
          <t>적진에 화웅 시 관우 무력+2</t>
        </is>
      </c>
      <c r="M4" s="2" t="inlineStr">
        <is>
          <t>능력치</t>
        </is>
      </c>
      <c r="N4" s="2" t="inlineStr">
        <is>
          <t>관우</t>
        </is>
      </c>
      <c r="O4" s="2" t="inlineStr">
        <is>
          <t>무력</t>
        </is>
      </c>
      <c r="P4" s="2" t="n">
        <v>2</v>
      </c>
      <c r="Q4" s="4" t="n"/>
      <c r="R4" s="2" t="n"/>
      <c r="S4" s="2" t="inlineStr">
        <is>
          <t>화웅</t>
        </is>
      </c>
      <c r="T4" s="2" t="n"/>
    </row>
    <row r="5" ht="32" customHeight="1">
      <c r="A5" s="2" t="n">
        <v>4</v>
      </c>
      <c r="B5" s="2" t="inlineStr">
        <is>
          <t>① 황건 · 반동탁 (184~192)</t>
        </is>
      </c>
      <c r="C5" s="3" t="inlineStr">
        <is>
          <t>호뢰관 삼영전여포</t>
        </is>
      </c>
      <c r="D5" s="2" t="inlineStr">
        <is>
          <t>虎牢關三英戰呂布</t>
        </is>
      </c>
      <c r="E5" s="4">
        <f>INDEX(칸!$I$2:$I$416,MATCH(A5,칸!$A$2:$A$416,1))</f>
        <v/>
      </c>
      <c r="F5" s="4" t="inlineStr">
        <is>
          <t>세 형제가 함께 덤벼서야 여포를 물러나게 했다.</t>
        </is>
      </c>
      <c r="G5" s="4" t="inlineStr">
        <is>
          <t>호뢰관에 나선 여포를 당할 자가 없자 장비가 맞붙었고, 관우와 유비가 차례로 뛰어들었다. 세 사람이 한꺼번에 덤벼서야 여포는 말머리를 돌렸다 — 연의가 그린 삼국 최고의 일기토다.</t>
        </is>
      </c>
      <c r="H5" s="2">
        <f>COUNTIF(칸!$A$2:$A$416,A5)</f>
        <v/>
      </c>
      <c r="I5" s="2">
        <f>SUMIF(칸!$A$2:$A$416,A5,칸!$H$2:$H$416)</f>
        <v/>
      </c>
      <c r="J5" s="2">
        <f>INDEX(비용표!$A$13:$A$17,MATCH(I5,비용표!$B$13:$B$17,1))</f>
        <v/>
      </c>
      <c r="K5" s="2">
        <f>INDEX(비용표!$C$13:$C$17,MATCH(I5,비용표!$B$13:$B$17,1))</f>
        <v/>
      </c>
      <c r="L5" s="4" t="inlineStr">
        <is>
          <t>적진에 여포 시 장비 무력+2</t>
        </is>
      </c>
      <c r="M5" s="2" t="inlineStr">
        <is>
          <t>능력치</t>
        </is>
      </c>
      <c r="N5" s="2" t="inlineStr">
        <is>
          <t>장비</t>
        </is>
      </c>
      <c r="O5" s="2" t="inlineStr">
        <is>
          <t>무력</t>
        </is>
      </c>
      <c r="P5" s="2" t="n">
        <v>2</v>
      </c>
      <c r="Q5" s="4" t="n"/>
      <c r="R5" s="2" t="n"/>
      <c r="S5" s="2" t="inlineStr">
        <is>
          <t>여포</t>
        </is>
      </c>
      <c r="T5" s="2" t="n"/>
    </row>
    <row r="6" ht="32" customHeight="1">
      <c r="A6" s="2" t="n">
        <v>5</v>
      </c>
      <c r="B6" s="2" t="inlineStr">
        <is>
          <t>① 황건 · 반동탁 (184~192)</t>
        </is>
      </c>
      <c r="C6" s="3" t="inlineStr">
        <is>
          <t>반동탁 연합군</t>
        </is>
      </c>
      <c r="D6" s="2" t="inlineStr">
        <is>
          <t>反董卓聯合軍</t>
        </is>
      </c>
      <c r="E6" s="4">
        <f>INDEX(칸!$I$2:$I$416,MATCH(A6,칸!$A$2:$A$416,1))</f>
        <v/>
      </c>
      <c r="F6" s="4" t="inlineStr">
        <is>
          <t>열여덟 제후가 낙양을 향해 모였고, 맹주는 원소였다.</t>
        </is>
      </c>
      <c r="G6" s="4" t="inlineStr">
        <is>
          <t>동탁이 황제를 갈아 치우자 관동의 제후들이 군사를 일으켜 원소를 맹주로 세웠다. 그러나 제후들은 서로를 견제하며 나아가지 않았고, 연합은 공을 다투다 흩어졌다.</t>
        </is>
      </c>
      <c r="H6" s="2">
        <f>COUNTIF(칸!$A$2:$A$416,A6)</f>
        <v/>
      </c>
      <c r="I6" s="2">
        <f>SUMIF(칸!$A$2:$A$416,A6,칸!$H$2:$H$416)</f>
        <v/>
      </c>
      <c r="J6" s="2">
        <f>INDEX(비용표!$A$13:$A$17,MATCH(I6,비용표!$B$13:$B$17,1))</f>
        <v/>
      </c>
      <c r="K6" s="2">
        <f>INDEX(비용표!$C$13:$C$17,MATCH(I6,비용표!$B$13:$B$17,1))</f>
        <v/>
      </c>
      <c r="L6" s="4" t="inlineStr">
        <is>
          <t>원소 통솔+2</t>
        </is>
      </c>
      <c r="M6" s="2" t="inlineStr">
        <is>
          <t>능력치</t>
        </is>
      </c>
      <c r="N6" s="2" t="inlineStr">
        <is>
          <t>원소</t>
        </is>
      </c>
      <c r="O6" s="2" t="inlineStr">
        <is>
          <t>통솔</t>
        </is>
      </c>
      <c r="P6" s="2" t="n">
        <v>2</v>
      </c>
      <c r="Q6" s="4" t="n"/>
      <c r="R6" s="2" t="n"/>
      <c r="S6" s="2" t="n"/>
      <c r="T6" s="2" t="n"/>
    </row>
    <row r="7" ht="32" customHeight="1">
      <c r="A7" s="2" t="n">
        <v>6</v>
      </c>
      <c r="B7" s="2" t="inlineStr">
        <is>
          <t>① 황건 · 반동탁 (184~192)</t>
        </is>
      </c>
      <c r="C7" s="3" t="inlineStr">
        <is>
          <t>장안 천도</t>
        </is>
      </c>
      <c r="D7" s="2" t="inlineStr">
        <is>
          <t>長安遷都</t>
        </is>
      </c>
      <c r="E7" s="4">
        <f>INDEX(칸!$I$2:$I$416,MATCH(A7,칸!$A$2:$A$416,1))</f>
        <v/>
      </c>
      <c r="F7" s="4" t="inlineStr">
        <is>
          <t>동탁은 낙양을 불태우고 황제와 백성을 장안으로 끌고 갔다.</t>
        </is>
      </c>
      <c r="G7" s="4" t="inlineStr">
        <is>
          <t>연합군에 밀린 동탁은 낙양의 궁궐과 민가를 불사르고 황제와 백성 수백만을 장안으로 끌고 갔다. 길에서 쓰러진 백성이 헤아릴 수 없었고, 낙양은 폐허가 되었다.</t>
        </is>
      </c>
      <c r="H7" s="2">
        <f>COUNTIF(칸!$A$2:$A$416,A7)</f>
        <v/>
      </c>
      <c r="I7" s="2">
        <f>SUMIF(칸!$A$2:$A$416,A7,칸!$H$2:$H$416)</f>
        <v/>
      </c>
      <c r="J7" s="2">
        <f>INDEX(비용표!$A$13:$A$17,MATCH(I7,비용표!$B$13:$B$17,1))</f>
        <v/>
      </c>
      <c r="K7" s="2">
        <f>INDEX(비용표!$C$13:$C$17,MATCH(I7,비용표!$B$13:$B$17,1))</f>
        <v/>
      </c>
      <c r="L7" s="4" t="inlineStr">
        <is>
          <t>동탁 HP+1</t>
        </is>
      </c>
      <c r="M7" s="2" t="inlineStr">
        <is>
          <t>능력치</t>
        </is>
      </c>
      <c r="N7" s="2" t="inlineStr">
        <is>
          <t>동탁</t>
        </is>
      </c>
      <c r="O7" s="2" t="inlineStr">
        <is>
          <t>HP</t>
        </is>
      </c>
      <c r="P7" s="2" t="n">
        <v>1</v>
      </c>
      <c r="Q7" s="4" t="n"/>
      <c r="R7" s="2" t="n"/>
      <c r="S7" s="2" t="n"/>
      <c r="T7" s="2" t="n"/>
    </row>
    <row r="8" ht="32" customHeight="1">
      <c r="A8" s="2" t="n">
        <v>7</v>
      </c>
      <c r="B8" s="2" t="inlineStr">
        <is>
          <t>① 황건 · 반동탁 (184~192)</t>
        </is>
      </c>
      <c r="C8" s="3" t="inlineStr">
        <is>
          <t>칠성보도 헌상</t>
        </is>
      </c>
      <c r="D8" s="2" t="inlineStr">
        <is>
          <t>獻七星寶刀</t>
        </is>
      </c>
      <c r="E8" s="4">
        <f>INDEX(칸!$I$2:$I$416,MATCH(A8,칸!$A$2:$A$416,1))</f>
        <v/>
      </c>
      <c r="F8" s="4" t="inlineStr">
        <is>
          <t>동탁을 찌르려던 칼은 들키는 순간 헌상품이 되었다.</t>
        </is>
      </c>
      <c r="G8" s="4" t="inlineStr">
        <is>
          <t>왕윤에게서 칠성보도를 빌린 조조는 동탁의 침소에서 칼을 뽑았으나, 거울에 비친 모습에 동탁이 돌아보았다. 조조는 칼을 바치러 왔다며 무릎을 꿇었고, 그 길로 낙양을 빠져나갔다.</t>
        </is>
      </c>
      <c r="H8" s="2">
        <f>COUNTIF(칸!$A$2:$A$416,A8)</f>
        <v/>
      </c>
      <c r="I8" s="2">
        <f>SUMIF(칸!$A$2:$A$416,A8,칸!$H$2:$H$416)</f>
        <v/>
      </c>
      <c r="J8" s="2">
        <f>INDEX(비용표!$A$13:$A$17,MATCH(I8,비용표!$B$13:$B$17,1))</f>
        <v/>
      </c>
      <c r="K8" s="2">
        <f>INDEX(비용표!$C$13:$C$17,MATCH(I8,비용표!$B$13:$B$17,1))</f>
        <v/>
      </c>
      <c r="L8" s="4" t="inlineStr">
        <is>
          <t>적진에 동탁 시 조조 무력+2</t>
        </is>
      </c>
      <c r="M8" s="2" t="inlineStr">
        <is>
          <t>능력치</t>
        </is>
      </c>
      <c r="N8" s="2" t="inlineStr">
        <is>
          <t>조조</t>
        </is>
      </c>
      <c r="O8" s="2" t="inlineStr">
        <is>
          <t>무력</t>
        </is>
      </c>
      <c r="P8" s="2" t="n">
        <v>2</v>
      </c>
      <c r="Q8" s="4" t="n"/>
      <c r="R8" s="2" t="n"/>
      <c r="S8" s="2" t="inlineStr">
        <is>
          <t>동탁</t>
        </is>
      </c>
      <c r="T8" s="2" t="n"/>
    </row>
    <row r="9" ht="48" customHeight="1">
      <c r="A9" s="2" t="n">
        <v>8</v>
      </c>
      <c r="B9" s="2" t="inlineStr">
        <is>
          <t>① 황건 · 반동탁 (184~192)</t>
        </is>
      </c>
      <c r="C9" s="3" t="inlineStr">
        <is>
          <t>진궁의 결별</t>
        </is>
      </c>
      <c r="D9" s="2" t="inlineStr">
        <is>
          <t>陳宮決別</t>
        </is>
      </c>
      <c r="E9" s="4">
        <f>INDEX(칸!$I$2:$I$416,MATCH(A9,칸!$A$2:$A$416,1))</f>
        <v/>
      </c>
      <c r="F9" s="4" t="inlineStr">
        <is>
          <t>「차라리 내가 천하를 버릴지언정」 — 진궁은 그 밤에 조조를 떠났다.</t>
        </is>
      </c>
      <c r="G9" s="4" t="inlineStr">
        <is>
          <t>동탁을 피해 달아나던 조조를 현령 진궁이 풀어 주고 함께 길을 떠났다. 그러나 여백사 일가를 오해로 죽이고도 「내가 천하를 버릴지언정」이라 말하는 조조를 보고, 진궁은 그 밤에 떠났다.</t>
        </is>
      </c>
      <c r="H9" s="2">
        <f>COUNTIF(칸!$A$2:$A$416,A9)</f>
        <v/>
      </c>
      <c r="I9" s="2">
        <f>SUMIF(칸!$A$2:$A$416,A9,칸!$H$2:$H$416)</f>
        <v/>
      </c>
      <c r="J9" s="2">
        <f>INDEX(비용표!$A$13:$A$17,MATCH(I9,비용표!$B$13:$B$17,1))</f>
        <v/>
      </c>
      <c r="K9" s="2">
        <f>INDEX(비용표!$C$13:$C$17,MATCH(I9,비용표!$B$13:$B$17,1))</f>
        <v/>
      </c>
      <c r="L9" s="4" t="inlineStr">
        <is>
          <t>적진에 조조 시 진궁 통솔+1</t>
        </is>
      </c>
      <c r="M9" s="2" t="inlineStr">
        <is>
          <t>능력치</t>
        </is>
      </c>
      <c r="N9" s="2" t="inlineStr">
        <is>
          <t>진궁</t>
        </is>
      </c>
      <c r="O9" s="2" t="inlineStr">
        <is>
          <t>통솔</t>
        </is>
      </c>
      <c r="P9" s="2" t="n">
        <v>1</v>
      </c>
      <c r="Q9" s="4" t="n"/>
      <c r="R9" s="2" t="n"/>
      <c r="S9" s="2" t="inlineStr">
        <is>
          <t>조조</t>
        </is>
      </c>
      <c r="T9" s="2" t="n"/>
    </row>
    <row r="10" ht="32" customHeight="1">
      <c r="A10" s="2" t="n">
        <v>9</v>
      </c>
      <c r="B10" s="2" t="inlineStr">
        <is>
          <t>① 황건 · 반동탁 (184~192)</t>
        </is>
      </c>
      <c r="C10" s="3" t="inlineStr">
        <is>
          <t>형양의 추격</t>
        </is>
      </c>
      <c r="D10" s="2" t="inlineStr">
        <is>
          <t>滎陽追擊</t>
        </is>
      </c>
      <c r="E10" s="4">
        <f>INDEX(칸!$I$2:$I$416,MATCH(A10,칸!$A$2:$A$416,1))</f>
        <v/>
      </c>
      <c r="F10" s="4" t="inlineStr">
        <is>
          <t>「천하에 조홍은 없어도 되지만 공은 없어선 안 됩니다.」 — 조홍은 제 말을 내주었다.</t>
        </is>
      </c>
      <c r="G10" s="4" t="inlineStr">
        <is>
          <t>연합군 중 홀로 동탁을 추격한 조조는 형양에서 서영에게 크게 졌다. 말을 잃고 쓰러진 조조에게 조홍이 제 말을 내주며 「천하에 조홍은 없어도 되지만 공은 없어선 안 됩니다」라 했다.</t>
        </is>
      </c>
      <c r="H10" s="2">
        <f>COUNTIF(칸!$A$2:$A$416,A10)</f>
        <v/>
      </c>
      <c r="I10" s="2">
        <f>SUMIF(칸!$A$2:$A$416,A10,칸!$H$2:$H$416)</f>
        <v/>
      </c>
      <c r="J10" s="2">
        <f>INDEX(비용표!$A$13:$A$17,MATCH(I10,비용표!$B$13:$B$17,1))</f>
        <v/>
      </c>
      <c r="K10" s="2">
        <f>INDEX(비용표!$C$13:$C$17,MATCH(I10,비용표!$B$13:$B$17,1))</f>
        <v/>
      </c>
      <c r="L10" s="4" t="inlineStr">
        <is>
          <t>조조 함께 참전 시 조홍 HP+2</t>
        </is>
      </c>
      <c r="M10" s="2" t="inlineStr">
        <is>
          <t>능력치</t>
        </is>
      </c>
      <c r="N10" s="2" t="inlineStr">
        <is>
          <t>조홍</t>
        </is>
      </c>
      <c r="O10" s="2" t="inlineStr">
        <is>
          <t>HP</t>
        </is>
      </c>
      <c r="P10" s="2" t="n">
        <v>2</v>
      </c>
      <c r="Q10" s="4" t="inlineStr">
        <is>
          <t>조조</t>
        </is>
      </c>
      <c r="R10" s="2" t="n"/>
      <c r="S10" s="2" t="n"/>
      <c r="T10" s="2" t="n"/>
    </row>
    <row r="11" ht="32" customHeight="1">
      <c r="A11" s="2" t="n">
        <v>10</v>
      </c>
      <c r="B11" s="2" t="inlineStr">
        <is>
          <t>① 황건 · 반동탁 (184~192)</t>
        </is>
      </c>
      <c r="C11" s="3" t="inlineStr">
        <is>
          <t>손견과 전국옥새</t>
        </is>
      </c>
      <c r="D11" s="2" t="inlineStr">
        <is>
          <t>孫堅得玉璽</t>
        </is>
      </c>
      <c r="E11" s="4">
        <f>INDEX(칸!$I$2:$I$416,MATCH(A11,칸!$A$2:$A$416,1))</f>
        <v/>
      </c>
      <c r="F11" s="4" t="inlineStr">
        <is>
          <t>불탄 낙양의 우물에서 건져 올린 황제의 옥새.</t>
        </is>
      </c>
      <c r="G11" s="4" t="inlineStr">
        <is>
          <t>불탄 낙양에 먼저 들어간 손견은 궁궐 우물에서 황제의 옥새를 건졌다. 옥새를 숨긴 채 강동으로 돌아가려던 손견은 원소 · 유표와 원수가 되었다.</t>
        </is>
      </c>
      <c r="H11" s="2">
        <f>COUNTIF(칸!$A$2:$A$416,A11)</f>
        <v/>
      </c>
      <c r="I11" s="2">
        <f>SUMIF(칸!$A$2:$A$416,A11,칸!$H$2:$H$416)</f>
        <v/>
      </c>
      <c r="J11" s="2">
        <f>INDEX(비용표!$A$13:$A$17,MATCH(I11,비용표!$B$13:$B$17,1))</f>
        <v/>
      </c>
      <c r="K11" s="2">
        <f>INDEX(비용표!$C$13:$C$17,MATCH(I11,비용표!$B$13:$B$17,1))</f>
        <v/>
      </c>
      <c r="L11" s="4" t="inlineStr">
        <is>
          <t>손견 통솔+2</t>
        </is>
      </c>
      <c r="M11" s="2" t="inlineStr">
        <is>
          <t>능력치</t>
        </is>
      </c>
      <c r="N11" s="2" t="inlineStr">
        <is>
          <t>손견</t>
        </is>
      </c>
      <c r="O11" s="2" t="inlineStr">
        <is>
          <t>통솔</t>
        </is>
      </c>
      <c r="P11" s="2" t="n">
        <v>2</v>
      </c>
      <c r="Q11" s="4" t="n"/>
      <c r="R11" s="2" t="n"/>
      <c r="S11" s="2" t="n"/>
      <c r="T11" s="2" t="n"/>
    </row>
    <row r="12" ht="32" customHeight="1">
      <c r="A12" s="2" t="n">
        <v>11</v>
      </c>
      <c r="B12" s="2" t="inlineStr">
        <is>
          <t>① 황건 · 반동탁 (184~192)</t>
        </is>
      </c>
      <c r="C12" s="3" t="inlineStr">
        <is>
          <t>현산의 손견</t>
        </is>
      </c>
      <c r="D12" s="2" t="inlineStr">
        <is>
          <t>峴山伏兵</t>
        </is>
      </c>
      <c r="E12" s="4">
        <f>INDEX(칸!$I$2:$I$416,MATCH(A12,칸!$A$2:$A$416,1))</f>
        <v/>
      </c>
      <c r="F12" s="4" t="inlineStr">
        <is>
          <t>강동의 호랑이는 괴월의 매복에 걸려 현산에서 쓰러졌다.</t>
        </is>
      </c>
      <c r="G12" s="4" t="inlineStr">
        <is>
          <t>원술의 명으로 형주를 친 손견은 유표의 장수 황조를 몰아붙였다. 그러나 괴월의 계책으로 현산에 숨은 복병에게 돌과 화살을 맞아, 강동의 호랑이는 서른일곱에 쓰러졌다.</t>
        </is>
      </c>
      <c r="H12" s="2">
        <f>COUNTIF(칸!$A$2:$A$416,A12)</f>
        <v/>
      </c>
      <c r="I12" s="2">
        <f>SUMIF(칸!$A$2:$A$416,A12,칸!$H$2:$H$416)</f>
        <v/>
      </c>
      <c r="J12" s="2">
        <f>INDEX(비용표!$A$13:$A$17,MATCH(I12,비용표!$B$13:$B$17,1))</f>
        <v/>
      </c>
      <c r="K12" s="2">
        <f>INDEX(비용표!$C$13:$C$17,MATCH(I12,비용표!$B$13:$B$17,1))</f>
        <v/>
      </c>
      <c r="L12" s="4" t="inlineStr">
        <is>
          <t>적진에 손견 시 괴월 지력+2</t>
        </is>
      </c>
      <c r="M12" s="2" t="inlineStr">
        <is>
          <t>능력치</t>
        </is>
      </c>
      <c r="N12" s="2" t="inlineStr">
        <is>
          <t>괴월</t>
        </is>
      </c>
      <c r="O12" s="2" t="inlineStr">
        <is>
          <t>지력</t>
        </is>
      </c>
      <c r="P12" s="2" t="n">
        <v>2</v>
      </c>
      <c r="Q12" s="4" t="n"/>
      <c r="R12" s="2" t="n"/>
      <c r="S12" s="2" t="inlineStr">
        <is>
          <t>손견</t>
        </is>
      </c>
      <c r="T12" s="2" t="n"/>
    </row>
    <row r="13" ht="32" customHeight="1">
      <c r="A13" s="2" t="n">
        <v>12</v>
      </c>
      <c r="B13" s="2" t="inlineStr">
        <is>
          <t>① 황건 · 반동탁 (184~192)</t>
        </is>
      </c>
      <c r="C13" s="3" t="inlineStr">
        <is>
          <t>백마의종</t>
        </is>
      </c>
      <c r="D13" s="2" t="inlineStr">
        <is>
          <t>白馬義從</t>
        </is>
      </c>
      <c r="E13" s="4">
        <f>INDEX(칸!$I$2:$I$416,MATCH(A13,칸!$A$2:$A$416,1))</f>
        <v/>
      </c>
      <c r="F13" s="4" t="inlineStr">
        <is>
          <t>흰 말만 골라 탄 공손찬의 기병대는 이민족도 두려워했다.</t>
        </is>
      </c>
      <c r="G13" s="4" t="inlineStr">
        <is>
          <t>공손찬은 흰 말을 탄 활 잘 쏘는 기병 수천을 골라 「백마의종」이라 불렀다. 북방의 오환은 흰 말만 보면 달아났다고 하니, 그 이름만으로도 변경을 지켰다.</t>
        </is>
      </c>
      <c r="H13" s="2">
        <f>COUNTIF(칸!$A$2:$A$416,A13)</f>
        <v/>
      </c>
      <c r="I13" s="2">
        <f>SUMIF(칸!$A$2:$A$416,A13,칸!$H$2:$H$416)</f>
        <v/>
      </c>
      <c r="J13" s="2">
        <f>INDEX(비용표!$A$13:$A$17,MATCH(I13,비용표!$B$13:$B$17,1))</f>
        <v/>
      </c>
      <c r="K13" s="2">
        <f>INDEX(비용표!$C$13:$C$17,MATCH(I13,비용표!$B$13:$B$17,1))</f>
        <v/>
      </c>
      <c r="L13" s="4" t="inlineStr">
        <is>
          <t>공손찬 통솔+2</t>
        </is>
      </c>
      <c r="M13" s="2" t="inlineStr">
        <is>
          <t>능력치</t>
        </is>
      </c>
      <c r="N13" s="2" t="inlineStr">
        <is>
          <t>공손찬</t>
        </is>
      </c>
      <c r="O13" s="2" t="inlineStr">
        <is>
          <t>통솔</t>
        </is>
      </c>
      <c r="P13" s="2" t="n">
        <v>2</v>
      </c>
      <c r="Q13" s="4" t="n"/>
      <c r="R13" s="2" t="n"/>
      <c r="S13" s="2" t="n"/>
      <c r="T13" s="2" t="n"/>
    </row>
    <row r="14" ht="32" customHeight="1">
      <c r="A14" s="2" t="n">
        <v>13</v>
      </c>
      <c r="B14" s="2" t="inlineStr">
        <is>
          <t>① 황건 · 반동탁 (184~192)</t>
        </is>
      </c>
      <c r="C14" s="3" t="inlineStr">
        <is>
          <t>계교 전투</t>
        </is>
      </c>
      <c r="D14" s="2" t="inlineStr">
        <is>
          <t>界橋之戰</t>
        </is>
      </c>
      <c r="E14" s="4">
        <f>INDEX(칸!$I$2:$I$416,MATCH(A14,칸!$A$2:$A$416,1))</f>
        <v/>
      </c>
      <c r="F14" s="4" t="inlineStr">
        <is>
          <t>국의의 강노병이 백마의종을 무너뜨렸다.</t>
        </is>
      </c>
      <c r="G14" s="4" t="inlineStr">
        <is>
          <t>원소와 공손찬이 기주를 두고 계교에서 맞섰다. 원소의 장수 국의는 강노병 팔백을 방패 뒤에 숨겼다가 백마의종이 코앞에 오자 일제히 쏘아 무너뜨렸다.</t>
        </is>
      </c>
      <c r="H14" s="2">
        <f>COUNTIF(칸!$A$2:$A$416,A14)</f>
        <v/>
      </c>
      <c r="I14" s="2">
        <f>SUMIF(칸!$A$2:$A$416,A14,칸!$H$2:$H$416)</f>
        <v/>
      </c>
      <c r="J14" s="2">
        <f>INDEX(비용표!$A$13:$A$17,MATCH(I14,비용표!$B$13:$B$17,1))</f>
        <v/>
      </c>
      <c r="K14" s="2">
        <f>INDEX(비용표!$C$13:$C$17,MATCH(I14,비용표!$B$13:$B$17,1))</f>
        <v/>
      </c>
      <c r="L14" s="4" t="inlineStr">
        <is>
          <t>적진에 공손찬 시 국의 무력+2</t>
        </is>
      </c>
      <c r="M14" s="2" t="inlineStr">
        <is>
          <t>능력치</t>
        </is>
      </c>
      <c r="N14" s="2" t="inlineStr">
        <is>
          <t>국의</t>
        </is>
      </c>
      <c r="O14" s="2" t="inlineStr">
        <is>
          <t>무력</t>
        </is>
      </c>
      <c r="P14" s="2" t="n">
        <v>2</v>
      </c>
      <c r="Q14" s="4" t="n"/>
      <c r="R14" s="2" t="n"/>
      <c r="S14" s="2" t="inlineStr">
        <is>
          <t>공손찬</t>
        </is>
      </c>
      <c r="T14" s="2" t="n"/>
    </row>
    <row r="15" ht="32" customHeight="1">
      <c r="A15" s="2" t="n">
        <v>14</v>
      </c>
      <c r="B15" s="2" t="inlineStr">
        <is>
          <t>② 군웅할거 (192~199)</t>
        </is>
      </c>
      <c r="C15" s="3" t="inlineStr">
        <is>
          <t>이각과 곽사</t>
        </is>
      </c>
      <c r="D15" s="2" t="inlineStr">
        <is>
          <t>李傕郭汜</t>
        </is>
      </c>
      <c r="E15" s="4">
        <f>INDEX(칸!$I$2:$I$416,MATCH(A15,칸!$A$2:$A$416,1))</f>
        <v/>
      </c>
      <c r="F15" s="4" t="inlineStr">
        <is>
          <t>동탁이 죽은 뒤 장안을 차지한 두 장수는 곧 서로를 공격했다.</t>
        </is>
      </c>
      <c r="G15" s="4" t="inlineStr">
        <is>
          <t>왕윤과 여포가 동탁을 죽이자, 그 부장 이각과 곽사는 장안을 들이쳐 조정을 손에 넣었다. 그러나 둘은 곧 서로를 의심해 장안 한복판에서 싸웠고, 황제와 대신들은 인질이 되었다.</t>
        </is>
      </c>
      <c r="H15" s="2">
        <f>COUNTIF(칸!$A$2:$A$416,A15)</f>
        <v/>
      </c>
      <c r="I15" s="2">
        <f>SUMIF(칸!$A$2:$A$416,A15,칸!$H$2:$H$416)</f>
        <v/>
      </c>
      <c r="J15" s="2">
        <f>INDEX(비용표!$A$13:$A$17,MATCH(I15,비용표!$B$13:$B$17,1))</f>
        <v/>
      </c>
      <c r="K15" s="2">
        <f>INDEX(비용표!$C$13:$C$17,MATCH(I15,비용표!$B$13:$B$17,1))</f>
        <v/>
      </c>
      <c r="L15" s="4" t="inlineStr">
        <is>
          <t>이각·곽사 함께 참전 시 이각·곽사 HP+1</t>
        </is>
      </c>
      <c r="M15" s="2" t="inlineStr">
        <is>
          <t>능력치</t>
        </is>
      </c>
      <c r="N15" s="2" t="inlineStr">
        <is>
          <t>이각·곽사</t>
        </is>
      </c>
      <c r="O15" s="2" t="inlineStr">
        <is>
          <t>HP</t>
        </is>
      </c>
      <c r="P15" s="2" t="n">
        <v>1</v>
      </c>
      <c r="Q15" s="4" t="inlineStr">
        <is>
          <t>이각·곽사</t>
        </is>
      </c>
      <c r="R15" s="2" t="n"/>
      <c r="S15" s="2" t="n"/>
      <c r="T15" s="2" t="n"/>
    </row>
    <row r="16" ht="32" customHeight="1">
      <c r="A16" s="2" t="n">
        <v>15</v>
      </c>
      <c r="B16" s="2" t="inlineStr">
        <is>
          <t>② 군웅할거 (192~199)</t>
        </is>
      </c>
      <c r="C16" s="3" t="inlineStr">
        <is>
          <t>헌제의 동귀</t>
        </is>
      </c>
      <c r="D16" s="2" t="inlineStr">
        <is>
          <t>獻帝東歸</t>
        </is>
      </c>
      <c r="E16" s="4">
        <f>INDEX(칸!$I$2:$I$416,MATCH(A16,칸!$A$2:$A$416,1))</f>
        <v/>
      </c>
      <c r="F16" s="4" t="inlineStr">
        <is>
          <t>이각 · 곽사에게 쫓기던 황제를, 순욱의 「봉천자」 계책대로 조조가 허도로 맞았다.</t>
        </is>
      </c>
      <c r="G16" s="4" t="inlineStr">
        <is>
          <t>이각과 곽사에게 쫓기던 헌제는 한섬 · 서황의 호위를 받아 폐허가 된 낙양으로 돌아왔다. 순욱은 「천자를 받들어 천하를 호령하라」 권했고, 조조는 황제를 허도로 맞았다.</t>
        </is>
      </c>
      <c r="H16" s="2">
        <f>COUNTIF(칸!$A$2:$A$416,A16)</f>
        <v/>
      </c>
      <c r="I16" s="2">
        <f>SUMIF(칸!$A$2:$A$416,A16,칸!$H$2:$H$416)</f>
        <v/>
      </c>
      <c r="J16" s="2">
        <f>INDEX(비용표!$A$13:$A$17,MATCH(I16,비용표!$B$13:$B$17,1))</f>
        <v/>
      </c>
      <c r="K16" s="2">
        <f>INDEX(비용표!$C$13:$C$17,MATCH(I16,비용표!$B$13:$B$17,1))</f>
        <v/>
      </c>
      <c r="L16" s="4" t="inlineStr">
        <is>
          <t>헌제의 「황제옹립」 SP 7 → 6</t>
        </is>
      </c>
      <c r="M16" s="2" t="inlineStr">
        <is>
          <t>고유기술SP</t>
        </is>
      </c>
      <c r="N16" s="2" t="inlineStr">
        <is>
          <t>헌제</t>
        </is>
      </c>
      <c r="O16" s="2" t="n"/>
      <c r="P16" s="2" t="n">
        <v>-1</v>
      </c>
      <c r="Q16" s="4" t="n"/>
      <c r="R16" s="2" t="n"/>
      <c r="S16" s="2" t="n"/>
      <c r="T16" s="2" t="n"/>
    </row>
    <row r="17" ht="32" customHeight="1">
      <c r="A17" s="2" t="n">
        <v>16</v>
      </c>
      <c r="B17" s="2" t="inlineStr">
        <is>
          <t>② 군웅할거 (192~199)</t>
        </is>
      </c>
      <c r="C17" s="3" t="inlineStr">
        <is>
          <t>둔전제</t>
        </is>
      </c>
      <c r="D17" s="2" t="inlineStr">
        <is>
          <t>屯田制</t>
        </is>
      </c>
      <c r="E17" s="4">
        <f>INDEX(칸!$I$2:$I$416,MATCH(A17,칸!$A$2:$A$416,1))</f>
        <v/>
      </c>
      <c r="F17" s="4" t="inlineStr">
        <is>
          <t>유민에게 땅과 소를 주어 군량을 쌓았다. 조조 패업의 밑돌이다.</t>
        </is>
      </c>
      <c r="G17" s="4" t="inlineStr">
        <is>
          <t>전란으로 굶주린 유민이 넘치자 조조는 한호 · 조지의 건의로 둔전을 열었다. 백성과 병사에게 땅과 소를 나눠 농사를 짓게 하니 한 해에 백만 섬이 쌓였다.</t>
        </is>
      </c>
      <c r="H17" s="2">
        <f>COUNTIF(칸!$A$2:$A$416,A17)</f>
        <v/>
      </c>
      <c r="I17" s="2">
        <f>SUMIF(칸!$A$2:$A$416,A17,칸!$H$2:$H$416)</f>
        <v/>
      </c>
      <c r="J17" s="2">
        <f>INDEX(비용표!$A$13:$A$17,MATCH(I17,비용표!$B$13:$B$17,1))</f>
        <v/>
      </c>
      <c r="K17" s="2">
        <f>INDEX(비용표!$C$13:$C$17,MATCH(I17,비용표!$B$13:$B$17,1))</f>
        <v/>
      </c>
      <c r="L17" s="4" t="inlineStr">
        <is>
          <t>군량 충전 속도 +5%</t>
        </is>
      </c>
      <c r="M17" s="2" t="inlineStr">
        <is>
          <t>도시</t>
        </is>
      </c>
      <c r="N17" s="2" t="n"/>
      <c r="O17" s="2" t="n"/>
      <c r="P17" s="2" t="n">
        <v>5</v>
      </c>
      <c r="Q17" s="4" t="n"/>
      <c r="R17" s="2" t="n"/>
      <c r="S17" s="2" t="n"/>
      <c r="T17" s="2" t="inlineStr">
        <is>
          <t>grainRate</t>
        </is>
      </c>
    </row>
    <row r="18" ht="32" customHeight="1">
      <c r="A18" s="2" t="n">
        <v>17</v>
      </c>
      <c r="B18" s="2" t="inlineStr">
        <is>
          <t>② 군웅할거 (192~199)</t>
        </is>
      </c>
      <c r="C18" s="3" t="inlineStr">
        <is>
          <t>서주 양도</t>
        </is>
      </c>
      <c r="D18" s="2" t="inlineStr">
        <is>
          <t>三讓徐州</t>
        </is>
      </c>
      <c r="E18" s="4">
        <f>INDEX(칸!$I$2:$I$416,MATCH(A18,칸!$A$2:$A$416,1))</f>
        <v/>
      </c>
      <c r="F18" s="4" t="inlineStr">
        <is>
          <t>도겸은 세 번 서주를 내밀었고 유비는 세 번 사양했다.</t>
        </is>
      </c>
      <c r="G18" s="4" t="inlineStr">
        <is>
          <t>조조의 공격에 시달리던 서주목 도겸은 죽음을 앞두고 유비에게 서주를 맡기려 했다. 유비는 세 번 사양하다 미축 · 손건의 간청에 받아들였다.</t>
        </is>
      </c>
      <c r="H18" s="2">
        <f>COUNTIF(칸!$A$2:$A$416,A18)</f>
        <v/>
      </c>
      <c r="I18" s="2">
        <f>SUMIF(칸!$A$2:$A$416,A18,칸!$H$2:$H$416)</f>
        <v/>
      </c>
      <c r="J18" s="2">
        <f>INDEX(비용표!$A$13:$A$17,MATCH(I18,비용표!$B$13:$B$17,1))</f>
        <v/>
      </c>
      <c r="K18" s="2">
        <f>INDEX(비용표!$C$13:$C$17,MATCH(I18,비용표!$B$13:$B$17,1))</f>
        <v/>
      </c>
      <c r="L18" s="4" t="inlineStr">
        <is>
          <t>유비 통솔+1</t>
        </is>
      </c>
      <c r="M18" s="2" t="inlineStr">
        <is>
          <t>능력치</t>
        </is>
      </c>
      <c r="N18" s="2" t="inlineStr">
        <is>
          <t>유비</t>
        </is>
      </c>
      <c r="O18" s="2" t="inlineStr">
        <is>
          <t>통솔</t>
        </is>
      </c>
      <c r="P18" s="2" t="n">
        <v>1</v>
      </c>
      <c r="Q18" s="4" t="n"/>
      <c r="R18" s="2" t="n"/>
      <c r="S18" s="2" t="n"/>
      <c r="T18" s="2" t="n"/>
    </row>
    <row r="19" ht="32" customHeight="1">
      <c r="A19" s="2" t="n">
        <v>18</v>
      </c>
      <c r="B19" s="2" t="inlineStr">
        <is>
          <t>② 군웅할거 (192~199)</t>
        </is>
      </c>
      <c r="C19" s="3" t="inlineStr">
        <is>
          <t>술 취한 장비</t>
        </is>
      </c>
      <c r="D19" s="2" t="inlineStr">
        <is>
          <t>張飛醉失徐州</t>
        </is>
      </c>
      <c r="E19" s="4">
        <f>INDEX(칸!$I$2:$I$416,MATCH(A19,칸!$A$2:$A$416,1))</f>
        <v/>
      </c>
      <c r="F19" s="4" t="inlineStr">
        <is>
          <t>장비가 취해 매질한 조표는 그날 밤 여포에게 성문을 열었다.</t>
        </is>
      </c>
      <c r="G19" s="4" t="inlineStr">
        <is>
          <t>서주를 지키던 장비는 술자리에서 조표를 매질했다. 앙심을 품은 조표가 사위 여포에게 밤중에 성문을 열어 주어, 장비는 서주를 잃고 형님을 볼 낯이 없었다.</t>
        </is>
      </c>
      <c r="H19" s="2">
        <f>COUNTIF(칸!$A$2:$A$416,A19)</f>
        <v/>
      </c>
      <c r="I19" s="2">
        <f>SUMIF(칸!$A$2:$A$416,A19,칸!$H$2:$H$416)</f>
        <v/>
      </c>
      <c r="J19" s="2">
        <f>INDEX(비용표!$A$13:$A$17,MATCH(I19,비용표!$B$13:$B$17,1))</f>
        <v/>
      </c>
      <c r="K19" s="2">
        <f>INDEX(비용표!$C$13:$C$17,MATCH(I19,비용표!$B$13:$B$17,1))</f>
        <v/>
      </c>
      <c r="L19" s="4" t="inlineStr">
        <is>
          <t>적진에 장비 시 조표 무력+2</t>
        </is>
      </c>
      <c r="M19" s="2" t="inlineStr">
        <is>
          <t>능력치</t>
        </is>
      </c>
      <c r="N19" s="2" t="inlineStr">
        <is>
          <t>조표</t>
        </is>
      </c>
      <c r="O19" s="2" t="inlineStr">
        <is>
          <t>무력</t>
        </is>
      </c>
      <c r="P19" s="2" t="n">
        <v>2</v>
      </c>
      <c r="Q19" s="4" t="n"/>
      <c r="R19" s="2" t="n"/>
      <c r="S19" s="2" t="inlineStr">
        <is>
          <t>장비</t>
        </is>
      </c>
      <c r="T19" s="2" t="n"/>
    </row>
    <row r="20" ht="32" customHeight="1">
      <c r="A20" s="2" t="n">
        <v>19</v>
      </c>
      <c r="B20" s="2" t="inlineStr">
        <is>
          <t>② 군웅할거 (192~199)</t>
        </is>
      </c>
      <c r="C20" s="3" t="inlineStr">
        <is>
          <t>원문사극</t>
        </is>
      </c>
      <c r="D20" s="2" t="inlineStr">
        <is>
          <t>轅門射戟</t>
        </is>
      </c>
      <c r="E20" s="4">
        <f>INDEX(칸!$I$2:$I$416,MATCH(A20,칸!$A$2:$A$416,1))</f>
        <v/>
      </c>
      <c r="F20" s="4" t="inlineStr">
        <is>
          <t>군문 밖 백오십 보의 화극을 맞히면 싸우지 말라.</t>
        </is>
      </c>
      <c r="G20" s="4" t="inlineStr">
        <is>
          <t>원술의 장수 기령이 유비를 치러 오자 여포가 두 사람을 불렀다. 군문 밖 백오십 보에 화극을 세우고 「한 발에 맞히면 싸우지 말라」 하더니, 화살은 정확히 화극의 곁가지에 꽂혔다.</t>
        </is>
      </c>
      <c r="H20" s="2">
        <f>COUNTIF(칸!$A$2:$A$416,A20)</f>
        <v/>
      </c>
      <c r="I20" s="2">
        <f>SUMIF(칸!$A$2:$A$416,A20,칸!$H$2:$H$416)</f>
        <v/>
      </c>
      <c r="J20" s="2">
        <f>INDEX(비용표!$A$13:$A$17,MATCH(I20,비용표!$B$13:$B$17,1))</f>
        <v/>
      </c>
      <c r="K20" s="2">
        <f>INDEX(비용표!$C$13:$C$17,MATCH(I20,비용표!$B$13:$B$17,1))</f>
        <v/>
      </c>
      <c r="L20" s="4" t="inlineStr">
        <is>
          <t>여포 HP+1</t>
        </is>
      </c>
      <c r="M20" s="2" t="inlineStr">
        <is>
          <t>능력치</t>
        </is>
      </c>
      <c r="N20" s="2" t="inlineStr">
        <is>
          <t>여포</t>
        </is>
      </c>
      <c r="O20" s="2" t="inlineStr">
        <is>
          <t>HP</t>
        </is>
      </c>
      <c r="P20" s="2" t="n">
        <v>1</v>
      </c>
      <c r="Q20" s="4" t="n"/>
      <c r="R20" s="2" t="n"/>
      <c r="S20" s="2" t="n"/>
      <c r="T20" s="2" t="n"/>
    </row>
    <row r="21" ht="32" customHeight="1">
      <c r="A21" s="2" t="n">
        <v>20</v>
      </c>
      <c r="B21" s="2" t="inlineStr">
        <is>
          <t>② 군웅할거 (192~199)</t>
        </is>
      </c>
      <c r="C21" s="3" t="inlineStr">
        <is>
          <t>공융과 태사자</t>
        </is>
      </c>
      <c r="D21" s="2" t="inlineStr">
        <is>
          <t>太史慈救北海</t>
        </is>
      </c>
      <c r="E21" s="4">
        <f>INDEX(칸!$I$2:$I$416,MATCH(A21,칸!$A$2:$A$416,1))</f>
        <v/>
      </c>
      <c r="F21" s="4" t="inlineStr">
        <is>
          <t>포위된 북해를 구하러 태사자가 홀로 적진을 뚫었다.</t>
        </is>
      </c>
      <c r="G21" s="4" t="inlineStr">
        <is>
          <t>황건 잔당에 포위된 북해의 공융을 위해, 은혜를 입은 태사자가 홀로 포위를 뚫고 유비에게 구원을 청했다. 유비가 「공북해가 이 유비를 아는가」 하며 기뻐 군사를 냈다.</t>
        </is>
      </c>
      <c r="H21" s="2">
        <f>COUNTIF(칸!$A$2:$A$416,A21)</f>
        <v/>
      </c>
      <c r="I21" s="2">
        <f>SUMIF(칸!$A$2:$A$416,A21,칸!$H$2:$H$416)</f>
        <v/>
      </c>
      <c r="J21" s="2">
        <f>INDEX(비용표!$A$13:$A$17,MATCH(I21,비용표!$B$13:$B$17,1))</f>
        <v/>
      </c>
      <c r="K21" s="2">
        <f>INDEX(비용표!$C$13:$C$17,MATCH(I21,비용표!$B$13:$B$17,1))</f>
        <v/>
      </c>
      <c r="L21" s="4" t="inlineStr">
        <is>
          <t>태사자 함께 참전 시 공융 통솔+2</t>
        </is>
      </c>
      <c r="M21" s="2" t="inlineStr">
        <is>
          <t>능력치</t>
        </is>
      </c>
      <c r="N21" s="2" t="inlineStr">
        <is>
          <t>공융</t>
        </is>
      </c>
      <c r="O21" s="2" t="inlineStr">
        <is>
          <t>통솔</t>
        </is>
      </c>
      <c r="P21" s="2" t="n">
        <v>2</v>
      </c>
      <c r="Q21" s="4" t="inlineStr">
        <is>
          <t>태사자</t>
        </is>
      </c>
      <c r="R21" s="2" t="n"/>
      <c r="S21" s="2" t="n"/>
      <c r="T21" s="2" t="n"/>
    </row>
    <row r="22" ht="32" customHeight="1">
      <c r="A22" s="2" t="n">
        <v>21</v>
      </c>
      <c r="B22" s="2" t="inlineStr">
        <is>
          <t>② 군웅할거 (192~199)</t>
        </is>
      </c>
      <c r="C22" s="3" t="inlineStr">
        <is>
          <t>인중여포 마중적토</t>
        </is>
      </c>
      <c r="D22" s="2" t="inlineStr">
        <is>
          <t>人中呂布馬中赤兔</t>
        </is>
      </c>
      <c r="E22" s="4">
        <f>INDEX(칸!$I$2:$I$416,MATCH(A22,칸!$A$2:$A$416,1))</f>
        <v/>
      </c>
      <c r="F22" s="4" t="inlineStr">
        <is>
          <t>삼국지 역사상 최강의 사나이. 사람 중에는 여포, 말 중에는 적토.</t>
        </is>
      </c>
      <c r="G22" s="4" t="inlineStr">
        <is>
          <t>「사람 중에는 여포, 말 중에는 적토마.」 방천화극을 들고 적토마를 탄 여포는 당대 누구도 정면으로 이기지 못한 무인이었다. 다만 그 곁의 진궁 · 고순 · 장료의 말을 끝내 듣지 않았다.</t>
        </is>
      </c>
      <c r="H22" s="2">
        <f>COUNTIF(칸!$A$2:$A$416,A22)</f>
        <v/>
      </c>
      <c r="I22" s="2">
        <f>SUMIF(칸!$A$2:$A$416,A22,칸!$H$2:$H$416)</f>
        <v/>
      </c>
      <c r="J22" s="2">
        <f>INDEX(비용표!$A$13:$A$17,MATCH(I22,비용표!$B$13:$B$17,1))</f>
        <v/>
      </c>
      <c r="K22" s="2">
        <f>INDEX(비용표!$C$13:$C$17,MATCH(I22,비용표!$B$13:$B$17,1))</f>
        <v/>
      </c>
      <c r="L22" s="4" t="inlineStr">
        <is>
          <t>여포의 「인중여포 마중적토」 SP 6 → 5</t>
        </is>
      </c>
      <c r="M22" s="2" t="inlineStr">
        <is>
          <t>고유기술SP</t>
        </is>
      </c>
      <c r="N22" s="2" t="inlineStr">
        <is>
          <t>여포</t>
        </is>
      </c>
      <c r="O22" s="2" t="n"/>
      <c r="P22" s="2" t="n">
        <v>-1</v>
      </c>
      <c r="Q22" s="4" t="n"/>
      <c r="R22" s="2" t="n"/>
      <c r="S22" s="2" t="n"/>
      <c r="T22" s="2" t="n"/>
    </row>
    <row r="23" ht="32" customHeight="1">
      <c r="A23" s="2" t="n">
        <v>22</v>
      </c>
      <c r="B23" s="2" t="inlineStr">
        <is>
          <t>② 군웅할거 (192~199)</t>
        </is>
      </c>
      <c r="C23" s="3" t="inlineStr">
        <is>
          <t>함진영</t>
        </is>
      </c>
      <c r="D23" s="2" t="inlineStr">
        <is>
          <t>陷陣營</t>
        </is>
      </c>
      <c r="E23" s="4">
        <f>INDEX(칸!$I$2:$I$416,MATCH(A23,칸!$A$2:$A$416,1))</f>
        <v/>
      </c>
      <c r="F23" s="4" t="inlineStr">
        <is>
          <t>칠백 명으로 공격하면 반드시 깨뜨렸다는 고순의 정예.</t>
        </is>
      </c>
      <c r="G23" s="4" t="inlineStr">
        <is>
          <t>여포의 장수 고순은 칠백 명을 거느렸는데, 갑옷과 무기가 정예하여 「함진영」이라 불렀다. 공격하면 반드시 적진을 깨뜨렸으나, 여포는 그를 믿으면서도 끝내 중히 쓰지 않았다.</t>
        </is>
      </c>
      <c r="H23" s="2">
        <f>COUNTIF(칸!$A$2:$A$416,A23)</f>
        <v/>
      </c>
      <c r="I23" s="2">
        <f>SUMIF(칸!$A$2:$A$416,A23,칸!$H$2:$H$416)</f>
        <v/>
      </c>
      <c r="J23" s="2">
        <f>INDEX(비용표!$A$13:$A$17,MATCH(I23,비용표!$B$13:$B$17,1))</f>
        <v/>
      </c>
      <c r="K23" s="2">
        <f>INDEX(비용표!$C$13:$C$17,MATCH(I23,비용표!$B$13:$B$17,1))</f>
        <v/>
      </c>
      <c r="L23" s="4" t="inlineStr">
        <is>
          <t>고순 통솔+1</t>
        </is>
      </c>
      <c r="M23" s="2" t="inlineStr">
        <is>
          <t>능력치</t>
        </is>
      </c>
      <c r="N23" s="2" t="inlineStr">
        <is>
          <t>고순</t>
        </is>
      </c>
      <c r="O23" s="2" t="inlineStr">
        <is>
          <t>통솔</t>
        </is>
      </c>
      <c r="P23" s="2" t="n">
        <v>1</v>
      </c>
      <c r="Q23" s="4" t="n"/>
      <c r="R23" s="2" t="n"/>
      <c r="S23" s="2" t="n"/>
      <c r="T23" s="2" t="n"/>
    </row>
    <row r="24" ht="32" customHeight="1">
      <c r="A24" s="2" t="n">
        <v>23</v>
      </c>
      <c r="B24" s="2" t="inlineStr">
        <is>
          <t>② 군웅할거 (192~199)</t>
        </is>
      </c>
      <c r="C24" s="3" t="inlineStr">
        <is>
          <t>하비성 백문루</t>
        </is>
      </c>
      <c r="D24" s="2" t="inlineStr">
        <is>
          <t>白門樓</t>
        </is>
      </c>
      <c r="E24" s="4">
        <f>INDEX(칸!$I$2:$I$416,MATCH(A24,칸!$A$2:$A$416,1))</f>
        <v/>
      </c>
      <c r="F24" s="4" t="inlineStr">
        <is>
          <t>부하들이 등을 돌렸고, 여포는 백문루에서 묶였다.</t>
        </is>
      </c>
      <c r="G24" s="4" t="inlineStr">
        <is>
          <t>조조가 사수와 기수를 터 하비성을 물에 잠기게 하자 여포의 부하들이 등을 돌렸다. 후성 · 송헌 · 위속이 진궁을 묶어 바쳤고, 여포는 백문루에서 사로잡혀 목숨을 잃었다.</t>
        </is>
      </c>
      <c r="H24" s="2">
        <f>COUNTIF(칸!$A$2:$A$416,A24)</f>
        <v/>
      </c>
      <c r="I24" s="2">
        <f>SUMIF(칸!$A$2:$A$416,A24,칸!$H$2:$H$416)</f>
        <v/>
      </c>
      <c r="J24" s="2">
        <f>INDEX(비용표!$A$13:$A$17,MATCH(I24,비용표!$B$13:$B$17,1))</f>
        <v/>
      </c>
      <c r="K24" s="2">
        <f>INDEX(비용표!$C$13:$C$17,MATCH(I24,비용표!$B$13:$B$17,1))</f>
        <v/>
      </c>
      <c r="L24" s="4" t="inlineStr">
        <is>
          <t>여포 함께 참전 시 진궁 지력+2</t>
        </is>
      </c>
      <c r="M24" s="2" t="inlineStr">
        <is>
          <t>능력치</t>
        </is>
      </c>
      <c r="N24" s="2" t="inlineStr">
        <is>
          <t>진궁</t>
        </is>
      </c>
      <c r="O24" s="2" t="inlineStr">
        <is>
          <t>지력</t>
        </is>
      </c>
      <c r="P24" s="2" t="n">
        <v>2</v>
      </c>
      <c r="Q24" s="4" t="inlineStr">
        <is>
          <t>여포</t>
        </is>
      </c>
      <c r="R24" s="2" t="n"/>
      <c r="S24" s="2" t="n"/>
      <c r="T24" s="2" t="n"/>
    </row>
    <row r="25" ht="32" customHeight="1">
      <c r="A25" s="2" t="n">
        <v>24</v>
      </c>
      <c r="B25" s="2" t="inlineStr">
        <is>
          <t>② 군웅할거 (192~199)</t>
        </is>
      </c>
      <c r="C25" s="3" t="inlineStr">
        <is>
          <t>진등 부자</t>
        </is>
      </c>
      <c r="D25" s="2" t="inlineStr">
        <is>
          <t>陳登父子</t>
        </is>
      </c>
      <c r="E25" s="4">
        <f>INDEX(칸!$I$2:$I$416,MATCH(A25,칸!$A$2:$A$416,1))</f>
        <v/>
      </c>
      <c r="F25" s="4" t="inlineStr">
        <is>
          <t>진등은 겉으로 여포를 섬기며 안으로 조조와 손을 잡았다.</t>
        </is>
      </c>
      <c r="G25" s="4" t="inlineStr">
        <is>
          <t>서주의 진규 · 진등 부자는 겉으로 여포를 섬기며 안으로 조조와 통했다. 진등이 조조에게서 받은 광릉태수의 인수가, 여포를 무너뜨린 마지막 고리가 되었다.</t>
        </is>
      </c>
      <c r="H25" s="2">
        <f>COUNTIF(칸!$A$2:$A$416,A25)</f>
        <v/>
      </c>
      <c r="I25" s="2">
        <f>SUMIF(칸!$A$2:$A$416,A25,칸!$H$2:$H$416)</f>
        <v/>
      </c>
      <c r="J25" s="2">
        <f>INDEX(비용표!$A$13:$A$17,MATCH(I25,비용표!$B$13:$B$17,1))</f>
        <v/>
      </c>
      <c r="K25" s="2">
        <f>INDEX(비용표!$C$13:$C$17,MATCH(I25,비용표!$B$13:$B$17,1))</f>
        <v/>
      </c>
      <c r="L25" s="4" t="inlineStr">
        <is>
          <t>진등 지력+2</t>
        </is>
      </c>
      <c r="M25" s="2" t="inlineStr">
        <is>
          <t>능력치</t>
        </is>
      </c>
      <c r="N25" s="2" t="inlineStr">
        <is>
          <t>진등</t>
        </is>
      </c>
      <c r="O25" s="2" t="inlineStr">
        <is>
          <t>지력</t>
        </is>
      </c>
      <c r="P25" s="2" t="n">
        <v>2</v>
      </c>
      <c r="Q25" s="4" t="n"/>
      <c r="R25" s="2" t="n"/>
      <c r="S25" s="2" t="n"/>
      <c r="T25" s="2" t="n"/>
    </row>
    <row r="26" ht="32" customHeight="1">
      <c r="A26" s="2" t="n">
        <v>25</v>
      </c>
      <c r="B26" s="2" t="inlineStr">
        <is>
          <t>② 군웅할거 (192~199)</t>
        </is>
      </c>
      <c r="C26" s="3" t="inlineStr">
        <is>
          <t>원술 칭제</t>
        </is>
      </c>
      <c r="D26" s="2" t="inlineStr">
        <is>
          <t>袁術稱帝</t>
        </is>
      </c>
      <c r="E26" s="4">
        <f>INDEX(칸!$I$2:$I$416,MATCH(A26,칸!$A$2:$A$416,1))</f>
        <v/>
      </c>
      <c r="F26" s="4" t="inlineStr">
        <is>
          <t>옥새를 품고 황제를 칭했으나 마지막엔 꿀물 한 그릇을 찾았다.</t>
        </is>
      </c>
      <c r="G26" s="4" t="inlineStr">
        <is>
          <t>손견이 남긴 옥새를 손에 넣은 원술은 수춘에서 스스로 황제를 칭했다. 그러나 사치와 실정에 백성과 장수가 등을 돌렸고, 마지막에는 꿀물 한 그릇을 찾다 피를 토하고 죽었다.</t>
        </is>
      </c>
      <c r="H26" s="2">
        <f>COUNTIF(칸!$A$2:$A$416,A26)</f>
        <v/>
      </c>
      <c r="I26" s="2">
        <f>SUMIF(칸!$A$2:$A$416,A26,칸!$H$2:$H$416)</f>
        <v/>
      </c>
      <c r="J26" s="2">
        <f>INDEX(비용표!$A$13:$A$17,MATCH(I26,비용표!$B$13:$B$17,1))</f>
        <v/>
      </c>
      <c r="K26" s="2">
        <f>INDEX(비용표!$C$13:$C$17,MATCH(I26,비용표!$B$13:$B$17,1))</f>
        <v/>
      </c>
      <c r="L26" s="4" t="inlineStr">
        <is>
          <t>최대 군량 +2</t>
        </is>
      </c>
      <c r="M26" s="2" t="inlineStr">
        <is>
          <t>도시</t>
        </is>
      </c>
      <c r="N26" s="2" t="n"/>
      <c r="O26" s="2" t="n"/>
      <c r="P26" s="2" t="n">
        <v>2</v>
      </c>
      <c r="Q26" s="4" t="n"/>
      <c r="R26" s="2" t="n"/>
      <c r="S26" s="2" t="n"/>
      <c r="T26" s="2" t="inlineStr">
        <is>
          <t>grainCap</t>
        </is>
      </c>
    </row>
    <row r="27" ht="32" customHeight="1">
      <c r="A27" s="2" t="n">
        <v>26</v>
      </c>
      <c r="B27" s="2" t="inlineStr">
        <is>
          <t>② 군웅할거 (192~199)</t>
        </is>
      </c>
      <c r="C27" s="3" t="inlineStr">
        <is>
          <t>역경 함락</t>
        </is>
      </c>
      <c r="D27" s="2" t="inlineStr">
        <is>
          <t>易京陷落</t>
        </is>
      </c>
      <c r="E27" s="4">
        <f>INDEX(칸!$I$2:$I$416,MATCH(A27,칸!$A$2:$A$416,1))</f>
        <v/>
      </c>
      <c r="F27" s="4" t="inlineStr">
        <is>
          <t>높은 누대에 숨은 공손찬은 땅굴을 판 원소군 앞에 스스로 불을 질렀다.</t>
        </is>
      </c>
      <c r="G27" s="4" t="inlineStr">
        <is>
          <t>원소에게 밀린 공손찬은 역경에 수십 장 높이의 누대를 쌓고 틀어박혔다. 원소군이 땅굴을 파고 들어와 누대를 무너뜨리자, 공손찬은 처자를 죽이고 스스로 불을 질렀다.</t>
        </is>
      </c>
      <c r="H27" s="2">
        <f>COUNTIF(칸!$A$2:$A$416,A27)</f>
        <v/>
      </c>
      <c r="I27" s="2">
        <f>SUMIF(칸!$A$2:$A$416,A27,칸!$H$2:$H$416)</f>
        <v/>
      </c>
      <c r="J27" s="2">
        <f>INDEX(비용표!$A$13:$A$17,MATCH(I27,비용표!$B$13:$B$17,1))</f>
        <v/>
      </c>
      <c r="K27" s="2">
        <f>INDEX(비용표!$C$13:$C$17,MATCH(I27,비용표!$B$13:$B$17,1))</f>
        <v/>
      </c>
      <c r="L27" s="4" t="inlineStr">
        <is>
          <t>공손찬 HP+1</t>
        </is>
      </c>
      <c r="M27" s="2" t="inlineStr">
        <is>
          <t>능력치</t>
        </is>
      </c>
      <c r="N27" s="2" t="inlineStr">
        <is>
          <t>공손찬</t>
        </is>
      </c>
      <c r="O27" s="2" t="inlineStr">
        <is>
          <t>HP</t>
        </is>
      </c>
      <c r="P27" s="2" t="n">
        <v>1</v>
      </c>
      <c r="Q27" s="4" t="n"/>
      <c r="R27" s="2" t="n"/>
      <c r="S27" s="2" t="n"/>
      <c r="T27" s="2" t="n"/>
    </row>
    <row r="28" ht="48" customHeight="1">
      <c r="A28" s="2" t="n">
        <v>27</v>
      </c>
      <c r="B28" s="2" t="inlineStr">
        <is>
          <t>② 군웅할거 (192~199)</t>
        </is>
      </c>
      <c r="C28" s="3" t="inlineStr">
        <is>
          <t>신정산의 일기토</t>
        </is>
      </c>
      <c r="D28" s="2" t="inlineStr">
        <is>
          <t>神亭山一騎討</t>
        </is>
      </c>
      <c r="E28" s="4">
        <f>INDEX(칸!$I$2:$I$416,MATCH(A28,칸!$A$2:$A$416,1))</f>
        <v/>
      </c>
      <c r="F28" s="4" t="inlineStr">
        <is>
          <t>태사자는 두 자루 극을 들고 소패왕과 맞붙었다.</t>
        </is>
      </c>
      <c r="G28" s="4" t="inlineStr">
        <is>
          <t>신정산에서 정찰하던 손책과 맞닥뜨린 태사자는 홀로 덤벼들었다. 둘은 말에서 떨어져 뒤엉켰고, 손책은 태사자의 단극을, 태사자는 손책의 투구를 빼앗았다. 이후 태사자는 손책의 장수가 되었다.</t>
        </is>
      </c>
      <c r="H28" s="2">
        <f>COUNTIF(칸!$A$2:$A$416,A28)</f>
        <v/>
      </c>
      <c r="I28" s="2">
        <f>SUMIF(칸!$A$2:$A$416,A28,칸!$H$2:$H$416)</f>
        <v/>
      </c>
      <c r="J28" s="2">
        <f>INDEX(비용표!$A$13:$A$17,MATCH(I28,비용표!$B$13:$B$17,1))</f>
        <v/>
      </c>
      <c r="K28" s="2">
        <f>INDEX(비용표!$C$13:$C$17,MATCH(I28,비용표!$B$13:$B$17,1))</f>
        <v/>
      </c>
      <c r="L28" s="4" t="inlineStr">
        <is>
          <t>태사자 무력+1</t>
        </is>
      </c>
      <c r="M28" s="2" t="inlineStr">
        <is>
          <t>능력치</t>
        </is>
      </c>
      <c r="N28" s="2" t="inlineStr">
        <is>
          <t>태사자</t>
        </is>
      </c>
      <c r="O28" s="2" t="inlineStr">
        <is>
          <t>무력</t>
        </is>
      </c>
      <c r="P28" s="2" t="n">
        <v>1</v>
      </c>
      <c r="Q28" s="4" t="n"/>
      <c r="R28" s="2" t="n"/>
      <c r="S28" s="2" t="n"/>
      <c r="T28" s="2" t="n"/>
    </row>
    <row r="29" ht="32" customHeight="1">
      <c r="A29" s="2" t="n">
        <v>28</v>
      </c>
      <c r="B29" s="2" t="inlineStr">
        <is>
          <t>② 군웅할거 (192~199)</t>
        </is>
      </c>
      <c r="C29" s="3" t="inlineStr">
        <is>
          <t>내사는 장소에게</t>
        </is>
      </c>
      <c r="D29" s="2" t="inlineStr">
        <is>
          <t>內事問張昭</t>
        </is>
      </c>
      <c r="E29" s="4">
        <f>INDEX(칸!$I$2:$I$416,MATCH(A29,칸!$A$2:$A$416,1))</f>
        <v/>
      </c>
      <c r="F29" s="4" t="inlineStr">
        <is>
          <t>「안의 일은 장소에게, 밖의 일은 주유에게 물어라.」 — 손책의 유언.</t>
        </is>
      </c>
      <c r="G29" s="4" t="inlineStr">
        <is>
          <t>자객의 화살에 쓰러진 손책은 열여덟 살 아우 손권에게 인수를 넘겼다. 「안의 일은 장소에게, 밖의 일은 주유에게 물어라」 — 손권은 그 두 사람과 함께 강동을 지켜 냈다.</t>
        </is>
      </c>
      <c r="H29" s="2">
        <f>COUNTIF(칸!$A$2:$A$416,A29)</f>
        <v/>
      </c>
      <c r="I29" s="2">
        <f>SUMIF(칸!$A$2:$A$416,A29,칸!$H$2:$H$416)</f>
        <v/>
      </c>
      <c r="J29" s="2">
        <f>INDEX(비용표!$A$13:$A$17,MATCH(I29,비용표!$B$13:$B$17,1))</f>
        <v/>
      </c>
      <c r="K29" s="2">
        <f>INDEX(비용표!$C$13:$C$17,MATCH(I29,비용표!$B$13:$B$17,1))</f>
        <v/>
      </c>
      <c r="L29" s="4" t="inlineStr">
        <is>
          <t>장소 통솔+2</t>
        </is>
      </c>
      <c r="M29" s="2" t="inlineStr">
        <is>
          <t>능력치</t>
        </is>
      </c>
      <c r="N29" s="2" t="inlineStr">
        <is>
          <t>장소</t>
        </is>
      </c>
      <c r="O29" s="2" t="inlineStr">
        <is>
          <t>통솔</t>
        </is>
      </c>
      <c r="P29" s="2" t="n">
        <v>2</v>
      </c>
      <c r="Q29" s="4" t="n"/>
      <c r="R29" s="2" t="n"/>
      <c r="S29" s="2" t="n"/>
      <c r="T29" s="2" t="n"/>
    </row>
    <row r="30" ht="32" customHeight="1">
      <c r="A30" s="2" t="n">
        <v>29</v>
      </c>
      <c r="B30" s="2" t="inlineStr">
        <is>
          <t>② 군웅할거 (192~199)</t>
        </is>
      </c>
      <c r="C30" s="3" t="inlineStr">
        <is>
          <t>완성의 밤</t>
        </is>
      </c>
      <c r="D30" s="2" t="inlineStr">
        <is>
          <t>宛城之夜</t>
        </is>
      </c>
      <c r="E30" s="4">
        <f>INDEX(칸!$I$2:$I$416,MATCH(A30,칸!$A$2:$A$416,1))</f>
        <v/>
      </c>
      <c r="F30" s="4" t="inlineStr">
        <is>
          <t>조조는 이 밤 장자와 조카, 그리고 명마 절영을 잃었다.</t>
        </is>
      </c>
      <c r="G30" s="4" t="inlineStr">
        <is>
          <t>장수의 항복을 받아들인 조조는 완성에서 그 숙모를 취했다. 분노한 장수가 가후의 계책으로 밤에 들이치니, 조조는 장자 조앙과 조카, 맹장 전위, 명마 절영을 잃고 겨우 살아났다.</t>
        </is>
      </c>
      <c r="H30" s="2">
        <f>COUNTIF(칸!$A$2:$A$416,A30)</f>
        <v/>
      </c>
      <c r="I30" s="2">
        <f>SUMIF(칸!$A$2:$A$416,A30,칸!$H$2:$H$416)</f>
        <v/>
      </c>
      <c r="J30" s="2">
        <f>INDEX(비용표!$A$13:$A$17,MATCH(I30,비용표!$B$13:$B$17,1))</f>
        <v/>
      </c>
      <c r="K30" s="2">
        <f>INDEX(비용표!$C$13:$C$17,MATCH(I30,비용표!$B$13:$B$17,1))</f>
        <v/>
      </c>
      <c r="L30" s="4" t="inlineStr">
        <is>
          <t>장수 통솔+2</t>
        </is>
      </c>
      <c r="M30" s="2" t="inlineStr">
        <is>
          <t>능력치</t>
        </is>
      </c>
      <c r="N30" s="2" t="inlineStr">
        <is>
          <t>장수</t>
        </is>
      </c>
      <c r="O30" s="2" t="inlineStr">
        <is>
          <t>통솔</t>
        </is>
      </c>
      <c r="P30" s="2" t="n">
        <v>2</v>
      </c>
      <c r="Q30" s="4" t="n"/>
      <c r="R30" s="2" t="n"/>
      <c r="S30" s="2" t="n"/>
      <c r="T30" s="2" t="n"/>
    </row>
    <row r="31" ht="32" customHeight="1">
      <c r="A31" s="2" t="n">
        <v>30</v>
      </c>
      <c r="B31" s="2" t="inlineStr">
        <is>
          <t>② 군웅할거 (192~199)</t>
        </is>
      </c>
      <c r="C31" s="3" t="inlineStr">
        <is>
          <t>가후의 계책</t>
        </is>
      </c>
      <c r="D31" s="2" t="inlineStr">
        <is>
          <t>賈詡之計</t>
        </is>
      </c>
      <c r="E31" s="4">
        <f>INDEX(칸!$I$2:$I$416,MATCH(A31,칸!$A$2:$A$416,1))</f>
        <v/>
      </c>
      <c r="F31" s="4" t="inlineStr">
        <is>
          <t>추격하지 말라 할 때 추격하고, 추격하라 할 때 물러서게 했다.</t>
        </is>
      </c>
      <c r="G31" s="4" t="inlineStr">
        <is>
          <t>물러나는 조조를 장수가 추격하려 하자 가후가 말렸다. 장수가 듣지 않고 쫓다 지고 오자, 가후는 「이제 다시 쫓으라」 했고 이번에는 크게 이겼다 — 적의 마음을 읽은 계책이었다.</t>
        </is>
      </c>
      <c r="H31" s="2">
        <f>COUNTIF(칸!$A$2:$A$416,A31)</f>
        <v/>
      </c>
      <c r="I31" s="2">
        <f>SUMIF(칸!$A$2:$A$416,A31,칸!$H$2:$H$416)</f>
        <v/>
      </c>
      <c r="J31" s="2">
        <f>INDEX(비용표!$A$13:$A$17,MATCH(I31,비용표!$B$13:$B$17,1))</f>
        <v/>
      </c>
      <c r="K31" s="2">
        <f>INDEX(비용표!$C$13:$C$17,MATCH(I31,비용표!$B$13:$B$17,1))</f>
        <v/>
      </c>
      <c r="L31" s="4" t="inlineStr">
        <is>
          <t>가후 통솔+1</t>
        </is>
      </c>
      <c r="M31" s="2" t="inlineStr">
        <is>
          <t>능력치</t>
        </is>
      </c>
      <c r="N31" s="2" t="inlineStr">
        <is>
          <t>가후</t>
        </is>
      </c>
      <c r="O31" s="2" t="inlineStr">
        <is>
          <t>통솔</t>
        </is>
      </c>
      <c r="P31" s="2" t="n">
        <v>1</v>
      </c>
      <c r="Q31" s="4" t="n"/>
      <c r="R31" s="2" t="n"/>
      <c r="S31" s="2" t="n"/>
      <c r="T31" s="2" t="n"/>
    </row>
    <row r="32" ht="32" customHeight="1">
      <c r="A32" s="2" t="n">
        <v>31</v>
      </c>
      <c r="B32" s="2" t="inlineStr">
        <is>
          <t>② 군웅할거 (192~199)</t>
        </is>
      </c>
      <c r="C32" s="3" t="inlineStr">
        <is>
          <t>청매자주 영웅론</t>
        </is>
      </c>
      <c r="D32" s="2" t="inlineStr">
        <is>
          <t>青梅煮酒論英雄</t>
        </is>
      </c>
      <c r="E32" s="4">
        <f>INDEX(칸!$I$2:$I$416,MATCH(A32,칸!$A$2:$A$416,1))</f>
        <v/>
      </c>
      <c r="F32" s="4" t="inlineStr">
        <is>
          <t>「천하의 영웅은 그대와 나뿐이오」 — 유비는 젓가락을 떨어뜨렸다.</t>
        </is>
      </c>
      <c r="G32" s="4" t="inlineStr">
        <is>
          <t>조조는 유비를 불러 매실을 안주 삼아 술을 데우며 천하의 영웅을 논했다. 「천하의 영웅은 그대와 나뿐」이라는 말에 유비가 젓가락을 떨어뜨리자, 마침 친 천둥소리에 놀란 척 둘러댔다.</t>
        </is>
      </c>
      <c r="H32" s="2">
        <f>COUNTIF(칸!$A$2:$A$416,A32)</f>
        <v/>
      </c>
      <c r="I32" s="2">
        <f>SUMIF(칸!$A$2:$A$416,A32,칸!$H$2:$H$416)</f>
        <v/>
      </c>
      <c r="J32" s="2">
        <f>INDEX(비용표!$A$13:$A$17,MATCH(I32,비용표!$B$13:$B$17,1))</f>
        <v/>
      </c>
      <c r="K32" s="2">
        <f>INDEX(비용표!$C$13:$C$17,MATCH(I32,비용표!$B$13:$B$17,1))</f>
        <v/>
      </c>
      <c r="L32" s="4" t="inlineStr">
        <is>
          <t>적진에 유비 시 조조 지력+2</t>
        </is>
      </c>
      <c r="M32" s="2" t="inlineStr">
        <is>
          <t>능력치</t>
        </is>
      </c>
      <c r="N32" s="2" t="inlineStr">
        <is>
          <t>조조</t>
        </is>
      </c>
      <c r="O32" s="2" t="inlineStr">
        <is>
          <t>지력</t>
        </is>
      </c>
      <c r="P32" s="2" t="n">
        <v>2</v>
      </c>
      <c r="Q32" s="4" t="n"/>
      <c r="R32" s="2" t="n"/>
      <c r="S32" s="2" t="inlineStr">
        <is>
          <t>유비</t>
        </is>
      </c>
      <c r="T32" s="2" t="n"/>
    </row>
    <row r="33" ht="32" customHeight="1">
      <c r="A33" s="2" t="n">
        <v>32</v>
      </c>
      <c r="B33" s="2" t="inlineStr">
        <is>
          <t>② 군웅할거 (192~199)</t>
        </is>
      </c>
      <c r="C33" s="3" t="inlineStr">
        <is>
          <t>의대조</t>
        </is>
      </c>
      <c r="D33" s="2" t="inlineStr">
        <is>
          <t>衣帶詔</t>
        </is>
      </c>
      <c r="E33" s="4">
        <f>INDEX(칸!$I$2:$I$416,MATCH(A33,칸!$A$2:$A$416,1))</f>
        <v/>
      </c>
      <c r="F33" s="4" t="inlineStr">
        <is>
          <t>황제의 옷 띠 속에 조조를 치라는 피의 밀서가 꿰매져 있었다.</t>
        </is>
      </c>
      <c r="G33" s="4" t="inlineStr">
        <is>
          <t>조조의 전횡에 헌제는 피로 쓴 밀조를 옷 띠 속에 꿰매 동승에게 내렸다. 유비 · 마등이 이름을 올렸으나 계획은 탄로 나, 동승의 일족은 몰살되고 유비는 서주로 달아났다.</t>
        </is>
      </c>
      <c r="H33" s="2">
        <f>COUNTIF(칸!$A$2:$A$416,A33)</f>
        <v/>
      </c>
      <c r="I33" s="2">
        <f>SUMIF(칸!$A$2:$A$416,A33,칸!$H$2:$H$416)</f>
        <v/>
      </c>
      <c r="J33" s="2">
        <f>INDEX(비용표!$A$13:$A$17,MATCH(I33,비용표!$B$13:$B$17,1))</f>
        <v/>
      </c>
      <c r="K33" s="2">
        <f>INDEX(비용표!$C$13:$C$17,MATCH(I33,비용표!$B$13:$B$17,1))</f>
        <v/>
      </c>
      <c r="L33" s="4" t="inlineStr">
        <is>
          <t>유비 함께 참전 시 헌제 HP+1</t>
        </is>
      </c>
      <c r="M33" s="2" t="inlineStr">
        <is>
          <t>능력치</t>
        </is>
      </c>
      <c r="N33" s="2" t="inlineStr">
        <is>
          <t>헌제</t>
        </is>
      </c>
      <c r="O33" s="2" t="inlineStr">
        <is>
          <t>HP</t>
        </is>
      </c>
      <c r="P33" s="2" t="n">
        <v>1</v>
      </c>
      <c r="Q33" s="4" t="inlineStr">
        <is>
          <t>유비</t>
        </is>
      </c>
      <c r="R33" s="2" t="n"/>
      <c r="S33" s="2" t="n"/>
      <c r="T33" s="2" t="n"/>
    </row>
    <row r="34" ht="48" customHeight="1">
      <c r="A34" s="2" t="n">
        <v>33</v>
      </c>
      <c r="B34" s="2" t="inlineStr">
        <is>
          <t>③ 관도 (200~207)</t>
        </is>
      </c>
      <c r="C34" s="3" t="inlineStr">
        <is>
          <t>토산의 세 가지 약속</t>
        </is>
      </c>
      <c r="D34" s="2" t="inlineStr">
        <is>
          <t>土山約三事</t>
        </is>
      </c>
      <c r="E34" s="4">
        <f>INDEX(칸!$I$2:$I$416,MATCH(A34,칸!$A$2:$A$416,1))</f>
        <v/>
      </c>
      <c r="F34" s="4" t="inlineStr">
        <is>
          <t>장료의 설득에 관우는 세 가지를 약속받고서야 항복했다.</t>
        </is>
      </c>
      <c r="G34" s="4" t="inlineStr">
        <is>
          <t>하비에서 포위된 관우를 장료가 찾아와 설득했다. 관우는 한에 항복하되 조조에게 항복하지 않는다, 두 형수를 모신다, 유비의 소식을 들으면 떠난다 — 세 가지를 약속받고서야 칼을 내려놓았다.</t>
        </is>
      </c>
      <c r="H34" s="2">
        <f>COUNTIF(칸!$A$2:$A$416,A34)</f>
        <v/>
      </c>
      <c r="I34" s="2">
        <f>SUMIF(칸!$A$2:$A$416,A34,칸!$H$2:$H$416)</f>
        <v/>
      </c>
      <c r="J34" s="2">
        <f>INDEX(비용표!$A$13:$A$17,MATCH(I34,비용표!$B$13:$B$17,1))</f>
        <v/>
      </c>
      <c r="K34" s="2">
        <f>INDEX(비용표!$C$13:$C$17,MATCH(I34,비용표!$B$13:$B$17,1))</f>
        <v/>
      </c>
      <c r="L34" s="4" t="inlineStr">
        <is>
          <t>장료 지력+1</t>
        </is>
      </c>
      <c r="M34" s="2" t="inlineStr">
        <is>
          <t>능력치</t>
        </is>
      </c>
      <c r="N34" s="2" t="inlineStr">
        <is>
          <t>장료</t>
        </is>
      </c>
      <c r="O34" s="2" t="inlineStr">
        <is>
          <t>지력</t>
        </is>
      </c>
      <c r="P34" s="2" t="n">
        <v>1</v>
      </c>
      <c r="Q34" s="4" t="n"/>
      <c r="R34" s="2" t="n"/>
      <c r="S34" s="2" t="n"/>
      <c r="T34" s="2" t="n"/>
    </row>
    <row r="35" ht="32" customHeight="1">
      <c r="A35" s="2" t="n">
        <v>34</v>
      </c>
      <c r="B35" s="2" t="inlineStr">
        <is>
          <t>③ 관도 (200~207)</t>
        </is>
      </c>
      <c r="C35" s="3" t="inlineStr">
        <is>
          <t>십승십패론</t>
        </is>
      </c>
      <c r="D35" s="2" t="inlineStr">
        <is>
          <t>十勝十敗論</t>
        </is>
      </c>
      <c r="E35" s="4">
        <f>INDEX(칸!$I$2:$I$416,MATCH(A35,칸!$A$2:$A$416,1))</f>
        <v/>
      </c>
      <c r="F35" s="4" t="inlineStr">
        <is>
          <t>곽가는 조조가 원소를 이길 열 가지 이유를 들었다.</t>
        </is>
      </c>
      <c r="G35" s="4" t="inlineStr">
        <is>
          <t>원소의 오만한 편지에 조조가 근심하자, 곽가는 조조가 원소를 이길 열 가지와 원소가 질 열 가지를 들었다(『부자』). 도량 · 결단 · 용병 · 덕 — 그 말은 관도대전의 예언이 되었다.</t>
        </is>
      </c>
      <c r="H35" s="2">
        <f>COUNTIF(칸!$A$2:$A$416,A35)</f>
        <v/>
      </c>
      <c r="I35" s="2">
        <f>SUMIF(칸!$A$2:$A$416,A35,칸!$H$2:$H$416)</f>
        <v/>
      </c>
      <c r="J35" s="2">
        <f>INDEX(비용표!$A$13:$A$17,MATCH(I35,비용표!$B$13:$B$17,1))</f>
        <v/>
      </c>
      <c r="K35" s="2">
        <f>INDEX(비용표!$C$13:$C$17,MATCH(I35,비용표!$B$13:$B$17,1))</f>
        <v/>
      </c>
      <c r="L35" s="4" t="inlineStr">
        <is>
          <t>곽가 통솔+2</t>
        </is>
      </c>
      <c r="M35" s="2" t="inlineStr">
        <is>
          <t>능력치</t>
        </is>
      </c>
      <c r="N35" s="2" t="inlineStr">
        <is>
          <t>곽가</t>
        </is>
      </c>
      <c r="O35" s="2" t="inlineStr">
        <is>
          <t>통솔</t>
        </is>
      </c>
      <c r="P35" s="2" t="n">
        <v>2</v>
      </c>
      <c r="Q35" s="4" t="n"/>
      <c r="R35" s="2" t="n"/>
      <c r="S35" s="2" t="n"/>
      <c r="T35" s="2" t="n"/>
    </row>
    <row r="36" ht="32" customHeight="1">
      <c r="A36" s="2" t="n">
        <v>35</v>
      </c>
      <c r="B36" s="2" t="inlineStr">
        <is>
          <t>③ 관도 (200~207)</t>
        </is>
      </c>
      <c r="C36" s="3" t="inlineStr">
        <is>
          <t>왕좌지재</t>
        </is>
      </c>
      <c r="D36" s="2" t="inlineStr">
        <is>
          <t>王佐之才</t>
        </is>
      </c>
      <c r="E36" s="4">
        <f>INDEX(칸!$I$2:$I$416,MATCH(A36,칸!$A$2:$A$416,1))</f>
        <v/>
      </c>
      <c r="F36" s="4" t="inlineStr">
        <is>
          <t>조조는 순욱을 「나의 자방」이라 불렀다.</t>
        </is>
      </c>
      <c r="G36" s="4" t="inlineStr">
        <is>
          <t>조조는 원소를 떠나 찾아온 순욱을 보고 「나의 자방이 왔다」며 기뻐했다. 순욱은 조카 순유와 함께 조조의 모든 큰 결정에 함께했고, 허도를 지키며 천하를 경영했다.</t>
        </is>
      </c>
      <c r="H36" s="2">
        <f>COUNTIF(칸!$A$2:$A$416,A36)</f>
        <v/>
      </c>
      <c r="I36" s="2">
        <f>SUMIF(칸!$A$2:$A$416,A36,칸!$H$2:$H$416)</f>
        <v/>
      </c>
      <c r="J36" s="2">
        <f>INDEX(비용표!$A$13:$A$17,MATCH(I36,비용표!$B$13:$B$17,1))</f>
        <v/>
      </c>
      <c r="K36" s="2">
        <f>INDEX(비용표!$C$13:$C$17,MATCH(I36,비용표!$B$13:$B$17,1))</f>
        <v/>
      </c>
      <c r="L36" s="4" t="inlineStr">
        <is>
          <t>순욱 함께 참전 시 순유 통솔+2</t>
        </is>
      </c>
      <c r="M36" s="2" t="inlineStr">
        <is>
          <t>능력치</t>
        </is>
      </c>
      <c r="N36" s="2" t="inlineStr">
        <is>
          <t>순유</t>
        </is>
      </c>
      <c r="O36" s="2" t="inlineStr">
        <is>
          <t>통솔</t>
        </is>
      </c>
      <c r="P36" s="2" t="n">
        <v>2</v>
      </c>
      <c r="Q36" s="4" t="inlineStr">
        <is>
          <t>순욱</t>
        </is>
      </c>
      <c r="R36" s="2" t="n"/>
      <c r="S36" s="2" t="n"/>
      <c r="T36" s="2" t="n"/>
    </row>
    <row r="37" ht="32" customHeight="1">
      <c r="A37" s="2" t="n">
        <v>36</v>
      </c>
      <c r="B37" s="2" t="inlineStr">
        <is>
          <t>③ 관도 (200~207)</t>
        </is>
      </c>
      <c r="C37" s="3" t="inlineStr">
        <is>
          <t>원소의 모사들</t>
        </is>
      </c>
      <c r="D37" s="2" t="inlineStr">
        <is>
          <t>袁紹謀士</t>
        </is>
      </c>
      <c r="E37" s="4">
        <f>INDEX(칸!$I$2:$I$416,MATCH(A37,칸!$A$2:$A$416,1))</f>
        <v/>
      </c>
      <c r="F37" s="4" t="inlineStr">
        <is>
          <t>책사는 넘쳤으나 주군은 끝내 어느 말도 듣지 않았다.</t>
        </is>
      </c>
      <c r="G37" s="4" t="inlineStr">
        <is>
          <t>원소의 막하에는 전풍 · 저수 · 심배 · 봉기 · 곽도 · 허유가 있었으나 서로를 헐뜯었다. 원소는 옳은 말을 하는 자를 가두고 듣기 좋은 말만 들었으니, 책사는 많아도 계책은 없었다.</t>
        </is>
      </c>
      <c r="H37" s="2">
        <f>COUNTIF(칸!$A$2:$A$416,A37)</f>
        <v/>
      </c>
      <c r="I37" s="2">
        <f>SUMIF(칸!$A$2:$A$416,A37,칸!$H$2:$H$416)</f>
        <v/>
      </c>
      <c r="J37" s="2">
        <f>INDEX(비용표!$A$13:$A$17,MATCH(I37,비용표!$B$13:$B$17,1))</f>
        <v/>
      </c>
      <c r="K37" s="2">
        <f>INDEX(비용표!$C$13:$C$17,MATCH(I37,비용표!$B$13:$B$17,1))</f>
        <v/>
      </c>
      <c r="L37" s="4" t="inlineStr">
        <is>
          <t>전풍·저수 함께 참전 시 전풍·저수 MP+1</t>
        </is>
      </c>
      <c r="M37" s="2" t="inlineStr">
        <is>
          <t>능력치</t>
        </is>
      </c>
      <c r="N37" s="2" t="inlineStr">
        <is>
          <t>전풍·저수</t>
        </is>
      </c>
      <c r="O37" s="2" t="inlineStr">
        <is>
          <t>MP</t>
        </is>
      </c>
      <c r="P37" s="2" t="n">
        <v>1</v>
      </c>
      <c r="Q37" s="4" t="inlineStr">
        <is>
          <t>전풍·저수</t>
        </is>
      </c>
      <c r="R37" s="2" t="n"/>
      <c r="S37" s="2" t="n"/>
      <c r="T37" s="2" t="n"/>
    </row>
    <row r="38" ht="32" customHeight="1">
      <c r="A38" s="2" t="n">
        <v>37</v>
      </c>
      <c r="B38" s="2" t="inlineStr">
        <is>
          <t>③ 관도 (200~207)</t>
        </is>
      </c>
      <c r="C38" s="3" t="inlineStr">
        <is>
          <t>하북의 두 기둥</t>
        </is>
      </c>
      <c r="D38" s="2" t="inlineStr">
        <is>
          <t>河北雙壁</t>
        </is>
      </c>
      <c r="E38" s="4">
        <f>INDEX(칸!$I$2:$I$416,MATCH(A38,칸!$A$2:$A$416,1))</f>
        <v/>
      </c>
      <c r="F38" s="4" t="inlineStr">
        <is>
          <t>원소군 최강의 두 장수. 둘이 함께면 당할 자가 없다 했다.</t>
        </is>
      </c>
      <c r="G38" s="4" t="inlineStr">
        <is>
          <t>안량과 문추는 원소군을 대표하는 맹장으로 하북의 두 기둥이라 불렸다. 그러나 안량은 백마에서 관우에게, 문추는 연진에서 조조군에게 차례로 쓰러져 원소의 사기를 꺾었다.</t>
        </is>
      </c>
      <c r="H38" s="2">
        <f>COUNTIF(칸!$A$2:$A$416,A38)</f>
        <v/>
      </c>
      <c r="I38" s="2">
        <f>SUMIF(칸!$A$2:$A$416,A38,칸!$H$2:$H$416)</f>
        <v/>
      </c>
      <c r="J38" s="2">
        <f>INDEX(비용표!$A$13:$A$17,MATCH(I38,비용표!$B$13:$B$17,1))</f>
        <v/>
      </c>
      <c r="K38" s="2">
        <f>INDEX(비용표!$C$13:$C$17,MATCH(I38,비용표!$B$13:$B$17,1))</f>
        <v/>
      </c>
      <c r="L38" s="4" t="inlineStr">
        <is>
          <t>안량·문추 함께 참전 시 안량·문추 무력+1</t>
        </is>
      </c>
      <c r="M38" s="2" t="inlineStr">
        <is>
          <t>능력치</t>
        </is>
      </c>
      <c r="N38" s="2" t="inlineStr">
        <is>
          <t>안량·문추</t>
        </is>
      </c>
      <c r="O38" s="2" t="inlineStr">
        <is>
          <t>무력</t>
        </is>
      </c>
      <c r="P38" s="2" t="n">
        <v>1</v>
      </c>
      <c r="Q38" s="4" t="inlineStr">
        <is>
          <t>안량·문추</t>
        </is>
      </c>
      <c r="R38" s="2" t="n"/>
      <c r="S38" s="2" t="n"/>
      <c r="T38" s="2" t="n"/>
    </row>
    <row r="39" ht="32" customHeight="1">
      <c r="A39" s="2" t="n">
        <v>38</v>
      </c>
      <c r="B39" s="2" t="inlineStr">
        <is>
          <t>③ 관도 (200~207)</t>
        </is>
      </c>
      <c r="C39" s="3" t="inlineStr">
        <is>
          <t>관도대전</t>
        </is>
      </c>
      <c r="D39" s="2" t="inlineStr">
        <is>
          <t>官渡之戰</t>
        </is>
      </c>
      <c r="E39" s="4">
        <f>INDEX(칸!$I$2:$I$416,MATCH(A39,칸!$A$2:$A$416,1))</f>
        <v/>
      </c>
      <c r="F39" s="4" t="inlineStr">
        <is>
          <t>관우는 안량과 문추를 단숨에 제압하고, 조조와 원소의 대결은 조조의 승리로 막을 내린다.</t>
        </is>
      </c>
      <c r="G39" s="4" t="inlineStr">
        <is>
          <t>서기 200년, 원소의 십만 대군과 조조의 작은 군대가 관도에서 맞섰다. 관우가 백마에서 안량을 베고, 문추가 연진에서 쓰러졌으며, 조조는 끝내 오소를 불태워 북방의 패자가 되었다.</t>
        </is>
      </c>
      <c r="H39" s="2">
        <f>COUNTIF(칸!$A$2:$A$416,A39)</f>
        <v/>
      </c>
      <c r="I39" s="2">
        <f>SUMIF(칸!$A$2:$A$416,A39,칸!$H$2:$H$416)</f>
        <v/>
      </c>
      <c r="J39" s="2">
        <f>INDEX(비용표!$A$13:$A$17,MATCH(I39,비용표!$B$13:$B$17,1))</f>
        <v/>
      </c>
      <c r="K39" s="2">
        <f>INDEX(비용표!$C$13:$C$17,MATCH(I39,비용표!$B$13:$B$17,1))</f>
        <v/>
      </c>
      <c r="L39" s="4" t="inlineStr">
        <is>
          <t>조조·관우 함께 참전, 적진에 안량·문추 시 관우 AT+0.5</t>
        </is>
      </c>
      <c r="M39" s="2" t="inlineStr">
        <is>
          <t>능력치</t>
        </is>
      </c>
      <c r="N39" s="2" t="inlineStr">
        <is>
          <t>관우</t>
        </is>
      </c>
      <c r="O39" s="2" t="inlineStr">
        <is>
          <t>AT</t>
        </is>
      </c>
      <c r="P39" s="2" t="n">
        <v>0.5</v>
      </c>
      <c r="Q39" s="4" t="inlineStr">
        <is>
          <t>조조·관우</t>
        </is>
      </c>
      <c r="R39" s="2" t="n"/>
      <c r="S39" s="2" t="inlineStr">
        <is>
          <t>안량·문추</t>
        </is>
      </c>
      <c r="T39" s="2" t="n"/>
    </row>
    <row r="40" ht="32" customHeight="1">
      <c r="A40" s="2" t="n">
        <v>39</v>
      </c>
      <c r="B40" s="2" t="inlineStr">
        <is>
          <t>③ 관도 (200~207)</t>
        </is>
      </c>
      <c r="C40" s="3" t="inlineStr">
        <is>
          <t>오소 기습</t>
        </is>
      </c>
      <c r="D40" s="2" t="inlineStr">
        <is>
          <t>火燒烏巢</t>
        </is>
      </c>
      <c r="E40" s="4">
        <f>INDEX(칸!$I$2:$I$416,MATCH(A40,칸!$A$2:$A$416,1))</f>
        <v/>
      </c>
      <c r="F40" s="4" t="inlineStr">
        <is>
          <t>허유가 넘어오자 조조는 직접 오소의 군량고를 불태웠다.</t>
        </is>
      </c>
      <c r="G40" s="4" t="inlineStr">
        <is>
          <t>관도의 대치가 길어지자 원소의 책사 허유가 조조에게 넘어와 오소의 군량고를 알렸다. 조조는 직접 오천 기를 이끌고 밤에 오소를 불태웠고, 지키던 순우경은 사로잡혔다.</t>
        </is>
      </c>
      <c r="H40" s="2">
        <f>COUNTIF(칸!$A$2:$A$416,A40)</f>
        <v/>
      </c>
      <c r="I40" s="2">
        <f>SUMIF(칸!$A$2:$A$416,A40,칸!$H$2:$H$416)</f>
        <v/>
      </c>
      <c r="J40" s="2">
        <f>INDEX(비용표!$A$13:$A$17,MATCH(I40,비용표!$B$13:$B$17,1))</f>
        <v/>
      </c>
      <c r="K40" s="2">
        <f>INDEX(비용표!$C$13:$C$17,MATCH(I40,비용표!$B$13:$B$17,1))</f>
        <v/>
      </c>
      <c r="L40" s="4" t="inlineStr">
        <is>
          <t>최대 군량 +2</t>
        </is>
      </c>
      <c r="M40" s="2" t="inlineStr">
        <is>
          <t>도시</t>
        </is>
      </c>
      <c r="N40" s="2" t="n"/>
      <c r="O40" s="2" t="n"/>
      <c r="P40" s="2" t="n">
        <v>2</v>
      </c>
      <c r="Q40" s="4" t="n"/>
      <c r="R40" s="2" t="n"/>
      <c r="S40" s="2" t="n"/>
      <c r="T40" s="2" t="inlineStr">
        <is>
          <t>grainCap</t>
        </is>
      </c>
    </row>
    <row r="41" ht="32" customHeight="1">
      <c r="A41" s="2" t="n">
        <v>40</v>
      </c>
      <c r="B41" s="2" t="inlineStr">
        <is>
          <t>③ 관도 (200~207)</t>
        </is>
      </c>
      <c r="C41" s="3" t="inlineStr">
        <is>
          <t>오관참육장</t>
        </is>
      </c>
      <c r="D41" s="2" t="inlineStr">
        <is>
          <t>過五關斬六將</t>
        </is>
      </c>
      <c r="E41" s="4">
        <f>INDEX(칸!$I$2:$I$416,MATCH(A41,칸!$A$2:$A$416,1))</f>
        <v/>
      </c>
      <c r="F41" s="4" t="inlineStr">
        <is>
          <t>형님을 찾아 다섯 관문을 지나며 여섯 장수를 베었다.</t>
        </is>
      </c>
      <c r="G41" s="4" t="inlineStr">
        <is>
          <t>유비의 소식을 들은 관우는 조조가 내린 재물을 봉해 두고 두 형수를 모셔 길을 떠났다. 통행증 없이 다섯 관문을 지나며 여섯 장수를 베었다 — 연의가 그린 관우의 천리행이다.</t>
        </is>
      </c>
      <c r="H41" s="2">
        <f>COUNTIF(칸!$A$2:$A$416,A41)</f>
        <v/>
      </c>
      <c r="I41" s="2">
        <f>SUMIF(칸!$A$2:$A$416,A41,칸!$H$2:$H$416)</f>
        <v/>
      </c>
      <c r="J41" s="2">
        <f>INDEX(비용표!$A$13:$A$17,MATCH(I41,비용표!$B$13:$B$17,1))</f>
        <v/>
      </c>
      <c r="K41" s="2">
        <f>INDEX(비용표!$C$13:$C$17,MATCH(I41,비용표!$B$13:$B$17,1))</f>
        <v/>
      </c>
      <c r="L41" s="4" t="inlineStr">
        <is>
          <t>관우 통솔+2</t>
        </is>
      </c>
      <c r="M41" s="2" t="inlineStr">
        <is>
          <t>능력치</t>
        </is>
      </c>
      <c r="N41" s="2" t="inlineStr">
        <is>
          <t>관우</t>
        </is>
      </c>
      <c r="O41" s="2" t="inlineStr">
        <is>
          <t>통솔</t>
        </is>
      </c>
      <c r="P41" s="2" t="n">
        <v>2</v>
      </c>
      <c r="Q41" s="4" t="n"/>
      <c r="R41" s="2" t="n"/>
      <c r="S41" s="2" t="n"/>
      <c r="T41" s="2" t="n"/>
    </row>
    <row r="42" ht="32" customHeight="1">
      <c r="A42" s="2" t="n">
        <v>41</v>
      </c>
      <c r="B42" s="2" t="inlineStr">
        <is>
          <t>③ 관도 (200~207)</t>
        </is>
      </c>
      <c r="C42" s="3" t="inlineStr">
        <is>
          <t>고성의 재회</t>
        </is>
      </c>
      <c r="D42" s="2" t="inlineStr">
        <is>
          <t>古城相會</t>
        </is>
      </c>
      <c r="E42" s="4">
        <f>INDEX(칸!$I$2:$I$416,MATCH(A42,칸!$A$2:$A$416,1))</f>
        <v/>
      </c>
      <c r="F42" s="4" t="inlineStr">
        <is>
          <t>흩어졌던 형제와 장수들이 고성에서 다시 모였다.</t>
        </is>
      </c>
      <c r="G42" s="4" t="inlineStr">
        <is>
          <t>여남을 떠돌던 유비, 고성을 차지한 장비, 천리를 달려온 관우가 마침내 고성에서 다시 만났다. 조운 · 주창 · 손건 · 간옹 · 미축도 모여들어, 흩어졌던 유비 집단이 다시 섰다.</t>
        </is>
      </c>
      <c r="H42" s="2">
        <f>COUNTIF(칸!$A$2:$A$416,A42)</f>
        <v/>
      </c>
      <c r="I42" s="2">
        <f>SUMIF(칸!$A$2:$A$416,A42,칸!$H$2:$H$416)</f>
        <v/>
      </c>
      <c r="J42" s="2">
        <f>INDEX(비용표!$A$13:$A$17,MATCH(I42,비용표!$B$13:$B$17,1))</f>
        <v/>
      </c>
      <c r="K42" s="2">
        <f>INDEX(비용표!$C$13:$C$17,MATCH(I42,비용표!$B$13:$B$17,1))</f>
        <v/>
      </c>
      <c r="L42" s="4" t="inlineStr">
        <is>
          <t>관우 함께 참전 시 주창 통솔+2</t>
        </is>
      </c>
      <c r="M42" s="2" t="inlineStr">
        <is>
          <t>능력치</t>
        </is>
      </c>
      <c r="N42" s="2" t="inlineStr">
        <is>
          <t>주창</t>
        </is>
      </c>
      <c r="O42" s="2" t="inlineStr">
        <is>
          <t>통솔</t>
        </is>
      </c>
      <c r="P42" s="2" t="n">
        <v>2</v>
      </c>
      <c r="Q42" s="4" t="inlineStr">
        <is>
          <t>관우</t>
        </is>
      </c>
      <c r="R42" s="2" t="n"/>
      <c r="S42" s="2" t="n"/>
      <c r="T42" s="2" t="n"/>
    </row>
    <row r="43" ht="32" customHeight="1">
      <c r="A43" s="2" t="n">
        <v>42</v>
      </c>
      <c r="B43" s="2" t="inlineStr">
        <is>
          <t>③ 관도 (200~207)</t>
        </is>
      </c>
      <c r="C43" s="3" t="inlineStr">
        <is>
          <t>발시담정</t>
        </is>
      </c>
      <c r="D43" s="2" t="inlineStr">
        <is>
          <t>拔矢啖睛</t>
        </is>
      </c>
      <c r="E43" s="4">
        <f>INDEX(칸!$I$2:$I$416,MATCH(A43,칸!$A$2:$A$416,1))</f>
        <v/>
      </c>
      <c r="F43" s="4" t="inlineStr">
        <is>
          <t>눈에 박힌 화살을 뽑아 「부모의 정혈을 버릴 수 없다」며 삼켰다.</t>
        </is>
      </c>
      <c r="G43" s="4" t="inlineStr">
        <is>
          <t>여포와 싸우던 하후돈은 조성의 화살에 왼눈을 맞았다. 연의는 그가 화살을 뽑으며 딸려 나온 눈알을 「부모의 정혈을 버릴 수 없다」며 삼키고 조성을 찔러 죽였다고 전한다.</t>
        </is>
      </c>
      <c r="H43" s="2">
        <f>COUNTIF(칸!$A$2:$A$416,A43)</f>
        <v/>
      </c>
      <c r="I43" s="2">
        <f>SUMIF(칸!$A$2:$A$416,A43,칸!$H$2:$H$416)</f>
        <v/>
      </c>
      <c r="J43" s="2">
        <f>INDEX(비용표!$A$13:$A$17,MATCH(I43,비용표!$B$13:$B$17,1))</f>
        <v/>
      </c>
      <c r="K43" s="2">
        <f>INDEX(비용표!$C$13:$C$17,MATCH(I43,비용표!$B$13:$B$17,1))</f>
        <v/>
      </c>
      <c r="L43" s="4" t="inlineStr">
        <is>
          <t>하후돈 무력+1</t>
        </is>
      </c>
      <c r="M43" s="2" t="inlineStr">
        <is>
          <t>능력치</t>
        </is>
      </c>
      <c r="N43" s="2" t="inlineStr">
        <is>
          <t>하후돈</t>
        </is>
      </c>
      <c r="O43" s="2" t="inlineStr">
        <is>
          <t>무력</t>
        </is>
      </c>
      <c r="P43" s="2" t="n">
        <v>1</v>
      </c>
      <c r="Q43" s="4" t="n"/>
      <c r="R43" s="2" t="n"/>
      <c r="S43" s="2" t="n"/>
      <c r="T43" s="2" t="n"/>
    </row>
    <row r="44" ht="32" customHeight="1">
      <c r="A44" s="2" t="n">
        <v>43</v>
      </c>
      <c r="B44" s="2" t="inlineStr">
        <is>
          <t>③ 관도 (200~207)</t>
        </is>
      </c>
      <c r="C44" s="3" t="inlineStr">
        <is>
          <t>백랑산</t>
        </is>
      </c>
      <c r="D44" s="2" t="inlineStr">
        <is>
          <t>白狼山</t>
        </is>
      </c>
      <c r="E44" s="4">
        <f>INDEX(칸!$I$2:$I$416,MATCH(A44,칸!$A$2:$A$416,1))</f>
        <v/>
      </c>
      <c r="F44" s="4" t="inlineStr">
        <is>
          <t>먼 북방의 오환을 장료의 선봉이 무너뜨렸다.</t>
        </is>
      </c>
      <c r="G44" s="4" t="inlineStr">
        <is>
          <t>원씨 형제가 오환으로 달아나자 조조는 곽가의 권유로 먼 북방 원정에 나섰다. 백랑산에서 장료가 선봉을 맡아 오환의 선우 답돈을 베고 북방을 평정했다.</t>
        </is>
      </c>
      <c r="H44" s="2">
        <f>COUNTIF(칸!$A$2:$A$416,A44)</f>
        <v/>
      </c>
      <c r="I44" s="2">
        <f>SUMIF(칸!$A$2:$A$416,A44,칸!$H$2:$H$416)</f>
        <v/>
      </c>
      <c r="J44" s="2">
        <f>INDEX(비용표!$A$13:$A$17,MATCH(I44,비용표!$B$13:$B$17,1))</f>
        <v/>
      </c>
      <c r="K44" s="2">
        <f>INDEX(비용표!$C$13:$C$17,MATCH(I44,비용표!$B$13:$B$17,1))</f>
        <v/>
      </c>
      <c r="L44" s="4" t="inlineStr">
        <is>
          <t>장료 HP+1</t>
        </is>
      </c>
      <c r="M44" s="2" t="inlineStr">
        <is>
          <t>능력치</t>
        </is>
      </c>
      <c r="N44" s="2" t="inlineStr">
        <is>
          <t>장료</t>
        </is>
      </c>
      <c r="O44" s="2" t="inlineStr">
        <is>
          <t>HP</t>
        </is>
      </c>
      <c r="P44" s="2" t="n">
        <v>1</v>
      </c>
      <c r="Q44" s="4" t="n"/>
      <c r="R44" s="2" t="n"/>
      <c r="S44" s="2" t="n"/>
      <c r="T44" s="2" t="n"/>
    </row>
    <row r="45" ht="32" customHeight="1">
      <c r="A45" s="2" t="n">
        <v>44</v>
      </c>
      <c r="B45" s="2" t="inlineStr">
        <is>
          <t>④ 형주 · 적벽 (201~209)</t>
        </is>
      </c>
      <c r="C45" s="3" t="inlineStr">
        <is>
          <t>적로의 단계 도약</t>
        </is>
      </c>
      <c r="D45" s="2" t="inlineStr">
        <is>
          <t>躍馬檀溪</t>
        </is>
      </c>
      <c r="E45" s="4">
        <f>INDEX(칸!$I$2:$I$416,MATCH(A45,칸!$A$2:$A$416,1))</f>
        <v/>
      </c>
      <c r="F45" s="4" t="inlineStr">
        <is>
          <t>주인을 해친다는 흉마가 단계를 뛰어넘어 유비를 살렸다.</t>
        </is>
      </c>
      <c r="G45" s="4" t="inlineStr">
        <is>
          <t>형주의 연회에서 채모가 자신을 해치려는 것을 알아챈 유비는 말을 몰아 달아났다. 단계의 급류에 막히자 「적로야, 오늘 나를 해치려느냐」 외쳤고, 적로는 세 길을 뛰어 건넜다.</t>
        </is>
      </c>
      <c r="H45" s="2">
        <f>COUNTIF(칸!$A$2:$A$416,A45)</f>
        <v/>
      </c>
      <c r="I45" s="2">
        <f>SUMIF(칸!$A$2:$A$416,A45,칸!$H$2:$H$416)</f>
        <v/>
      </c>
      <c r="J45" s="2">
        <f>INDEX(비용표!$A$13:$A$17,MATCH(I45,비용표!$B$13:$B$17,1))</f>
        <v/>
      </c>
      <c r="K45" s="2">
        <f>INDEX(비용표!$C$13:$C$17,MATCH(I45,비용표!$B$13:$B$17,1))</f>
        <v/>
      </c>
      <c r="L45" s="4" t="inlineStr">
        <is>
          <t>유비 지력+2</t>
        </is>
      </c>
      <c r="M45" s="2" t="inlineStr">
        <is>
          <t>능력치</t>
        </is>
      </c>
      <c r="N45" s="2" t="inlineStr">
        <is>
          <t>유비</t>
        </is>
      </c>
      <c r="O45" s="2" t="inlineStr">
        <is>
          <t>지력</t>
        </is>
      </c>
      <c r="P45" s="2" t="n">
        <v>2</v>
      </c>
      <c r="Q45" s="4" t="n"/>
      <c r="R45" s="2" t="n"/>
      <c r="S45" s="2" t="n"/>
      <c r="T45" s="2" t="n"/>
    </row>
    <row r="46" ht="32" customHeight="1">
      <c r="A46" s="2" t="n">
        <v>45</v>
      </c>
      <c r="B46" s="2" t="inlineStr">
        <is>
          <t>④ 형주 · 적벽 (201~209)</t>
        </is>
      </c>
      <c r="C46" s="3" t="inlineStr">
        <is>
          <t>팔문금쇄진</t>
        </is>
      </c>
      <c r="D46" s="2" t="inlineStr">
        <is>
          <t>八門金鎖陣</t>
        </is>
      </c>
      <c r="E46" s="4">
        <f>INDEX(칸!$I$2:$I$416,MATCH(A46,칸!$A$2:$A$416,1))</f>
        <v/>
      </c>
      <c r="F46" s="4" t="inlineStr">
        <is>
          <t>서서는 조인의 진법을 한눈에 꿰뚫었다.</t>
        </is>
      </c>
      <c r="G46" s="4" t="inlineStr">
        <is>
          <t>신야를 친 조인이 팔문금쇄진을 펼쳤으나 유비의 군사 서서가 한눈에 꿰뚫었다. 생문으로 들어가 경문으로 나오게 하니 진은 무너지고, 조인은 크게 패했다.</t>
        </is>
      </c>
      <c r="H46" s="2">
        <f>COUNTIF(칸!$A$2:$A$416,A46)</f>
        <v/>
      </c>
      <c r="I46" s="2">
        <f>SUMIF(칸!$A$2:$A$416,A46,칸!$H$2:$H$416)</f>
        <v/>
      </c>
      <c r="J46" s="2">
        <f>INDEX(비용표!$A$13:$A$17,MATCH(I46,비용표!$B$13:$B$17,1))</f>
        <v/>
      </c>
      <c r="K46" s="2">
        <f>INDEX(비용표!$C$13:$C$17,MATCH(I46,비용표!$B$13:$B$17,1))</f>
        <v/>
      </c>
      <c r="L46" s="4" t="inlineStr">
        <is>
          <t>적진에 조인 시 서서 통솔+2</t>
        </is>
      </c>
      <c r="M46" s="2" t="inlineStr">
        <is>
          <t>능력치</t>
        </is>
      </c>
      <c r="N46" s="2" t="inlineStr">
        <is>
          <t>서서</t>
        </is>
      </c>
      <c r="O46" s="2" t="inlineStr">
        <is>
          <t>통솔</t>
        </is>
      </c>
      <c r="P46" s="2" t="n">
        <v>2</v>
      </c>
      <c r="Q46" s="4" t="n"/>
      <c r="R46" s="2" t="n"/>
      <c r="S46" s="2" t="inlineStr">
        <is>
          <t>조인</t>
        </is>
      </c>
      <c r="T46" s="2" t="n"/>
    </row>
    <row r="47" ht="32" customHeight="1">
      <c r="A47" s="2" t="n">
        <v>46</v>
      </c>
      <c r="B47" s="2" t="inlineStr">
        <is>
          <t>④ 형주 · 적벽 (201~209)</t>
        </is>
      </c>
      <c r="C47" s="3" t="inlineStr">
        <is>
          <t>서서의 어머니</t>
        </is>
      </c>
      <c r="D47" s="2" t="inlineStr">
        <is>
          <t>徐母之書</t>
        </is>
      </c>
      <c r="E47" s="4">
        <f>INDEX(칸!$I$2:$I$416,MATCH(A47,칸!$A$2:$A$416,1))</f>
        <v/>
      </c>
      <c r="F47" s="4" t="inlineStr">
        <is>
          <t>거짓 편지 한 통에 서서는 유비를 떠났고 평생 계책을 내지 않았다.</t>
        </is>
      </c>
      <c r="G47" s="4" t="inlineStr">
        <is>
          <t>조조는 서서를 얻으려고 그 어머니를 잡아 두었다. 연의에서는 정욱이 어머니의 필적을 흉내 낸 가짜 편지를 보냈고, 서서는 떠나며 제갈량을 천거하고 평생 조조에게 계책을 내지 않았다.</t>
        </is>
      </c>
      <c r="H47" s="2">
        <f>COUNTIF(칸!$A$2:$A$416,A47)</f>
        <v/>
      </c>
      <c r="I47" s="2">
        <f>SUMIF(칸!$A$2:$A$416,A47,칸!$H$2:$H$416)</f>
        <v/>
      </c>
      <c r="J47" s="2">
        <f>INDEX(비용표!$A$13:$A$17,MATCH(I47,비용표!$B$13:$B$17,1))</f>
        <v/>
      </c>
      <c r="K47" s="2">
        <f>INDEX(비용표!$C$13:$C$17,MATCH(I47,비용표!$B$13:$B$17,1))</f>
        <v/>
      </c>
      <c r="L47" s="4" t="inlineStr">
        <is>
          <t>정욱 MP+1</t>
        </is>
      </c>
      <c r="M47" s="2" t="inlineStr">
        <is>
          <t>능력치</t>
        </is>
      </c>
      <c r="N47" s="2" t="inlineStr">
        <is>
          <t>정욱</t>
        </is>
      </c>
      <c r="O47" s="2" t="inlineStr">
        <is>
          <t>MP</t>
        </is>
      </c>
      <c r="P47" s="2" t="n">
        <v>1</v>
      </c>
      <c r="Q47" s="4" t="n"/>
      <c r="R47" s="2" t="n"/>
      <c r="S47" s="2" t="n"/>
      <c r="T47" s="2" t="n"/>
    </row>
    <row r="48" ht="32" customHeight="1">
      <c r="A48" s="2" t="n">
        <v>47</v>
      </c>
      <c r="B48" s="2" t="inlineStr">
        <is>
          <t>④ 형주 · 적벽 (201~209)</t>
        </is>
      </c>
      <c r="C48" s="3" t="inlineStr">
        <is>
          <t>삼고초려</t>
        </is>
      </c>
      <c r="D48" s="2" t="inlineStr">
        <is>
          <t>三顧草廬</t>
        </is>
      </c>
      <c r="E48" s="4">
        <f>INDEX(칸!$I$2:$I$416,MATCH(A48,칸!$A$2:$A$416,1))</f>
        <v/>
      </c>
      <c r="F48" s="4" t="inlineStr">
        <is>
          <t>세 번 찾아간 끝에 와룡이 융중을 나섰다.</t>
        </is>
      </c>
      <c r="G48" s="4" t="inlineStr">
        <is>
          <t>서서의 천거로 유비는 관우 · 장비와 함께 융중의 초가를 찾았다. 두 번 허탕을 치고 눈보라 속에 세 번째 찾아가서야 제갈량을 만났고, 와룡은 비로소 산을 나섰다.</t>
        </is>
      </c>
      <c r="H48" s="2">
        <f>COUNTIF(칸!$A$2:$A$416,A48)</f>
        <v/>
      </c>
      <c r="I48" s="2">
        <f>SUMIF(칸!$A$2:$A$416,A48,칸!$H$2:$H$416)</f>
        <v/>
      </c>
      <c r="J48" s="2">
        <f>INDEX(비용표!$A$13:$A$17,MATCH(I48,비용표!$B$13:$B$17,1))</f>
        <v/>
      </c>
      <c r="K48" s="2">
        <f>INDEX(비용표!$C$13:$C$17,MATCH(I48,비용표!$B$13:$B$17,1))</f>
        <v/>
      </c>
      <c r="L48" s="4" t="inlineStr">
        <is>
          <t>유비의 「삼고초려」 SP 6 → 5</t>
        </is>
      </c>
      <c r="M48" s="2" t="inlineStr">
        <is>
          <t>고유기술SP</t>
        </is>
      </c>
      <c r="N48" s="2" t="inlineStr">
        <is>
          <t>유비</t>
        </is>
      </c>
      <c r="O48" s="2" t="n"/>
      <c r="P48" s="2" t="n">
        <v>-1</v>
      </c>
      <c r="Q48" s="4" t="n"/>
      <c r="R48" s="2" t="n"/>
      <c r="S48" s="2" t="n"/>
      <c r="T48" s="2" t="n"/>
    </row>
    <row r="49" ht="32" customHeight="1">
      <c r="A49" s="2" t="n">
        <v>48</v>
      </c>
      <c r="B49" s="2" t="inlineStr">
        <is>
          <t>④ 형주 · 적벽 (201~209)</t>
        </is>
      </c>
      <c r="C49" s="3" t="inlineStr">
        <is>
          <t>박망파의 불</t>
        </is>
      </c>
      <c r="D49" s="2" t="inlineStr">
        <is>
          <t>火燒博望坡</t>
        </is>
      </c>
      <c r="E49" s="4">
        <f>INDEX(칸!$I$2:$I$416,MATCH(A49,칸!$A$2:$A$416,1))</f>
        <v/>
      </c>
      <c r="F49" s="4" t="inlineStr">
        <is>
          <t>출사 후 첫 계책. 박망파의 갈대숲이 불타올랐다.</t>
        </is>
      </c>
      <c r="G49" s="4" t="inlineStr">
        <is>
          <t>하후돈이 신야로 쳐들어오자, 출사 직후의 제갈량이 박망파의 갈대숲에 불을 놓았다. 관우 · 장비 · 조운이 길목을 끊으니 하후돈은 크게 패했고, 관우 · 장비는 그제야 제갈량을 믿었다.</t>
        </is>
      </c>
      <c r="H49" s="2">
        <f>COUNTIF(칸!$A$2:$A$416,A49)</f>
        <v/>
      </c>
      <c r="I49" s="2">
        <f>SUMIF(칸!$A$2:$A$416,A49,칸!$H$2:$H$416)</f>
        <v/>
      </c>
      <c r="J49" s="2">
        <f>INDEX(비용표!$A$13:$A$17,MATCH(I49,비용표!$B$13:$B$17,1))</f>
        <v/>
      </c>
      <c r="K49" s="2">
        <f>INDEX(비용표!$C$13:$C$17,MATCH(I49,비용표!$B$13:$B$17,1))</f>
        <v/>
      </c>
      <c r="L49" s="4" t="inlineStr">
        <is>
          <t>제갈량 MP+1</t>
        </is>
      </c>
      <c r="M49" s="2" t="inlineStr">
        <is>
          <t>능력치</t>
        </is>
      </c>
      <c r="N49" s="2" t="inlineStr">
        <is>
          <t>제갈량</t>
        </is>
      </c>
      <c r="O49" s="2" t="inlineStr">
        <is>
          <t>MP</t>
        </is>
      </c>
      <c r="P49" s="2" t="n">
        <v>1</v>
      </c>
      <c r="Q49" s="4" t="n"/>
      <c r="R49" s="2" t="n"/>
      <c r="S49" s="2" t="n"/>
      <c r="T49" s="2" t="n"/>
    </row>
    <row r="50" ht="32" customHeight="1">
      <c r="A50" s="2" t="n">
        <v>49</v>
      </c>
      <c r="B50" s="2" t="inlineStr">
        <is>
          <t>④ 형주 · 적벽 (201~209)</t>
        </is>
      </c>
      <c r="C50" s="3" t="inlineStr">
        <is>
          <t>형주의 항복</t>
        </is>
      </c>
      <c r="D50" s="2" t="inlineStr">
        <is>
          <t>荊州投降</t>
        </is>
      </c>
      <c r="E50" s="4">
        <f>INDEX(칸!$I$2:$I$416,MATCH(A50,칸!$A$2:$A$416,1))</f>
        <v/>
      </c>
      <c r="F50" s="4" t="inlineStr">
        <is>
          <t>유표가 죽자 채모는 어린 유종을 앞세워 형주를 조조에게 바쳤다.</t>
        </is>
      </c>
      <c r="G50" s="4" t="inlineStr">
        <is>
          <t>유표가 죽자 채모와 괴월은 어린 유종을 세우고 형주를 조조에게 바쳤다. 싸우지 않고 형주를 얻은 조조는 유비를 쫓아 남으로 내려왔다.</t>
        </is>
      </c>
      <c r="H50" s="2">
        <f>COUNTIF(칸!$A$2:$A$416,A50)</f>
        <v/>
      </c>
      <c r="I50" s="2">
        <f>SUMIF(칸!$A$2:$A$416,A50,칸!$H$2:$H$416)</f>
        <v/>
      </c>
      <c r="J50" s="2">
        <f>INDEX(비용표!$A$13:$A$17,MATCH(I50,비용표!$B$13:$B$17,1))</f>
        <v/>
      </c>
      <c r="K50" s="2">
        <f>INDEX(비용표!$C$13:$C$17,MATCH(I50,비용표!$B$13:$B$17,1))</f>
        <v/>
      </c>
      <c r="L50" s="4" t="inlineStr">
        <is>
          <t>채모 지력+1</t>
        </is>
      </c>
      <c r="M50" s="2" t="inlineStr">
        <is>
          <t>능력치</t>
        </is>
      </c>
      <c r="N50" s="2" t="inlineStr">
        <is>
          <t>채모</t>
        </is>
      </c>
      <c r="O50" s="2" t="inlineStr">
        <is>
          <t>지력</t>
        </is>
      </c>
      <c r="P50" s="2" t="n">
        <v>1</v>
      </c>
      <c r="Q50" s="4" t="n"/>
      <c r="R50" s="2" t="n"/>
      <c r="S50" s="2" t="n"/>
      <c r="T50" s="2" t="n"/>
    </row>
    <row r="51" ht="32" customHeight="1">
      <c r="A51" s="2" t="n">
        <v>50</v>
      </c>
      <c r="B51" s="2" t="inlineStr">
        <is>
          <t>④ 형주 · 적벽 (201~209)</t>
        </is>
      </c>
      <c r="C51" s="3" t="inlineStr">
        <is>
          <t>장판파 단기구주</t>
        </is>
      </c>
      <c r="D51" s="2" t="inlineStr">
        <is>
          <t>長坂坡單騎救主</t>
        </is>
      </c>
      <c r="E51" s="4">
        <f>INDEX(칸!$I$2:$I$416,MATCH(A51,칸!$A$2:$A$416,1))</f>
        <v/>
      </c>
      <c r="F51" s="4" t="inlineStr">
        <is>
          <t>조운은 아두를 품고 조조의 백만 대군 사이를 홀로 지났다.</t>
        </is>
      </c>
      <c r="G51" s="4" t="inlineStr">
        <is>
          <t>장판에서 조조군에 따라잡혀 유비의 가솔이 흩어졌다. 조운은 홀로 적진을 오가며 어린 아두를 품에 안고 빠져나왔고, 그 길에 하후은의 청강검을 빼앗았다.</t>
        </is>
      </c>
      <c r="H51" s="2">
        <f>COUNTIF(칸!$A$2:$A$416,A51)</f>
        <v/>
      </c>
      <c r="I51" s="2">
        <f>SUMIF(칸!$A$2:$A$416,A51,칸!$H$2:$H$416)</f>
        <v/>
      </c>
      <c r="J51" s="2">
        <f>INDEX(비용표!$A$13:$A$17,MATCH(I51,비용표!$B$13:$B$17,1))</f>
        <v/>
      </c>
      <c r="K51" s="2">
        <f>INDEX(비용표!$C$13:$C$17,MATCH(I51,비용표!$B$13:$B$17,1))</f>
        <v/>
      </c>
      <c r="L51" s="4" t="inlineStr">
        <is>
          <t>조운 통솔+2</t>
        </is>
      </c>
      <c r="M51" s="2" t="inlineStr">
        <is>
          <t>능력치</t>
        </is>
      </c>
      <c r="N51" s="2" t="inlineStr">
        <is>
          <t>조운</t>
        </is>
      </c>
      <c r="O51" s="2" t="inlineStr">
        <is>
          <t>통솔</t>
        </is>
      </c>
      <c r="P51" s="2" t="n">
        <v>2</v>
      </c>
      <c r="Q51" s="4" t="n"/>
      <c r="R51" s="2" t="n"/>
      <c r="S51" s="2" t="n"/>
      <c r="T51" s="2" t="n"/>
    </row>
    <row r="52" ht="32" customHeight="1">
      <c r="A52" s="2" t="n">
        <v>51</v>
      </c>
      <c r="B52" s="2" t="inlineStr">
        <is>
          <t>④ 형주 · 적벽 (201~209)</t>
        </is>
      </c>
      <c r="C52" s="3" t="inlineStr">
        <is>
          <t>장판교의 일갈</t>
        </is>
      </c>
      <c r="D52" s="2" t="inlineStr">
        <is>
          <t>長坂橋喝</t>
        </is>
      </c>
      <c r="E52" s="4">
        <f>INDEX(칸!$I$2:$I$416,MATCH(A52,칸!$A$2:$A$416,1))</f>
        <v/>
      </c>
      <c r="F52" s="4" t="inlineStr">
        <is>
          <t>「내가 연인 장익덕이다!」 — 하후걸은 그 소리에 말에서 떨어졌다.</t>
        </is>
      </c>
      <c r="G52" s="4" t="inlineStr">
        <is>
          <t>장판교에 홀로 선 장비가 장팔사모를 비껴들고 「내가 연인 장익덕이다!」 외쳤다. 하후걸이 놀라 말에서 떨어지자 조조군은 다리 앞에서 물러났고, 장비는 다리를 끊고 돌아갔다.</t>
        </is>
      </c>
      <c r="H52" s="2">
        <f>COUNTIF(칸!$A$2:$A$416,A52)</f>
        <v/>
      </c>
      <c r="I52" s="2">
        <f>SUMIF(칸!$A$2:$A$416,A52,칸!$H$2:$H$416)</f>
        <v/>
      </c>
      <c r="J52" s="2">
        <f>INDEX(비용표!$A$13:$A$17,MATCH(I52,비용표!$B$13:$B$17,1))</f>
        <v/>
      </c>
      <c r="K52" s="2">
        <f>INDEX(비용표!$C$13:$C$17,MATCH(I52,비용표!$B$13:$B$17,1))</f>
        <v/>
      </c>
      <c r="L52" s="4" t="inlineStr">
        <is>
          <t>장비의 「장판하뢰」 SP 6 → 5</t>
        </is>
      </c>
      <c r="M52" s="2" t="inlineStr">
        <is>
          <t>고유기술SP</t>
        </is>
      </c>
      <c r="N52" s="2" t="inlineStr">
        <is>
          <t>장비</t>
        </is>
      </c>
      <c r="O52" s="2" t="n"/>
      <c r="P52" s="2" t="n">
        <v>-1</v>
      </c>
      <c r="Q52" s="4" t="n"/>
      <c r="R52" s="2" t="n"/>
      <c r="S52" s="2" t="n"/>
      <c r="T52" s="2" t="n"/>
    </row>
    <row r="53" ht="32" customHeight="1">
      <c r="A53" s="2" t="n">
        <v>52</v>
      </c>
      <c r="B53" s="2" t="inlineStr">
        <is>
          <t>④ 형주 · 적벽 (201~209)</t>
        </is>
      </c>
      <c r="C53" s="3" t="inlineStr">
        <is>
          <t>상옥추제</t>
        </is>
      </c>
      <c r="D53" s="2" t="inlineStr">
        <is>
          <t>上屋抽梯</t>
        </is>
      </c>
      <c r="E53" s="4">
        <f>INDEX(칸!$I$2:$I$416,MATCH(A53,칸!$A$2:$A$416,1))</f>
        <v/>
      </c>
      <c r="F53" s="4" t="inlineStr">
        <is>
          <t>누각에 오르자 사다리가 치워졌다. 유기는 그제야 살 길을 물었다.</t>
        </is>
      </c>
      <c r="G53" s="4" t="inlineStr">
        <is>
          <t>계모 채씨의 견제에 목숨이 위태롭던 유표의 장자 유기는 제갈량을 누각으로 이끌고 사다리를 치웠다. 그제야 제갈량은 「밖으로 나가 강하를 지키라」는 계책을 일러 주었다.</t>
        </is>
      </c>
      <c r="H53" s="2">
        <f>COUNTIF(칸!$A$2:$A$416,A53)</f>
        <v/>
      </c>
      <c r="I53" s="2">
        <f>SUMIF(칸!$A$2:$A$416,A53,칸!$H$2:$H$416)</f>
        <v/>
      </c>
      <c r="J53" s="2">
        <f>INDEX(비용표!$A$13:$A$17,MATCH(I53,비용표!$B$13:$B$17,1))</f>
        <v/>
      </c>
      <c r="K53" s="2">
        <f>INDEX(비용표!$C$13:$C$17,MATCH(I53,비용표!$B$13:$B$17,1))</f>
        <v/>
      </c>
      <c r="L53" s="4" t="inlineStr">
        <is>
          <t>유기 HP+1</t>
        </is>
      </c>
      <c r="M53" s="2" t="inlineStr">
        <is>
          <t>능력치</t>
        </is>
      </c>
      <c r="N53" s="2" t="inlineStr">
        <is>
          <t>유기</t>
        </is>
      </c>
      <c r="O53" s="2" t="inlineStr">
        <is>
          <t>HP</t>
        </is>
      </c>
      <c r="P53" s="2" t="n">
        <v>1</v>
      </c>
      <c r="Q53" s="4" t="n"/>
      <c r="R53" s="2" t="n"/>
      <c r="S53" s="2" t="n"/>
      <c r="T53" s="2" t="n"/>
    </row>
    <row r="54" ht="32" customHeight="1">
      <c r="A54" s="2" t="n">
        <v>53</v>
      </c>
      <c r="B54" s="2" t="inlineStr">
        <is>
          <t>④ 형주 · 적벽 (201~209)</t>
        </is>
      </c>
      <c r="C54" s="3" t="inlineStr">
        <is>
          <t>노숙의 합종</t>
        </is>
      </c>
      <c r="D54" s="2" t="inlineStr">
        <is>
          <t>魯肅聯劉</t>
        </is>
      </c>
      <c r="E54" s="4">
        <f>INDEX(칸!$I$2:$I$416,MATCH(A54,칸!$A$2:$A$416,1))</f>
        <v/>
      </c>
      <c r="F54" s="4" t="inlineStr">
        <is>
          <t>조문을 핑계로 형주에 온 노숙은 유비와 손을 잡자 했다.</t>
        </is>
      </c>
      <c r="G54" s="4" t="inlineStr">
        <is>
          <t>유표의 조문을 핑계로 형주에 온 노숙은 장판에서 쫓기던 유비를 만나 손권과 손을 잡자 했다. 그 길로 제갈량이 노숙을 따라 강동으로 건너가니, 적벽의 동맹이 여기서 시작되었다.</t>
        </is>
      </c>
      <c r="H54" s="2">
        <f>COUNTIF(칸!$A$2:$A$416,A54)</f>
        <v/>
      </c>
      <c r="I54" s="2">
        <f>SUMIF(칸!$A$2:$A$416,A54,칸!$H$2:$H$416)</f>
        <v/>
      </c>
      <c r="J54" s="2">
        <f>INDEX(비용표!$A$13:$A$17,MATCH(I54,비용표!$B$13:$B$17,1))</f>
        <v/>
      </c>
      <c r="K54" s="2">
        <f>INDEX(비용표!$C$13:$C$17,MATCH(I54,비용표!$B$13:$B$17,1))</f>
        <v/>
      </c>
      <c r="L54" s="4" t="inlineStr">
        <is>
          <t>노숙 지력+1</t>
        </is>
      </c>
      <c r="M54" s="2" t="inlineStr">
        <is>
          <t>능력치</t>
        </is>
      </c>
      <c r="N54" s="2" t="inlineStr">
        <is>
          <t>노숙</t>
        </is>
      </c>
      <c r="O54" s="2" t="inlineStr">
        <is>
          <t>지력</t>
        </is>
      </c>
      <c r="P54" s="2" t="n">
        <v>1</v>
      </c>
      <c r="Q54" s="4" t="n"/>
      <c r="R54" s="2" t="n"/>
      <c r="S54" s="2" t="n"/>
      <c r="T54" s="2" t="n"/>
    </row>
    <row r="55" ht="32" customHeight="1">
      <c r="A55" s="2" t="n">
        <v>54</v>
      </c>
      <c r="B55" s="2" t="inlineStr">
        <is>
          <t>④ 형주 · 적벽 (201~209)</t>
        </is>
      </c>
      <c r="C55" s="3" t="inlineStr">
        <is>
          <t>설전군유</t>
        </is>
      </c>
      <c r="D55" s="2" t="inlineStr">
        <is>
          <t>舌戰群儒</t>
        </is>
      </c>
      <c r="E55" s="4">
        <f>INDEX(칸!$I$2:$I$416,MATCH(A55,칸!$A$2:$A$416,1))</f>
        <v/>
      </c>
      <c r="F55" s="4" t="inlineStr">
        <is>
          <t>항복을 주장하는 강동의 선비들을 제갈량이 말로 꺾었다.</t>
        </is>
      </c>
      <c r="G55" s="4" t="inlineStr">
        <is>
          <t>항복을 주장하는 강동의 선비들이 시상에 온 제갈량을 둘러싸고 따져 물었다. 장소 · 우번 · 보즐 · 설종 · 육적 · 엄준이 차례로 나섰으나, 제갈량은 하나하나 말로 꺾었다.</t>
        </is>
      </c>
      <c r="H55" s="2">
        <f>COUNTIF(칸!$A$2:$A$416,A55)</f>
        <v/>
      </c>
      <c r="I55" s="2">
        <f>SUMIF(칸!$A$2:$A$416,A55,칸!$H$2:$H$416)</f>
        <v/>
      </c>
      <c r="J55" s="2">
        <f>INDEX(비용표!$A$13:$A$17,MATCH(I55,비용표!$B$13:$B$17,1))</f>
        <v/>
      </c>
      <c r="K55" s="2">
        <f>INDEX(비용표!$C$13:$C$17,MATCH(I55,비용표!$B$13:$B$17,1))</f>
        <v/>
      </c>
      <c r="L55" s="4" t="inlineStr">
        <is>
          <t>태학 연구 시간 −5%</t>
        </is>
      </c>
      <c r="M55" s="2" t="inlineStr">
        <is>
          <t>도시</t>
        </is>
      </c>
      <c r="N55" s="2" t="n"/>
      <c r="O55" s="2" t="n"/>
      <c r="P55" s="2" t="n">
        <v>5</v>
      </c>
      <c r="Q55" s="4" t="n"/>
      <c r="R55" s="2" t="n"/>
      <c r="S55" s="2" t="n"/>
      <c r="T55" s="2" t="inlineStr">
        <is>
          <t>research</t>
        </is>
      </c>
    </row>
    <row r="56" ht="32" customHeight="1">
      <c r="A56" s="2" t="n">
        <v>55</v>
      </c>
      <c r="B56" s="2" t="inlineStr">
        <is>
          <t>④ 형주 · 적벽 (201~209)</t>
        </is>
      </c>
      <c r="C56" s="3" t="inlineStr">
        <is>
          <t>책상을 베다</t>
        </is>
      </c>
      <c r="D56" s="2" t="inlineStr">
        <is>
          <t>斫案決戰</t>
        </is>
      </c>
      <c r="E56" s="4">
        <f>INDEX(칸!$I$2:$I$416,MATCH(A56,칸!$A$2:$A$416,1))</f>
        <v/>
      </c>
      <c r="F56" s="4" t="inlineStr">
        <is>
          <t>「다시 항복을 말하는 자는 이 책상과 같으리라.」</t>
        </is>
      </c>
      <c r="G56" s="4" t="inlineStr">
        <is>
          <t>조조의 대군 앞에서 조정이 항복론으로 기울자, 손권은 칼을 뽑아 책상 모서리를 베었다. 「다시 항복을 말하는 자는 이 책상과 같으리라」 — 강동은 싸우기로 했다.</t>
        </is>
      </c>
      <c r="H56" s="2">
        <f>COUNTIF(칸!$A$2:$A$416,A56)</f>
        <v/>
      </c>
      <c r="I56" s="2">
        <f>SUMIF(칸!$A$2:$A$416,A56,칸!$H$2:$H$416)</f>
        <v/>
      </c>
      <c r="J56" s="2">
        <f>INDEX(비용표!$A$13:$A$17,MATCH(I56,비용표!$B$13:$B$17,1))</f>
        <v/>
      </c>
      <c r="K56" s="2">
        <f>INDEX(비용표!$C$13:$C$17,MATCH(I56,비용표!$B$13:$B$17,1))</f>
        <v/>
      </c>
      <c r="L56" s="4" t="inlineStr">
        <is>
          <t>손권 지력+1</t>
        </is>
      </c>
      <c r="M56" s="2" t="inlineStr">
        <is>
          <t>능력치</t>
        </is>
      </c>
      <c r="N56" s="2" t="inlineStr">
        <is>
          <t>손권</t>
        </is>
      </c>
      <c r="O56" s="2" t="inlineStr">
        <is>
          <t>지력</t>
        </is>
      </c>
      <c r="P56" s="2" t="n">
        <v>1</v>
      </c>
      <c r="Q56" s="4" t="n"/>
      <c r="R56" s="2" t="n"/>
      <c r="S56" s="2" t="n"/>
      <c r="T56" s="2" t="n"/>
    </row>
    <row r="57" ht="32" customHeight="1">
      <c r="A57" s="2" t="n">
        <v>56</v>
      </c>
      <c r="B57" s="2" t="inlineStr">
        <is>
          <t>④ 형주 · 적벽 (201~209)</t>
        </is>
      </c>
      <c r="C57" s="3" t="inlineStr">
        <is>
          <t>군영회</t>
        </is>
      </c>
      <c r="D57" s="2" t="inlineStr">
        <is>
          <t>群英會</t>
        </is>
      </c>
      <c r="E57" s="4">
        <f>INDEX(칸!$I$2:$I$416,MATCH(A57,칸!$A$2:$A$416,1))</f>
        <v/>
      </c>
      <c r="F57" s="4" t="inlineStr">
        <is>
          <t>술 취한 척 흘린 가짜 편지 한 통에 수군 도독 둘이 목을 잃었다.</t>
        </is>
      </c>
      <c r="G57" s="4" t="inlineStr">
        <is>
          <t>조조의 사자로 온 옛 친구 장간을 주유는 반갑게 맞아 군영회를 열었다. 취한 척 잠든 주유 곁에서 장간은 채모 · 장윤의 가짜 내통 편지를 훔쳐 갔고, 조조는 수군 도독 둘을 베었다.</t>
        </is>
      </c>
      <c r="H57" s="2">
        <f>COUNTIF(칸!$A$2:$A$416,A57)</f>
        <v/>
      </c>
      <c r="I57" s="2">
        <f>SUMIF(칸!$A$2:$A$416,A57,칸!$H$2:$H$416)</f>
        <v/>
      </c>
      <c r="J57" s="2">
        <f>INDEX(비용표!$A$13:$A$17,MATCH(I57,비용표!$B$13:$B$17,1))</f>
        <v/>
      </c>
      <c r="K57" s="2">
        <f>INDEX(비용표!$C$13:$C$17,MATCH(I57,비용표!$B$13:$B$17,1))</f>
        <v/>
      </c>
      <c r="L57" s="4" t="inlineStr">
        <is>
          <t>주유 통솔+1</t>
        </is>
      </c>
      <c r="M57" s="2" t="inlineStr">
        <is>
          <t>능력치</t>
        </is>
      </c>
      <c r="N57" s="2" t="inlineStr">
        <is>
          <t>주유</t>
        </is>
      </c>
      <c r="O57" s="2" t="inlineStr">
        <is>
          <t>통솔</t>
        </is>
      </c>
      <c r="P57" s="2" t="n">
        <v>1</v>
      </c>
      <c r="Q57" s="4" t="n"/>
      <c r="R57" s="2" t="n"/>
      <c r="S57" s="2" t="n"/>
      <c r="T57" s="2" t="n"/>
    </row>
    <row r="58" ht="32" customHeight="1">
      <c r="A58" s="2" t="n">
        <v>57</v>
      </c>
      <c r="B58" s="2" t="inlineStr">
        <is>
          <t>④ 형주 · 적벽 (201~209)</t>
        </is>
      </c>
      <c r="C58" s="3" t="inlineStr">
        <is>
          <t>초선차전</t>
        </is>
      </c>
      <c r="D58" s="2" t="inlineStr">
        <is>
          <t>草船借箭</t>
        </is>
      </c>
      <c r="E58" s="4">
        <f>INDEX(칸!$I$2:$I$416,MATCH(A58,칸!$A$2:$A$416,1))</f>
        <v/>
      </c>
      <c r="F58" s="4" t="inlineStr">
        <is>
          <t>안개 낀 강에 풀배를 띄워 사흘 만에 화살 십만 개를 얻었다.</t>
        </is>
      </c>
      <c r="G58" s="4" t="inlineStr">
        <is>
          <t>주유가 열흘 안에 화살 십만 개를 만들라 하자 제갈량은 사흘이면 된다고 했다. 안개 낀 밤 짚단을 세운 배 스무 척으로 조조의 수채에 다가가 북을 울리니, 화살이 배마다 가득 꽂혔다.</t>
        </is>
      </c>
      <c r="H58" s="2">
        <f>COUNTIF(칸!$A$2:$A$416,A58)</f>
        <v/>
      </c>
      <c r="I58" s="2">
        <f>SUMIF(칸!$A$2:$A$416,A58,칸!$H$2:$H$416)</f>
        <v/>
      </c>
      <c r="J58" s="2">
        <f>INDEX(비용표!$A$13:$A$17,MATCH(I58,비용표!$B$13:$B$17,1))</f>
        <v/>
      </c>
      <c r="K58" s="2">
        <f>INDEX(비용표!$C$13:$C$17,MATCH(I58,비용표!$B$13:$B$17,1))</f>
        <v/>
      </c>
      <c r="L58" s="4" t="inlineStr">
        <is>
          <t>대장간 제조 시간 −10%</t>
        </is>
      </c>
      <c r="M58" s="2" t="inlineStr">
        <is>
          <t>도시</t>
        </is>
      </c>
      <c r="N58" s="2" t="n"/>
      <c r="O58" s="2" t="n"/>
      <c r="P58" s="2" t="n">
        <v>10</v>
      </c>
      <c r="Q58" s="4" t="n"/>
      <c r="R58" s="2" t="n"/>
      <c r="S58" s="2" t="n"/>
      <c r="T58" s="2" t="inlineStr">
        <is>
          <t>forge</t>
        </is>
      </c>
    </row>
    <row r="59" ht="32" customHeight="1">
      <c r="A59" s="2" t="n">
        <v>58</v>
      </c>
      <c r="B59" s="2" t="inlineStr">
        <is>
          <t>④ 형주 · 적벽 (201~209)</t>
        </is>
      </c>
      <c r="C59" s="3" t="inlineStr">
        <is>
          <t>고육지책</t>
        </is>
      </c>
      <c r="D59" s="2" t="inlineStr">
        <is>
          <t>苦肉計</t>
        </is>
      </c>
      <c r="E59" s="4">
        <f>INDEX(칸!$I$2:$I$416,MATCH(A59,칸!$A$2:$A$416,1))</f>
        <v/>
      </c>
      <c r="F59" s="4" t="inlineStr">
        <is>
          <t>때리는 자와 맞는 자가 짜고 친 계책. 감택이 항서를 날랐다.</t>
        </is>
      </c>
      <c r="G59" s="4" t="inlineStr">
        <is>
          <t>조조를 속이려고 주유와 황개가 짜고 군령을 어긴 황개를 곤장으로 쳤다. 살이 터진 황개의 항서를 감택이 들고 가 조조를 믿게 했다 — 제 몸을 해쳐 적을 속인 계책이다.</t>
        </is>
      </c>
      <c r="H59" s="2">
        <f>COUNTIF(칸!$A$2:$A$416,A59)</f>
        <v/>
      </c>
      <c r="I59" s="2">
        <f>SUMIF(칸!$A$2:$A$416,A59,칸!$H$2:$H$416)</f>
        <v/>
      </c>
      <c r="J59" s="2">
        <f>INDEX(비용표!$A$13:$A$17,MATCH(I59,비용표!$B$13:$B$17,1))</f>
        <v/>
      </c>
      <c r="K59" s="2">
        <f>INDEX(비용표!$C$13:$C$17,MATCH(I59,비용표!$B$13:$B$17,1))</f>
        <v/>
      </c>
      <c r="L59" s="4" t="inlineStr">
        <is>
          <t>주유 함께 참전 시 황개 HP+2</t>
        </is>
      </c>
      <c r="M59" s="2" t="inlineStr">
        <is>
          <t>능력치</t>
        </is>
      </c>
      <c r="N59" s="2" t="inlineStr">
        <is>
          <t>황개</t>
        </is>
      </c>
      <c r="O59" s="2" t="inlineStr">
        <is>
          <t>HP</t>
        </is>
      </c>
      <c r="P59" s="2" t="n">
        <v>2</v>
      </c>
      <c r="Q59" s="4" t="inlineStr">
        <is>
          <t>주유</t>
        </is>
      </c>
      <c r="R59" s="2" t="n"/>
      <c r="S59" s="2" t="n"/>
      <c r="T59" s="2" t="n"/>
    </row>
    <row r="60" ht="32" customHeight="1">
      <c r="A60" s="2" t="n">
        <v>59</v>
      </c>
      <c r="B60" s="2" t="inlineStr">
        <is>
          <t>④ 형주 · 적벽 (201~209)</t>
        </is>
      </c>
      <c r="C60" s="3" t="inlineStr">
        <is>
          <t>방통의 연환계</t>
        </is>
      </c>
      <c r="D60" s="2" t="inlineStr">
        <is>
          <t>連環計</t>
        </is>
      </c>
      <c r="E60" s="4">
        <f>INDEX(칸!$I$2:$I$416,MATCH(A60,칸!$A$2:$A$416,1))</f>
        <v/>
      </c>
      <c r="F60" s="4" t="inlineStr">
        <is>
          <t>배를 쇠사슬로 묶으면 뱃멀미가 없다 — 그리고 불도 피할 수 없다.</t>
        </is>
      </c>
      <c r="G60" s="4" t="inlineStr">
        <is>
          <t>배멀미로 고생하는 조조에게 방통이 찾아와 배를 쇠사슬로 묶으라 권했다. 배는 땅처럼 단단해졌으나 불이 붙으면 피할 길이 없었다 — 적벽의 불은 여기서 이미 준비되었다.</t>
        </is>
      </c>
      <c r="H60" s="2">
        <f>COUNTIF(칸!$A$2:$A$416,A60)</f>
        <v/>
      </c>
      <c r="I60" s="2">
        <f>SUMIF(칸!$A$2:$A$416,A60,칸!$H$2:$H$416)</f>
        <v/>
      </c>
      <c r="J60" s="2">
        <f>INDEX(비용표!$A$13:$A$17,MATCH(I60,비용표!$B$13:$B$17,1))</f>
        <v/>
      </c>
      <c r="K60" s="2">
        <f>INDEX(비용표!$C$13:$C$17,MATCH(I60,비용표!$B$13:$B$17,1))</f>
        <v/>
      </c>
      <c r="L60" s="4" t="inlineStr">
        <is>
          <t>방통 MP+1</t>
        </is>
      </c>
      <c r="M60" s="2" t="inlineStr">
        <is>
          <t>능력치</t>
        </is>
      </c>
      <c r="N60" s="2" t="inlineStr">
        <is>
          <t>방통</t>
        </is>
      </c>
      <c r="O60" s="2" t="inlineStr">
        <is>
          <t>MP</t>
        </is>
      </c>
      <c r="P60" s="2" t="n">
        <v>1</v>
      </c>
      <c r="Q60" s="4" t="n"/>
      <c r="R60" s="2" t="n"/>
      <c r="S60" s="2" t="n"/>
      <c r="T60" s="2" t="n"/>
    </row>
    <row r="61" ht="32" customHeight="1">
      <c r="A61" s="2" t="n">
        <v>60</v>
      </c>
      <c r="B61" s="2" t="inlineStr">
        <is>
          <t>④ 형주 · 적벽 (201~209)</t>
        </is>
      </c>
      <c r="C61" s="3" t="inlineStr">
        <is>
          <t>칠성단의 동남풍</t>
        </is>
      </c>
      <c r="D61" s="2" t="inlineStr">
        <is>
          <t>七星壇祭風</t>
        </is>
      </c>
      <c r="E61" s="4">
        <f>INDEX(칸!$I$2:$I$416,MATCH(A61,칸!$A$2:$A$416,1))</f>
        <v/>
      </c>
      <c r="F61" s="4" t="inlineStr">
        <is>
          <t>깃털 부채를 든 제갈량이 칠성단에서 동남풍을 빌렸다. 바람이 일자 주유는 정봉과 서성을 보내 그를 쫓았다.</t>
        </is>
      </c>
      <c r="G61" s="4" t="inlineStr">
        <is>
          <t>화공을 쓰려면 동남풍이 필요했다. 제갈량은 칠성단을 쌓고 바람을 빌었고, 겨울 강에 바람이 돌자 주유는 그를 두려워해 정봉 · 서성을 보냈으나 제갈량은 이미 배를 타고 떠난 뒤였다.</t>
        </is>
      </c>
      <c r="H61" s="2">
        <f>COUNTIF(칸!$A$2:$A$416,A61)</f>
        <v/>
      </c>
      <c r="I61" s="2">
        <f>SUMIF(칸!$A$2:$A$416,A61,칸!$H$2:$H$416)</f>
        <v/>
      </c>
      <c r="J61" s="2">
        <f>INDEX(비용표!$A$13:$A$17,MATCH(I61,비용표!$B$13:$B$17,1))</f>
        <v/>
      </c>
      <c r="K61" s="2">
        <f>INDEX(비용표!$C$13:$C$17,MATCH(I61,비용표!$B$13:$B$17,1))</f>
        <v/>
      </c>
      <c r="L61" s="4" t="inlineStr">
        <is>
          <t>제갈량의 「차동풍」 SP 6 → 5</t>
        </is>
      </c>
      <c r="M61" s="2" t="inlineStr">
        <is>
          <t>고유기술SP</t>
        </is>
      </c>
      <c r="N61" s="2" t="inlineStr">
        <is>
          <t>제갈량</t>
        </is>
      </c>
      <c r="O61" s="2" t="n"/>
      <c r="P61" s="2" t="n">
        <v>-1</v>
      </c>
      <c r="Q61" s="4" t="n"/>
      <c r="R61" s="2" t="n"/>
      <c r="S61" s="2" t="n"/>
      <c r="T61" s="2" t="n"/>
    </row>
    <row r="62" ht="32" customHeight="1">
      <c r="A62" s="2" t="n">
        <v>61</v>
      </c>
      <c r="B62" s="2" t="inlineStr">
        <is>
          <t>④ 형주 · 적벽 (201~209)</t>
        </is>
      </c>
      <c r="C62" s="3" t="inlineStr">
        <is>
          <t>적벽대전</t>
        </is>
      </c>
      <c r="D62" s="2" t="inlineStr">
        <is>
          <t>赤壁大戰</t>
        </is>
      </c>
      <c r="E62" s="4">
        <f>INDEX(칸!$I$2:$I$416,MATCH(A62,칸!$A$2:$A$416,1))</f>
        <v/>
      </c>
      <c r="F62" s="4" t="inlineStr">
        <is>
          <t>동남풍을 탄 불배가 조조의 대함대를 삼켰다.</t>
        </is>
      </c>
      <c r="G62" s="4" t="inlineStr">
        <is>
          <t>서기 208년, 동남풍을 탄 황개의 불배가 쇠사슬에 묶인 조조의 함대를 들이받았다. 불길은 강북의 진영까지 번졌고, 백만을 일컫던 조조군은 화용도로 달아났다.</t>
        </is>
      </c>
      <c r="H62" s="2">
        <f>COUNTIF(칸!$A$2:$A$416,A62)</f>
        <v/>
      </c>
      <c r="I62" s="2">
        <f>SUMIF(칸!$A$2:$A$416,A62,칸!$H$2:$H$416)</f>
        <v/>
      </c>
      <c r="J62" s="2">
        <f>INDEX(비용표!$A$13:$A$17,MATCH(I62,비용표!$B$13:$B$17,1))</f>
        <v/>
      </c>
      <c r="K62" s="2">
        <f>INDEX(비용표!$C$13:$C$17,MATCH(I62,비용표!$B$13:$B$17,1))</f>
        <v/>
      </c>
      <c r="L62" s="4" t="inlineStr">
        <is>
          <t>주유·제갈량 함께 참전 시 진영 SP +1로 시작</t>
        </is>
      </c>
      <c r="M62" s="2" t="inlineStr">
        <is>
          <t>진영SP</t>
        </is>
      </c>
      <c r="N62" s="2" t="n"/>
      <c r="O62" s="2" t="n"/>
      <c r="P62" s="2" t="n">
        <v>1</v>
      </c>
      <c r="Q62" s="4" t="inlineStr">
        <is>
          <t>주유·제갈량</t>
        </is>
      </c>
      <c r="R62" s="2" t="n"/>
      <c r="S62" s="2" t="n"/>
      <c r="T62" s="2" t="n"/>
    </row>
    <row r="63" ht="32" customHeight="1">
      <c r="A63" s="2" t="n">
        <v>62</v>
      </c>
      <c r="B63" s="2" t="inlineStr">
        <is>
          <t>④ 형주 · 적벽 (201~209)</t>
        </is>
      </c>
      <c r="C63" s="3" t="inlineStr">
        <is>
          <t>화용도</t>
        </is>
      </c>
      <c r="D63" s="2" t="inlineStr">
        <is>
          <t>華容道</t>
        </is>
      </c>
      <c r="E63" s="4">
        <f>INDEX(칸!$I$2:$I$416,MATCH(A63,칸!$A$2:$A$416,1))</f>
        <v/>
      </c>
      <c r="F63" s="4" t="inlineStr">
        <is>
          <t>옛 은혜를 잊지 못한 관우는 화용도에서 길을 열었다.</t>
        </is>
      </c>
      <c r="G63" s="4" t="inlineStr">
        <is>
          <t>적벽에서 진 조조가 화용도의 진흙길로 달아나자 관우가 길을 막았다. 옛 은혜를 말하는 조조 앞에서 관우는 차마 칼을 들지 못하고 말머리를 돌렸다고 연의는 전한다.</t>
        </is>
      </c>
      <c r="H63" s="2">
        <f>COUNTIF(칸!$A$2:$A$416,A63)</f>
        <v/>
      </c>
      <c r="I63" s="2">
        <f>SUMIF(칸!$A$2:$A$416,A63,칸!$H$2:$H$416)</f>
        <v/>
      </c>
      <c r="J63" s="2">
        <f>INDEX(비용표!$A$13:$A$17,MATCH(I63,비용표!$B$13:$B$17,1))</f>
        <v/>
      </c>
      <c r="K63" s="2">
        <f>INDEX(비용표!$C$13:$C$17,MATCH(I63,비용표!$B$13:$B$17,1))</f>
        <v/>
      </c>
      <c r="L63" s="4" t="inlineStr">
        <is>
          <t>적진에 관우 시 조조 HP+1</t>
        </is>
      </c>
      <c r="M63" s="2" t="inlineStr">
        <is>
          <t>능력치</t>
        </is>
      </c>
      <c r="N63" s="2" t="inlineStr">
        <is>
          <t>조조</t>
        </is>
      </c>
      <c r="O63" s="2" t="inlineStr">
        <is>
          <t>HP</t>
        </is>
      </c>
      <c r="P63" s="2" t="n">
        <v>1</v>
      </c>
      <c r="Q63" s="4" t="n"/>
      <c r="R63" s="2" t="n"/>
      <c r="S63" s="2" t="inlineStr">
        <is>
          <t>관우</t>
        </is>
      </c>
      <c r="T63" s="2" t="n"/>
    </row>
    <row r="64" ht="32" customHeight="1">
      <c r="A64" s="2" t="n">
        <v>63</v>
      </c>
      <c r="B64" s="2" t="inlineStr">
        <is>
          <t>④ 형주 · 적벽 (201~209)</t>
        </is>
      </c>
      <c r="C64" s="3" t="inlineStr">
        <is>
          <t>남군 공방</t>
        </is>
      </c>
      <c r="D64" s="2" t="inlineStr">
        <is>
          <t>南郡攻防</t>
        </is>
      </c>
      <c r="E64" s="4">
        <f>INDEX(칸!$I$2:$I$416,MATCH(A64,칸!$A$2:$A$416,1))</f>
        <v/>
      </c>
      <c r="F64" s="4" t="inlineStr">
        <is>
          <t>조인은 주유의 공세를 버텼고, 주유는 이 싸움에서 화살을 맞았다.</t>
        </is>
      </c>
      <c r="G64" s="4" t="inlineStr">
        <is>
          <t>적벽 뒤 주유는 조인이 지키는 남군을 일 년 넘게 공격했다. 조인은 끝까지 버티다 물러났고, 주유는 이 싸움에서 맞은 화살의 상처를 끝내 낫지 못했다.</t>
        </is>
      </c>
      <c r="H64" s="2">
        <f>COUNTIF(칸!$A$2:$A$416,A64)</f>
        <v/>
      </c>
      <c r="I64" s="2">
        <f>SUMIF(칸!$A$2:$A$416,A64,칸!$H$2:$H$416)</f>
        <v/>
      </c>
      <c r="J64" s="2">
        <f>INDEX(비용표!$A$13:$A$17,MATCH(I64,비용표!$B$13:$B$17,1))</f>
        <v/>
      </c>
      <c r="K64" s="2">
        <f>INDEX(비용표!$C$13:$C$17,MATCH(I64,비용표!$B$13:$B$17,1))</f>
        <v/>
      </c>
      <c r="L64" s="4" t="inlineStr">
        <is>
          <t>조인 통솔+2</t>
        </is>
      </c>
      <c r="M64" s="2" t="inlineStr">
        <is>
          <t>능력치</t>
        </is>
      </c>
      <c r="N64" s="2" t="inlineStr">
        <is>
          <t>조인</t>
        </is>
      </c>
      <c r="O64" s="2" t="inlineStr">
        <is>
          <t>통솔</t>
        </is>
      </c>
      <c r="P64" s="2" t="n">
        <v>2</v>
      </c>
      <c r="Q64" s="4" t="n"/>
      <c r="R64" s="2" t="n"/>
      <c r="S64" s="2" t="n"/>
      <c r="T64" s="2" t="n"/>
    </row>
    <row r="65" ht="48" customHeight="1">
      <c r="A65" s="2" t="n">
        <v>64</v>
      </c>
      <c r="B65" s="2" t="inlineStr">
        <is>
          <t>④ 형주 · 적벽 (201~209)</t>
        </is>
      </c>
      <c r="C65" s="3" t="inlineStr">
        <is>
          <t>삼기주유</t>
        </is>
      </c>
      <c r="D65" s="2" t="inlineStr">
        <is>
          <t>三氣周瑜</t>
        </is>
      </c>
      <c r="E65" s="4">
        <f>INDEX(칸!$I$2:$I$416,MATCH(A65,칸!$A$2:$A$416,1))</f>
        <v/>
      </c>
      <c r="F65" s="4" t="inlineStr">
        <is>
          <t>「既生瑜 何生亮」 — 하늘은 주유를 낳고 어찌 제갈량을 또 낳았는가. 세 번 꾀에 넘어간 주유가 숨을 거두며 남긴 말.</t>
        </is>
      </c>
      <c r="G65" s="4" t="inlineStr">
        <is>
          <t>연의에서 주유는 제갈량의 꾀에 세 번 넘어가 분을 이기지 못했다. 마지막 화살 상처가 터진 주유는 「既生瑜 何生亮」 — 하늘은 주유를 낳고 어찌 제갈량을 또 낳았는가 — 탄식하며 숨을 거두었다.</t>
        </is>
      </c>
      <c r="H65" s="2">
        <f>COUNTIF(칸!$A$2:$A$416,A65)</f>
        <v/>
      </c>
      <c r="I65" s="2">
        <f>SUMIF(칸!$A$2:$A$416,A65,칸!$H$2:$H$416)</f>
        <v/>
      </c>
      <c r="J65" s="2">
        <f>INDEX(비용표!$A$13:$A$17,MATCH(I65,비용표!$B$13:$B$17,1))</f>
        <v/>
      </c>
      <c r="K65" s="2">
        <f>INDEX(비용표!$C$13:$C$17,MATCH(I65,비용표!$B$13:$B$17,1))</f>
        <v/>
      </c>
      <c r="L65" s="4" t="inlineStr">
        <is>
          <t>적진에 제갈량 시 주유 HP+1</t>
        </is>
      </c>
      <c r="M65" s="2" t="inlineStr">
        <is>
          <t>능력치</t>
        </is>
      </c>
      <c r="N65" s="2" t="inlineStr">
        <is>
          <t>주유</t>
        </is>
      </c>
      <c r="O65" s="2" t="inlineStr">
        <is>
          <t>HP</t>
        </is>
      </c>
      <c r="P65" s="2" t="n">
        <v>1</v>
      </c>
      <c r="Q65" s="4" t="n"/>
      <c r="R65" s="2" t="n"/>
      <c r="S65" s="2" t="inlineStr">
        <is>
          <t>제갈량</t>
        </is>
      </c>
      <c r="T65" s="2" t="n"/>
    </row>
    <row r="66" ht="48" customHeight="1">
      <c r="A66" s="2" t="n">
        <v>65</v>
      </c>
      <c r="B66" s="2" t="inlineStr">
        <is>
          <t>⑤ 삼국 정립 (209~219)</t>
        </is>
      </c>
      <c r="C66" s="3" t="inlineStr">
        <is>
          <t>장사의 노장</t>
        </is>
      </c>
      <c r="D66" s="2" t="inlineStr">
        <is>
          <t>長沙老將</t>
        </is>
      </c>
      <c r="E66" s="4">
        <f>INDEX(칸!$I$2:$I$416,MATCH(A66,칸!$A$2:$A$416,1))</f>
        <v/>
      </c>
      <c r="F66" s="4" t="inlineStr">
        <is>
          <t>예순의 황충은 관우와 겨뤄 우열을 가리지 못했다.</t>
        </is>
      </c>
      <c r="G66" s="4" t="inlineStr">
        <is>
          <t>장사를 치러 온 관우 앞에 예순의 노장 황충이 나섰다. 백 합을 겨뤄도 승부가 나지 않았다. 말이 넘어진 황충을 관우가 베지 않자, 이튿날 황충은 화살로 관우의 투구 끈만 맞혀 은혜를 갚았다.</t>
        </is>
      </c>
      <c r="H66" s="2">
        <f>COUNTIF(칸!$A$2:$A$416,A66)</f>
        <v/>
      </c>
      <c r="I66" s="2">
        <f>SUMIF(칸!$A$2:$A$416,A66,칸!$H$2:$H$416)</f>
        <v/>
      </c>
      <c r="J66" s="2">
        <f>INDEX(비용표!$A$13:$A$17,MATCH(I66,비용표!$B$13:$B$17,1))</f>
        <v/>
      </c>
      <c r="K66" s="2">
        <f>INDEX(비용표!$C$13:$C$17,MATCH(I66,비용표!$B$13:$B$17,1))</f>
        <v/>
      </c>
      <c r="L66" s="4" t="inlineStr">
        <is>
          <t>적진에 관우 시 황충 무력+2</t>
        </is>
      </c>
      <c r="M66" s="2" t="inlineStr">
        <is>
          <t>능력치</t>
        </is>
      </c>
      <c r="N66" s="2" t="inlineStr">
        <is>
          <t>황충</t>
        </is>
      </c>
      <c r="O66" s="2" t="inlineStr">
        <is>
          <t>무력</t>
        </is>
      </c>
      <c r="P66" s="2" t="n">
        <v>2</v>
      </c>
      <c r="Q66" s="4" t="n"/>
      <c r="R66" s="2" t="n"/>
      <c r="S66" s="2" t="inlineStr">
        <is>
          <t>관우</t>
        </is>
      </c>
      <c r="T66" s="2" t="n"/>
    </row>
    <row r="67" ht="32" customHeight="1">
      <c r="A67" s="2" t="n">
        <v>66</v>
      </c>
      <c r="B67" s="2" t="inlineStr">
        <is>
          <t>⑤ 삼국 정립 (209~219)</t>
        </is>
      </c>
      <c r="C67" s="3" t="inlineStr">
        <is>
          <t>감로사</t>
        </is>
      </c>
      <c r="D67" s="2" t="inlineStr">
        <is>
          <t>甘露寺</t>
        </is>
      </c>
      <c r="E67" s="4">
        <f>INDEX(칸!$I$2:$I$416,MATCH(A67,칸!$A$2:$A$416,1))</f>
        <v/>
      </c>
      <c r="F67" s="4" t="inlineStr">
        <is>
          <t>미인계로 붙잡으려던 혼인이 진짜 혼인이 되었다.</t>
        </is>
      </c>
      <c r="G67" s="4" t="inlineStr">
        <is>
          <t>주유는 손권의 누이와의 혼인을 미끼로 유비를 오에 붙잡아 두려 했다. 그러나 감로사에서 유비를 본 손권의 모친 오국태가 마음에 들어 해, 거짓 혼인은 진짜 혼인이 되었다.</t>
        </is>
      </c>
      <c r="H67" s="2">
        <f>COUNTIF(칸!$A$2:$A$416,A67)</f>
        <v/>
      </c>
      <c r="I67" s="2">
        <f>SUMIF(칸!$A$2:$A$416,A67,칸!$H$2:$H$416)</f>
        <v/>
      </c>
      <c r="J67" s="2">
        <f>INDEX(비용표!$A$13:$A$17,MATCH(I67,비용표!$B$13:$B$17,1))</f>
        <v/>
      </c>
      <c r="K67" s="2">
        <f>INDEX(비용표!$C$13:$C$17,MATCH(I67,비용표!$B$13:$B$17,1))</f>
        <v/>
      </c>
      <c r="L67" s="4" t="inlineStr">
        <is>
          <t>유비 함께 참전 시 손권 HP+1</t>
        </is>
      </c>
      <c r="M67" s="2" t="inlineStr">
        <is>
          <t>능력치</t>
        </is>
      </c>
      <c r="N67" s="2" t="inlineStr">
        <is>
          <t>손권</t>
        </is>
      </c>
      <c r="O67" s="2" t="inlineStr">
        <is>
          <t>HP</t>
        </is>
      </c>
      <c r="P67" s="2" t="n">
        <v>1</v>
      </c>
      <c r="Q67" s="4" t="inlineStr">
        <is>
          <t>유비</t>
        </is>
      </c>
      <c r="R67" s="2" t="n"/>
      <c r="S67" s="2" t="n"/>
      <c r="T67" s="2" t="n"/>
    </row>
    <row r="68" ht="32" customHeight="1">
      <c r="A68" s="2" t="n">
        <v>67</v>
      </c>
      <c r="B68" s="2" t="inlineStr">
        <is>
          <t>⑤ 삼국 정립 (209~219)</t>
        </is>
      </c>
      <c r="C68" s="3" t="inlineStr">
        <is>
          <t>동작대부</t>
        </is>
      </c>
      <c r="D68" s="2" t="inlineStr">
        <is>
          <t>銅雀臺賦</t>
        </is>
      </c>
      <c r="E68" s="4">
        <f>INDEX(칸!$I$2:$I$416,MATCH(A68,칸!$A$2:$A$416,1))</f>
        <v/>
      </c>
      <c r="F68" s="4" t="inlineStr">
        <is>
          <t>붓을 들면 그대로 문장이 되었다는 조식의 노래.</t>
        </is>
      </c>
      <c r="G68" s="4" t="inlineStr">
        <is>
          <t>조조가 업에 동작대를 세우고 아들들에게 부를 짓게 하자 조식이 붓을 들어 단숨에 써 내려갔다. 그 재주에 조조는 조식을 후계자로 생각할 만큼 아꼈다.</t>
        </is>
      </c>
      <c r="H68" s="2">
        <f>COUNTIF(칸!$A$2:$A$416,A68)</f>
        <v/>
      </c>
      <c r="I68" s="2">
        <f>SUMIF(칸!$A$2:$A$416,A68,칸!$H$2:$H$416)</f>
        <v/>
      </c>
      <c r="J68" s="2">
        <f>INDEX(비용표!$A$13:$A$17,MATCH(I68,비용표!$B$13:$B$17,1))</f>
        <v/>
      </c>
      <c r="K68" s="2">
        <f>INDEX(비용표!$C$13:$C$17,MATCH(I68,비용표!$B$13:$B$17,1))</f>
        <v/>
      </c>
      <c r="L68" s="4" t="inlineStr">
        <is>
          <t>조식 지력+2</t>
        </is>
      </c>
      <c r="M68" s="2" t="inlineStr">
        <is>
          <t>능력치</t>
        </is>
      </c>
      <c r="N68" s="2" t="inlineStr">
        <is>
          <t>조식</t>
        </is>
      </c>
      <c r="O68" s="2" t="inlineStr">
        <is>
          <t>지력</t>
        </is>
      </c>
      <c r="P68" s="2" t="n">
        <v>2</v>
      </c>
      <c r="Q68" s="4" t="n"/>
      <c r="R68" s="2" t="n"/>
      <c r="S68" s="2" t="n"/>
      <c r="T68" s="2" t="n"/>
    </row>
    <row r="69" ht="32" customHeight="1">
      <c r="A69" s="2" t="n">
        <v>68</v>
      </c>
      <c r="B69" s="2" t="inlineStr">
        <is>
          <t>⑤ 삼국 정립 (209~219)</t>
        </is>
      </c>
      <c r="C69" s="3" t="inlineStr">
        <is>
          <t>동관의 마초</t>
        </is>
      </c>
      <c r="D69" s="2" t="inlineStr">
        <is>
          <t>潼關馬超</t>
        </is>
      </c>
      <c r="E69" s="4">
        <f>INDEX(칸!$I$2:$I$416,MATCH(A69,칸!$A$2:$A$416,1))</f>
        <v/>
      </c>
      <c r="F69" s="4" t="inlineStr">
        <is>
          <t>아비의 원수를 갚으러 온 마초 앞에서 조조는 수염을 잘라 도망쳤다.</t>
        </is>
      </c>
      <c r="G69" s="4" t="inlineStr">
        <is>
          <t>아버지 마등을 죽인 조조에게 복수하러 마초가 동관을 쳤다. 마초에게 쫓긴 조조는 붉은 전포를 벗고 수염까지 잘라 도망쳤고, 허저가 배를 저어 겨우 강을 건넜다.</t>
        </is>
      </c>
      <c r="H69" s="2">
        <f>COUNTIF(칸!$A$2:$A$416,A69)</f>
        <v/>
      </c>
      <c r="I69" s="2">
        <f>SUMIF(칸!$A$2:$A$416,A69,칸!$H$2:$H$416)</f>
        <v/>
      </c>
      <c r="J69" s="2">
        <f>INDEX(비용표!$A$13:$A$17,MATCH(I69,비용표!$B$13:$B$17,1))</f>
        <v/>
      </c>
      <c r="K69" s="2">
        <f>INDEX(비용표!$C$13:$C$17,MATCH(I69,비용표!$B$13:$B$17,1))</f>
        <v/>
      </c>
      <c r="L69" s="4" t="inlineStr">
        <is>
          <t>마대 함께 참전 시 마초 HP+2</t>
        </is>
      </c>
      <c r="M69" s="2" t="inlineStr">
        <is>
          <t>능력치</t>
        </is>
      </c>
      <c r="N69" s="2" t="inlineStr">
        <is>
          <t>마초</t>
        </is>
      </c>
      <c r="O69" s="2" t="inlineStr">
        <is>
          <t>HP</t>
        </is>
      </c>
      <c r="P69" s="2" t="n">
        <v>2</v>
      </c>
      <c r="Q69" s="4" t="inlineStr">
        <is>
          <t>마대</t>
        </is>
      </c>
      <c r="R69" s="2" t="n"/>
      <c r="S69" s="2" t="n"/>
      <c r="T69" s="2" t="n"/>
    </row>
    <row r="70" ht="32" customHeight="1">
      <c r="A70" s="2" t="n">
        <v>69</v>
      </c>
      <c r="B70" s="2" t="inlineStr">
        <is>
          <t>⑤ 삼국 정립 (209~219)</t>
        </is>
      </c>
      <c r="C70" s="3" t="inlineStr">
        <is>
          <t>서천 지도</t>
        </is>
      </c>
      <c r="D70" s="2" t="inlineStr">
        <is>
          <t>西川地圖</t>
        </is>
      </c>
      <c r="E70" s="4">
        <f>INDEX(칸!$I$2:$I$416,MATCH(A70,칸!$A$2:$A$416,1))</f>
        <v/>
      </c>
      <c r="F70" s="4" t="inlineStr">
        <is>
          <t>장송이 바친 지도 한 장에 익주의 길이 모두 그려져 있었다.</t>
        </is>
      </c>
      <c r="G70" s="4" t="inlineStr">
        <is>
          <t>익주의 별가 장송은 조조에게 홀대받고 돌아오는 길에 유비를 만났다. 그는 익주의 산천과 관문을 그린 지도를 바치며 법정 · 맹달과 함께 유비를 익주로 맞으려 했다.</t>
        </is>
      </c>
      <c r="H70" s="2">
        <f>COUNTIF(칸!$A$2:$A$416,A70)</f>
        <v/>
      </c>
      <c r="I70" s="2">
        <f>SUMIF(칸!$A$2:$A$416,A70,칸!$H$2:$H$416)</f>
        <v/>
      </c>
      <c r="J70" s="2">
        <f>INDEX(비용표!$A$13:$A$17,MATCH(I70,비용표!$B$13:$B$17,1))</f>
        <v/>
      </c>
      <c r="K70" s="2">
        <f>INDEX(비용표!$C$13:$C$17,MATCH(I70,비용표!$B$13:$B$17,1))</f>
        <v/>
      </c>
      <c r="L70" s="4" t="inlineStr">
        <is>
          <t>도적떼 응전 시간 +1분</t>
        </is>
      </c>
      <c r="M70" s="2" t="inlineStr">
        <is>
          <t>도시</t>
        </is>
      </c>
      <c r="N70" s="2" t="n"/>
      <c r="O70" s="2" t="n"/>
      <c r="P70" s="2" t="n">
        <v>1</v>
      </c>
      <c r="Q70" s="4" t="n"/>
      <c r="R70" s="2" t="n"/>
      <c r="S70" s="2" t="n"/>
      <c r="T70" s="2" t="inlineStr">
        <is>
          <t>raidResp</t>
        </is>
      </c>
    </row>
    <row r="71" ht="32" customHeight="1">
      <c r="A71" s="2" t="n">
        <v>70</v>
      </c>
      <c r="B71" s="2" t="inlineStr">
        <is>
          <t>⑤ 삼국 정립 (209~219)</t>
        </is>
      </c>
      <c r="C71" s="3" t="inlineStr">
        <is>
          <t>낙봉파</t>
        </is>
      </c>
      <c r="D71" s="2" t="inlineStr">
        <is>
          <t>落鳳坡</t>
        </is>
      </c>
      <c r="E71" s="4">
        <f>INDEX(칸!$I$2:$I$416,MATCH(A71,칸!$A$2:$A$416,1))</f>
        <v/>
      </c>
      <c r="F71" s="4" t="inlineStr">
        <is>
          <t>유비의 흰 말을 빌려 탄 봉추는 장임의 화살에 쓰러졌다.</t>
        </is>
      </c>
      <c r="G71" s="4" t="inlineStr">
        <is>
          <t>익주로 진군하던 방통은 낙봉파의 좁은 골짜기를 지났다. 유비에게 빌린 흰 말을 탄 그를 장임의 복병이 유비로 알고 화살을 퍼부으니, 봉추는 서른여섯에 쓰러졌다.</t>
        </is>
      </c>
      <c r="H71" s="2">
        <f>COUNTIF(칸!$A$2:$A$416,A71)</f>
        <v/>
      </c>
      <c r="I71" s="2">
        <f>SUMIF(칸!$A$2:$A$416,A71,칸!$H$2:$H$416)</f>
        <v/>
      </c>
      <c r="J71" s="2">
        <f>INDEX(비용표!$A$13:$A$17,MATCH(I71,비용표!$B$13:$B$17,1))</f>
        <v/>
      </c>
      <c r="K71" s="2">
        <f>INDEX(비용표!$C$13:$C$17,MATCH(I71,비용표!$B$13:$B$17,1))</f>
        <v/>
      </c>
      <c r="L71" s="4" t="inlineStr">
        <is>
          <t>적진에 방통 시 장임 무력+2</t>
        </is>
      </c>
      <c r="M71" s="2" t="inlineStr">
        <is>
          <t>능력치</t>
        </is>
      </c>
      <c r="N71" s="2" t="inlineStr">
        <is>
          <t>장임</t>
        </is>
      </c>
      <c r="O71" s="2" t="inlineStr">
        <is>
          <t>무력</t>
        </is>
      </c>
      <c r="P71" s="2" t="n">
        <v>2</v>
      </c>
      <c r="Q71" s="4" t="n"/>
      <c r="R71" s="2" t="n"/>
      <c r="S71" s="2" t="inlineStr">
        <is>
          <t>방통</t>
        </is>
      </c>
      <c r="T71" s="2" t="n"/>
    </row>
    <row r="72" ht="32" customHeight="1">
      <c r="A72" s="2" t="n">
        <v>71</v>
      </c>
      <c r="B72" s="2" t="inlineStr">
        <is>
          <t>⑤ 삼국 정립 (209~219)</t>
        </is>
      </c>
      <c r="C72" s="3" t="inlineStr">
        <is>
          <t>의석 엄안</t>
        </is>
      </c>
      <c r="D72" s="2" t="inlineStr">
        <is>
          <t>義釋嚴顏</t>
        </is>
      </c>
      <c r="E72" s="4">
        <f>INDEX(칸!$I$2:$I$416,MATCH(A72,칸!$A$2:$A$416,1))</f>
        <v/>
      </c>
      <c r="F72" s="4" t="inlineStr">
        <is>
          <t>「목을 칠 장군은 있어도 항복할 장군은 없다」 — 장비는 그 앞에 무릎을 꿇었다.</t>
        </is>
      </c>
      <c r="G72" s="4" t="inlineStr">
        <is>
          <t>파군을 친 장비에게 사로잡힌 노장 엄안은 「목을 칠 장군은 있어도 항복할 장군은 없다」고 꾸짖었다. 장비는 그 기개에 감복해 몸소 포승을 풀고 윗자리에 앉혔다.</t>
        </is>
      </c>
      <c r="H72" s="2">
        <f>COUNTIF(칸!$A$2:$A$416,A72)</f>
        <v/>
      </c>
      <c r="I72" s="2">
        <f>SUMIF(칸!$A$2:$A$416,A72,칸!$H$2:$H$416)</f>
        <v/>
      </c>
      <c r="J72" s="2">
        <f>INDEX(비용표!$A$13:$A$17,MATCH(I72,비용표!$B$13:$B$17,1))</f>
        <v/>
      </c>
      <c r="K72" s="2">
        <f>INDEX(비용표!$C$13:$C$17,MATCH(I72,비용표!$B$13:$B$17,1))</f>
        <v/>
      </c>
      <c r="L72" s="4" t="inlineStr">
        <is>
          <t>장비 함께 참전 시 엄안 HP+2</t>
        </is>
      </c>
      <c r="M72" s="2" t="inlineStr">
        <is>
          <t>능력치</t>
        </is>
      </c>
      <c r="N72" s="2" t="inlineStr">
        <is>
          <t>엄안</t>
        </is>
      </c>
      <c r="O72" s="2" t="inlineStr">
        <is>
          <t>HP</t>
        </is>
      </c>
      <c r="P72" s="2" t="n">
        <v>2</v>
      </c>
      <c r="Q72" s="4" t="inlineStr">
        <is>
          <t>장비</t>
        </is>
      </c>
      <c r="R72" s="2" t="n"/>
      <c r="S72" s="2" t="n"/>
      <c r="T72" s="2" t="n"/>
    </row>
    <row r="73" ht="32" customHeight="1">
      <c r="A73" s="2" t="n">
        <v>72</v>
      </c>
      <c r="B73" s="2" t="inlineStr">
        <is>
          <t>⑤ 삼국 정립 (209~219)</t>
        </is>
      </c>
      <c r="C73" s="3" t="inlineStr">
        <is>
          <t>가맹관 야전</t>
        </is>
      </c>
      <c r="D73" s="2" t="inlineStr">
        <is>
          <t>葭萌關夜戰</t>
        </is>
      </c>
      <c r="E73" s="4">
        <f>INDEX(칸!$I$2:$I$416,MATCH(A73,칸!$A$2:$A$416,1))</f>
        <v/>
      </c>
      <c r="F73" s="4" t="inlineStr">
        <is>
          <t>횃불을 밝히고 밤새 싸웠으나 장비와 마초는 승부를 내지 못했다.</t>
        </is>
      </c>
      <c r="G73" s="4" t="inlineStr">
        <is>
          <t>가맹관에서 장비와 마초가 맞붙었다. 해가 지자 횃불을 밝히고 밤새 싸웠으나 승부가 나지 않았고, 마초는 얼마 뒤 유비에게 귀순했다.</t>
        </is>
      </c>
      <c r="H73" s="2">
        <f>COUNTIF(칸!$A$2:$A$416,A73)</f>
        <v/>
      </c>
      <c r="I73" s="2">
        <f>SUMIF(칸!$A$2:$A$416,A73,칸!$H$2:$H$416)</f>
        <v/>
      </c>
      <c r="J73" s="2">
        <f>INDEX(비용표!$A$13:$A$17,MATCH(I73,비용표!$B$13:$B$17,1))</f>
        <v/>
      </c>
      <c r="K73" s="2">
        <f>INDEX(비용표!$C$13:$C$17,MATCH(I73,비용표!$B$13:$B$17,1))</f>
        <v/>
      </c>
      <c r="L73" s="4" t="inlineStr">
        <is>
          <t>적진에 장비 시 마초 무력+1</t>
        </is>
      </c>
      <c r="M73" s="2" t="inlineStr">
        <is>
          <t>능력치</t>
        </is>
      </c>
      <c r="N73" s="2" t="inlineStr">
        <is>
          <t>마초</t>
        </is>
      </c>
      <c r="O73" s="2" t="inlineStr">
        <is>
          <t>무력</t>
        </is>
      </c>
      <c r="P73" s="2" t="n">
        <v>1</v>
      </c>
      <c r="Q73" s="4" t="n"/>
      <c r="R73" s="2" t="n"/>
      <c r="S73" s="2" t="inlineStr">
        <is>
          <t>장비</t>
        </is>
      </c>
      <c r="T73" s="2" t="n"/>
    </row>
    <row r="74" ht="32" customHeight="1">
      <c r="A74" s="2" t="n">
        <v>73</v>
      </c>
      <c r="B74" s="2" t="inlineStr">
        <is>
          <t>⑤ 삼국 정립 (209~219)</t>
        </is>
      </c>
      <c r="C74" s="3" t="inlineStr">
        <is>
          <t>익주의 유장</t>
        </is>
      </c>
      <c r="D74" s="2" t="inlineStr">
        <is>
          <t>益州劉璋</t>
        </is>
      </c>
      <c r="E74" s="4">
        <f>INDEX(칸!$I$2:$I$416,MATCH(A74,칸!$A$2:$A$416,1))</f>
        <v/>
      </c>
      <c r="F74" s="4" t="inlineStr">
        <is>
          <t>어진 주인이었으나 난세를 지킬 그릇은 아니었다.</t>
        </is>
      </c>
      <c r="G74" s="4" t="inlineStr">
        <is>
          <t>유장은 아버지 유언에게서 익주를 물려받은 어진 주인이었으나, 장로를 막으려 유비를 불러들였다. 황권 · 왕루가 목숨을 걸고 말렸지만 듣지 않았고, 결국 익주를 잃었다.</t>
        </is>
      </c>
      <c r="H74" s="2">
        <f>COUNTIF(칸!$A$2:$A$416,A74)</f>
        <v/>
      </c>
      <c r="I74" s="2">
        <f>SUMIF(칸!$A$2:$A$416,A74,칸!$H$2:$H$416)</f>
        <v/>
      </c>
      <c r="J74" s="2">
        <f>INDEX(비용표!$A$13:$A$17,MATCH(I74,비용표!$B$13:$B$17,1))</f>
        <v/>
      </c>
      <c r="K74" s="2">
        <f>INDEX(비용표!$C$13:$C$17,MATCH(I74,비용표!$B$13:$B$17,1))</f>
        <v/>
      </c>
      <c r="L74" s="4" t="inlineStr">
        <is>
          <t>황권 통솔+1</t>
        </is>
      </c>
      <c r="M74" s="2" t="inlineStr">
        <is>
          <t>능력치</t>
        </is>
      </c>
      <c r="N74" s="2" t="inlineStr">
        <is>
          <t>황권</t>
        </is>
      </c>
      <c r="O74" s="2" t="inlineStr">
        <is>
          <t>통솔</t>
        </is>
      </c>
      <c r="P74" s="2" t="n">
        <v>1</v>
      </c>
      <c r="Q74" s="4" t="n"/>
      <c r="R74" s="2" t="n"/>
      <c r="S74" s="2" t="n"/>
      <c r="T74" s="2" t="n"/>
    </row>
    <row r="75" ht="32" customHeight="1">
      <c r="A75" s="2" t="n">
        <v>74</v>
      </c>
      <c r="B75" s="2" t="inlineStr">
        <is>
          <t>⑤ 삼국 정립 (209~219)</t>
        </is>
      </c>
      <c r="C75" s="3" t="inlineStr">
        <is>
          <t>단도부회</t>
        </is>
      </c>
      <c r="D75" s="2" t="inlineStr">
        <is>
          <t>單刀赴會</t>
        </is>
      </c>
      <c r="E75" s="4">
        <f>INDEX(칸!$I$2:$I$416,MATCH(A75,칸!$A$2:$A$416,1))</f>
        <v/>
      </c>
      <c r="F75" s="4" t="inlineStr">
        <is>
          <t>칼 한 자루만 들고 적진의 연회에 나간 관우.</t>
        </is>
      </c>
      <c r="G75" s="4" t="inlineStr">
        <is>
          <t>형주를 돌려 달라는 노숙의 초대에 관우는 칼 한 자루와 주창만 데리고 육구의 연회에 나갔다. 노숙의 손을 잡고 배까지 걸어 나오니, 매복한 군사들이 손을 쓰지 못했다.</t>
        </is>
      </c>
      <c r="H75" s="2">
        <f>COUNTIF(칸!$A$2:$A$416,A75)</f>
        <v/>
      </c>
      <c r="I75" s="2">
        <f>SUMIF(칸!$A$2:$A$416,A75,칸!$H$2:$H$416)</f>
        <v/>
      </c>
      <c r="J75" s="2">
        <f>INDEX(비용표!$A$13:$A$17,MATCH(I75,비용표!$B$13:$B$17,1))</f>
        <v/>
      </c>
      <c r="K75" s="2">
        <f>INDEX(비용표!$C$13:$C$17,MATCH(I75,비용표!$B$13:$B$17,1))</f>
        <v/>
      </c>
      <c r="L75" s="4" t="inlineStr">
        <is>
          <t>적진에 관우 시 노숙 통솔+2</t>
        </is>
      </c>
      <c r="M75" s="2" t="inlineStr">
        <is>
          <t>능력치</t>
        </is>
      </c>
      <c r="N75" s="2" t="inlineStr">
        <is>
          <t>노숙</t>
        </is>
      </c>
      <c r="O75" s="2" t="inlineStr">
        <is>
          <t>통솔</t>
        </is>
      </c>
      <c r="P75" s="2" t="n">
        <v>2</v>
      </c>
      <c r="Q75" s="4" t="n"/>
      <c r="R75" s="2" t="n"/>
      <c r="S75" s="2" t="inlineStr">
        <is>
          <t>관우</t>
        </is>
      </c>
      <c r="T75" s="2" t="n"/>
    </row>
    <row r="76" ht="32" customHeight="1">
      <c r="A76" s="2" t="n">
        <v>75</v>
      </c>
      <c r="B76" s="2" t="inlineStr">
        <is>
          <t>⑤ 삼국 정립 (209~219)</t>
        </is>
      </c>
      <c r="C76" s="3" t="inlineStr">
        <is>
          <t>유수구</t>
        </is>
      </c>
      <c r="D76" s="2" t="inlineStr">
        <is>
          <t>濡須口</t>
        </is>
      </c>
      <c r="E76" s="4">
        <f>INDEX(칸!$I$2:$I$416,MATCH(A76,칸!$A$2:$A$416,1))</f>
        <v/>
      </c>
      <c r="F76" s="4" t="inlineStr">
        <is>
          <t>「자식을 낳으려면 손중모 같아야 한다.」</t>
        </is>
      </c>
      <c r="G76" s="4" t="inlineStr">
        <is>
          <t>유수구에서 손권과 대치한 조조는 오군의 정연한 진영을 보고 탄식했다. 「자식을 낳으려면 손중모 같아야 한다. 유경승의 아들은 개돼지일 뿐이다.」</t>
        </is>
      </c>
      <c r="H76" s="2">
        <f>COUNTIF(칸!$A$2:$A$416,A76)</f>
        <v/>
      </c>
      <c r="I76" s="2">
        <f>SUMIF(칸!$A$2:$A$416,A76,칸!$H$2:$H$416)</f>
        <v/>
      </c>
      <c r="J76" s="2">
        <f>INDEX(비용표!$A$13:$A$17,MATCH(I76,비용표!$B$13:$B$17,1))</f>
        <v/>
      </c>
      <c r="K76" s="2">
        <f>INDEX(비용표!$C$13:$C$17,MATCH(I76,비용표!$B$13:$B$17,1))</f>
        <v/>
      </c>
      <c r="L76" s="4" t="inlineStr">
        <is>
          <t>손권 통솔+2</t>
        </is>
      </c>
      <c r="M76" s="2" t="inlineStr">
        <is>
          <t>능력치</t>
        </is>
      </c>
      <c r="N76" s="2" t="inlineStr">
        <is>
          <t>손권</t>
        </is>
      </c>
      <c r="O76" s="2" t="inlineStr">
        <is>
          <t>통솔</t>
        </is>
      </c>
      <c r="P76" s="2" t="n">
        <v>2</v>
      </c>
      <c r="Q76" s="4" t="n"/>
      <c r="R76" s="2" t="n"/>
      <c r="S76" s="2" t="n"/>
      <c r="T76" s="2" t="n"/>
    </row>
    <row r="77" ht="32" customHeight="1">
      <c r="A77" s="2" t="n">
        <v>76</v>
      </c>
      <c r="B77" s="2" t="inlineStr">
        <is>
          <t>⑤ 삼국 정립 (209~219)</t>
        </is>
      </c>
      <c r="C77" s="3" t="inlineStr">
        <is>
          <t>빈 찬합</t>
        </is>
      </c>
      <c r="D77" s="2" t="inlineStr">
        <is>
          <t>空食盒</t>
        </is>
      </c>
      <c r="E77" s="4">
        <f>INDEX(칸!$I$2:$I$416,MATCH(A77,칸!$A$2:$A$416,1))</f>
        <v/>
      </c>
      <c r="F77" s="4" t="inlineStr">
        <is>
          <t>조조가 보낸 찬합은 비어 있었다. 순욱은 그날 밤 약을 마셨다.</t>
        </is>
      </c>
      <c r="G77" s="4" t="inlineStr">
        <is>
          <t>조조가 위공의 자리에 오르려 하자 순욱은 반대했다. 얼마 뒤 조조가 보낸 찬합을 열어 보니 텅 비어 있었고, 순욱은 그 뜻을 알고 약을 마셨다고 전한다.</t>
        </is>
      </c>
      <c r="H77" s="2">
        <f>COUNTIF(칸!$A$2:$A$416,A77)</f>
        <v/>
      </c>
      <c r="I77" s="2">
        <f>SUMIF(칸!$A$2:$A$416,A77,칸!$H$2:$H$416)</f>
        <v/>
      </c>
      <c r="J77" s="2">
        <f>INDEX(비용표!$A$13:$A$17,MATCH(I77,비용표!$B$13:$B$17,1))</f>
        <v/>
      </c>
      <c r="K77" s="2">
        <f>INDEX(비용표!$C$13:$C$17,MATCH(I77,비용표!$B$13:$B$17,1))</f>
        <v/>
      </c>
      <c r="L77" s="4" t="inlineStr">
        <is>
          <t>순욱 통솔+1</t>
        </is>
      </c>
      <c r="M77" s="2" t="inlineStr">
        <is>
          <t>능력치</t>
        </is>
      </c>
      <c r="N77" s="2" t="inlineStr">
        <is>
          <t>순욱</t>
        </is>
      </c>
      <c r="O77" s="2" t="inlineStr">
        <is>
          <t>통솔</t>
        </is>
      </c>
      <c r="P77" s="2" t="n">
        <v>1</v>
      </c>
      <c r="Q77" s="4" t="n"/>
      <c r="R77" s="2" t="n"/>
      <c r="S77" s="2" t="n"/>
      <c r="T77" s="2" t="n"/>
    </row>
    <row r="78" ht="32" customHeight="1">
      <c r="A78" s="2" t="n">
        <v>77</v>
      </c>
      <c r="B78" s="2" t="inlineStr">
        <is>
          <t>⑤ 삼국 정립 (209~219)</t>
        </is>
      </c>
      <c r="C78" s="3" t="inlineStr">
        <is>
          <t>백기겁위영</t>
        </is>
      </c>
      <c r="D78" s="2" t="inlineStr">
        <is>
          <t>百騎劫魏營</t>
        </is>
      </c>
      <c r="E78" s="4">
        <f>INDEX(칸!$I$2:$I$416,MATCH(A78,칸!$A$2:$A$416,1))</f>
        <v/>
      </c>
      <c r="F78" s="4" t="inlineStr">
        <is>
          <t>기병 백 명으로 조조의 진영을 휘젓고 한 명도 잃지 않았다.</t>
        </is>
      </c>
      <c r="G78" s="4" t="inlineStr">
        <is>
          <t>유수구에서 감녕은 기병 백 명을 이끌고 밤에 조조의 진영을 휘저었다. 한 사람도 잃지 않고 돌아오자 손권은 「맹덕에게 장료가 있다면 내게는 감녕이 있다」고 했다.</t>
        </is>
      </c>
      <c r="H78" s="2">
        <f>COUNTIF(칸!$A$2:$A$416,A78)</f>
        <v/>
      </c>
      <c r="I78" s="2">
        <f>SUMIF(칸!$A$2:$A$416,A78,칸!$H$2:$H$416)</f>
        <v/>
      </c>
      <c r="J78" s="2">
        <f>INDEX(비용표!$A$13:$A$17,MATCH(I78,비용표!$B$13:$B$17,1))</f>
        <v/>
      </c>
      <c r="K78" s="2">
        <f>INDEX(비용표!$C$13:$C$17,MATCH(I78,비용표!$B$13:$B$17,1))</f>
        <v/>
      </c>
      <c r="L78" s="4" t="inlineStr">
        <is>
          <t>감녕 통솔+2</t>
        </is>
      </c>
      <c r="M78" s="2" t="inlineStr">
        <is>
          <t>능력치</t>
        </is>
      </c>
      <c r="N78" s="2" t="inlineStr">
        <is>
          <t>감녕</t>
        </is>
      </c>
      <c r="O78" s="2" t="inlineStr">
        <is>
          <t>통솔</t>
        </is>
      </c>
      <c r="P78" s="2" t="n">
        <v>2</v>
      </c>
      <c r="Q78" s="4" t="n"/>
      <c r="R78" s="2" t="n"/>
      <c r="S78" s="2" t="n"/>
      <c r="T78" s="2" t="n"/>
    </row>
    <row r="79" ht="32" customHeight="1">
      <c r="A79" s="2" t="n">
        <v>78</v>
      </c>
      <c r="B79" s="2" t="inlineStr">
        <is>
          <t>⑤ 삼국 정립 (209~219)</t>
        </is>
      </c>
      <c r="C79" s="3" t="inlineStr">
        <is>
          <t>합비 소요진</t>
        </is>
      </c>
      <c r="D79" s="2" t="inlineStr">
        <is>
          <t>逍遙津</t>
        </is>
      </c>
      <c r="E79" s="4">
        <f>INDEX(칸!$I$2:$I$416,MATCH(A79,칸!$A$2:$A$416,1))</f>
        <v/>
      </c>
      <c r="F79" s="4" t="inlineStr">
        <is>
          <t>팔백 기로 십만을 꺾었다. 강동의 아이들은 그 이름에 울음을 그쳤다.</t>
        </is>
      </c>
      <c r="G79" s="4" t="inlineStr">
        <is>
          <t>손권이 십만으로 합비를 치자 장료는 팔백 명을 뽑아 새벽에 돌격했다. 소요진에서 손권은 다리가 끊겨 말을 뛰어 겨우 달아났고, 강동의 아이들은 장료의 이름만 들어도 울음을 그쳤다.</t>
        </is>
      </c>
      <c r="H79" s="2">
        <f>COUNTIF(칸!$A$2:$A$416,A79)</f>
        <v/>
      </c>
      <c r="I79" s="2">
        <f>SUMIF(칸!$A$2:$A$416,A79,칸!$H$2:$H$416)</f>
        <v/>
      </c>
      <c r="J79" s="2">
        <f>INDEX(비용표!$A$13:$A$17,MATCH(I79,비용표!$B$13:$B$17,1))</f>
        <v/>
      </c>
      <c r="K79" s="2">
        <f>INDEX(비용표!$C$13:$C$17,MATCH(I79,비용표!$B$13:$B$17,1))</f>
        <v/>
      </c>
      <c r="L79" s="4" t="inlineStr">
        <is>
          <t>장료의 「장료지제」 SP 6 → 5</t>
        </is>
      </c>
      <c r="M79" s="2" t="inlineStr">
        <is>
          <t>고유기술SP</t>
        </is>
      </c>
      <c r="N79" s="2" t="inlineStr">
        <is>
          <t>장료</t>
        </is>
      </c>
      <c r="O79" s="2" t="n"/>
      <c r="P79" s="2" t="n">
        <v>-1</v>
      </c>
      <c r="Q79" s="4" t="n"/>
      <c r="R79" s="2" t="n"/>
      <c r="S79" s="2" t="n"/>
      <c r="T79" s="2" t="n"/>
    </row>
    <row r="80" ht="32" customHeight="1">
      <c r="A80" s="2" t="n">
        <v>79</v>
      </c>
      <c r="B80" s="2" t="inlineStr">
        <is>
          <t>⑤ 삼국 정립 (209~219)</t>
        </is>
      </c>
      <c r="C80" s="3" t="inlineStr">
        <is>
          <t>괄목상대</t>
        </is>
      </c>
      <c r="D80" s="2" t="inlineStr">
        <is>
          <t>刮目相待</t>
        </is>
      </c>
      <c r="E80" s="4">
        <f>INDEX(칸!$I$2:$I$416,MATCH(A80,칸!$A$2:$A$416,1))</f>
        <v/>
      </c>
      <c r="F80" s="4" t="inlineStr">
        <is>
          <t>「선비는 사흘을 떨어져 있으면 눈을 비비고 다시 보아야 한다.」</t>
        </is>
      </c>
      <c r="G80" s="4" t="inlineStr">
        <is>
          <t>무예만 알던 여몽은 손권의 권유로 책을 읽기 시작했다. 훗날 노숙이 그와 이야기하고 놀라자 여몽은 「선비는 사흘을 떨어져 있으면 눈을 비비고 다시 보아야 한다」고 답했다.</t>
        </is>
      </c>
      <c r="H80" s="2">
        <f>COUNTIF(칸!$A$2:$A$416,A80)</f>
        <v/>
      </c>
      <c r="I80" s="2">
        <f>SUMIF(칸!$A$2:$A$416,A80,칸!$H$2:$H$416)</f>
        <v/>
      </c>
      <c r="J80" s="2">
        <f>INDEX(비용표!$A$13:$A$17,MATCH(I80,비용표!$B$13:$B$17,1))</f>
        <v/>
      </c>
      <c r="K80" s="2">
        <f>INDEX(비용표!$C$13:$C$17,MATCH(I80,비용표!$B$13:$B$17,1))</f>
        <v/>
      </c>
      <c r="L80" s="4" t="inlineStr">
        <is>
          <t>여몽 지력+1</t>
        </is>
      </c>
      <c r="M80" s="2" t="inlineStr">
        <is>
          <t>능력치</t>
        </is>
      </c>
      <c r="N80" s="2" t="inlineStr">
        <is>
          <t>여몽</t>
        </is>
      </c>
      <c r="O80" s="2" t="inlineStr">
        <is>
          <t>지력</t>
        </is>
      </c>
      <c r="P80" s="2" t="n">
        <v>1</v>
      </c>
      <c r="Q80" s="4" t="n"/>
      <c r="R80" s="2" t="n"/>
      <c r="S80" s="2" t="n"/>
      <c r="T80" s="2" t="n"/>
    </row>
    <row r="81" ht="32" customHeight="1">
      <c r="A81" s="2" t="n">
        <v>80</v>
      </c>
      <c r="B81" s="2" t="inlineStr">
        <is>
          <t>⑤ 삼국 정립 (209~219)</t>
        </is>
      </c>
      <c r="C81" s="3" t="inlineStr">
        <is>
          <t>정군산</t>
        </is>
      </c>
      <c r="D81" s="2" t="inlineStr">
        <is>
          <t>定軍山</t>
        </is>
      </c>
      <c r="E81" s="4">
        <f>INDEX(칸!$I$2:$I$416,MATCH(A81,칸!$A$2:$A$416,1))</f>
        <v/>
      </c>
      <c r="F81" s="4" t="inlineStr">
        <is>
          <t>법정이 깃발을 흔들자 황충이 산을 내려와 하후연을 베었다.</t>
        </is>
      </c>
      <c r="G81" s="4" t="inlineStr">
        <is>
          <t>한중을 두고 다툰 정군산에서 법정이 산 위에서 깃발을 흔들자, 노장 황충이 북을 울리며 내려와 하후연을 베었다. 이 싸움으로 유비는 한중을 얻었다.</t>
        </is>
      </c>
      <c r="H81" s="2">
        <f>COUNTIF(칸!$A$2:$A$416,A81)</f>
        <v/>
      </c>
      <c r="I81" s="2">
        <f>SUMIF(칸!$A$2:$A$416,A81,칸!$H$2:$H$416)</f>
        <v/>
      </c>
      <c r="J81" s="2">
        <f>INDEX(비용표!$A$13:$A$17,MATCH(I81,비용표!$B$13:$B$17,1))</f>
        <v/>
      </c>
      <c r="K81" s="2">
        <f>INDEX(비용표!$C$13:$C$17,MATCH(I81,비용표!$B$13:$B$17,1))</f>
        <v/>
      </c>
      <c r="L81" s="4" t="inlineStr">
        <is>
          <t>황충의 「백보천양」 SP 6 → 5</t>
        </is>
      </c>
      <c r="M81" s="2" t="inlineStr">
        <is>
          <t>고유기술SP</t>
        </is>
      </c>
      <c r="N81" s="2" t="inlineStr">
        <is>
          <t>황충</t>
        </is>
      </c>
      <c r="O81" s="2" t="n"/>
      <c r="P81" s="2" t="n">
        <v>-1</v>
      </c>
      <c r="Q81" s="4" t="n"/>
      <c r="R81" s="2" t="n"/>
      <c r="S81" s="2" t="n"/>
      <c r="T81" s="2" t="n"/>
    </row>
    <row r="82" ht="48" customHeight="1">
      <c r="A82" s="2" t="n">
        <v>81</v>
      </c>
      <c r="B82" s="2" t="inlineStr">
        <is>
          <t>⑤ 삼국 정립 (209~219)</t>
        </is>
      </c>
      <c r="C82" s="3" t="inlineStr">
        <is>
          <t>계륵</t>
        </is>
      </c>
      <c r="D82" s="2" t="inlineStr">
        <is>
          <t>鷄肋</t>
        </is>
      </c>
      <c r="E82" s="4">
        <f>INDEX(칸!$I$2:$I$416,MATCH(A82,칸!$A$2:$A$416,1))</f>
        <v/>
      </c>
      <c r="F82" s="4" t="inlineStr">
        <is>
          <t>「계륵이다.」 — 그 암호를 듣고 짐을 싼 양수는 조조의 속을 너무 잘 알았다.</t>
        </is>
      </c>
      <c r="G82" s="4" t="inlineStr">
        <is>
          <t>한중에서 나아가지도 물러나지도 못하던 조조가 그날 밤 암호를 「계륵」이라 했다. 양수가 「먹을 것은 없으나 버리기는 아깝다는 뜻」이라며 짐을 싸자, 조조는 군심을 어지럽혔다며 그를 베었다.</t>
        </is>
      </c>
      <c r="H82" s="2">
        <f>COUNTIF(칸!$A$2:$A$416,A82)</f>
        <v/>
      </c>
      <c r="I82" s="2">
        <f>SUMIF(칸!$A$2:$A$416,A82,칸!$H$2:$H$416)</f>
        <v/>
      </c>
      <c r="J82" s="2">
        <f>INDEX(비용표!$A$13:$A$17,MATCH(I82,비용표!$B$13:$B$17,1))</f>
        <v/>
      </c>
      <c r="K82" s="2">
        <f>INDEX(비용표!$C$13:$C$17,MATCH(I82,비용표!$B$13:$B$17,1))</f>
        <v/>
      </c>
      <c r="L82" s="4" t="inlineStr">
        <is>
          <t>양수 지력+2</t>
        </is>
      </c>
      <c r="M82" s="2" t="inlineStr">
        <is>
          <t>능력치</t>
        </is>
      </c>
      <c r="N82" s="2" t="inlineStr">
        <is>
          <t>양수</t>
        </is>
      </c>
      <c r="O82" s="2" t="inlineStr">
        <is>
          <t>지력</t>
        </is>
      </c>
      <c r="P82" s="2" t="n">
        <v>2</v>
      </c>
      <c r="Q82" s="4" t="n"/>
      <c r="R82" s="2" t="n"/>
      <c r="S82" s="2" t="n"/>
      <c r="T82" s="2" t="n"/>
    </row>
    <row r="83" ht="32" customHeight="1">
      <c r="A83" s="2" t="n">
        <v>82</v>
      </c>
      <c r="B83" s="2" t="inlineStr">
        <is>
          <t>⑤ 삼국 정립 (209~219)</t>
        </is>
      </c>
      <c r="C83" s="3" t="inlineStr">
        <is>
          <t>수엄칠군</t>
        </is>
      </c>
      <c r="D83" s="2" t="inlineStr">
        <is>
          <t>水淹七軍</t>
        </is>
      </c>
      <c r="E83" s="4">
        <f>INDEX(칸!$I$2:$I$416,MATCH(A83,칸!$A$2:$A$416,1))</f>
        <v/>
      </c>
      <c r="F83" s="4" t="inlineStr">
        <is>
          <t>불어난 한수가 우금의 일곱 군을 삼켰다.</t>
        </is>
      </c>
      <c r="G83" s="4" t="inlineStr">
        <is>
          <t>관우가 번성을 포위하자 조조는 우금에게 칠군을 주어 구원하게 했다. 때마침 큰비로 한수가 넘치자 관우는 배를 타고 들이쳐 우금을 사로잡았다. 관우의 위엄이 천하를 떨게 했다.</t>
        </is>
      </c>
      <c r="H83" s="2">
        <f>COUNTIF(칸!$A$2:$A$416,A83)</f>
        <v/>
      </c>
      <c r="I83" s="2">
        <f>SUMIF(칸!$A$2:$A$416,A83,칸!$H$2:$H$416)</f>
        <v/>
      </c>
      <c r="J83" s="2">
        <f>INDEX(비용표!$A$13:$A$17,MATCH(I83,비용표!$B$13:$B$17,1))</f>
        <v/>
      </c>
      <c r="K83" s="2">
        <f>INDEX(비용표!$C$13:$C$17,MATCH(I83,비용표!$B$13:$B$17,1))</f>
        <v/>
      </c>
      <c r="L83" s="4" t="inlineStr">
        <is>
          <t>관우 지력+2</t>
        </is>
      </c>
      <c r="M83" s="2" t="inlineStr">
        <is>
          <t>능력치</t>
        </is>
      </c>
      <c r="N83" s="2" t="inlineStr">
        <is>
          <t>관우</t>
        </is>
      </c>
      <c r="O83" s="2" t="inlineStr">
        <is>
          <t>지력</t>
        </is>
      </c>
      <c r="P83" s="2" t="n">
        <v>2</v>
      </c>
      <c r="Q83" s="4" t="n"/>
      <c r="R83" s="2" t="n"/>
      <c r="S83" s="2" t="n"/>
      <c r="T83" s="2" t="n"/>
    </row>
    <row r="84" ht="32" customHeight="1">
      <c r="A84" s="2" t="n">
        <v>83</v>
      </c>
      <c r="B84" s="2" t="inlineStr">
        <is>
          <t>⑤ 삼국 정립 (209~219)</t>
        </is>
      </c>
      <c r="C84" s="3" t="inlineStr">
        <is>
          <t>관을 멘 방덕</t>
        </is>
      </c>
      <c r="D84" s="2" t="inlineStr">
        <is>
          <t>抬櫬決戰</t>
        </is>
      </c>
      <c r="E84" s="4">
        <f>INDEX(칸!$I$2:$I$416,MATCH(A84,칸!$A$2:$A$416,1))</f>
        <v/>
      </c>
      <c r="F84" s="4" t="inlineStr">
        <is>
          <t>관을 짊어지고 나선 방덕은 끝내 무릎 꿇지 않았다.</t>
        </is>
      </c>
      <c r="G84" s="4" t="inlineStr">
        <is>
          <t>방덕은 관우와 싸우러 나서며 관을 짊어지고 가 죽기를 각오했다. 관우와 백 합을 겨뤘으나 칠군이 물에 잠긴 뒤 사로잡혔고, 끝내 무릎 꿇지 않고 죽었다.</t>
        </is>
      </c>
      <c r="H84" s="2">
        <f>COUNTIF(칸!$A$2:$A$416,A84)</f>
        <v/>
      </c>
      <c r="I84" s="2">
        <f>SUMIF(칸!$A$2:$A$416,A84,칸!$H$2:$H$416)</f>
        <v/>
      </c>
      <c r="J84" s="2">
        <f>INDEX(비용표!$A$13:$A$17,MATCH(I84,비용표!$B$13:$B$17,1))</f>
        <v/>
      </c>
      <c r="K84" s="2">
        <f>INDEX(비용표!$C$13:$C$17,MATCH(I84,비용표!$B$13:$B$17,1))</f>
        <v/>
      </c>
      <c r="L84" s="4" t="inlineStr">
        <is>
          <t>적진에 관우 시 방덕 HP+2</t>
        </is>
      </c>
      <c r="M84" s="2" t="inlineStr">
        <is>
          <t>능력치</t>
        </is>
      </c>
      <c r="N84" s="2" t="inlineStr">
        <is>
          <t>방덕</t>
        </is>
      </c>
      <c r="O84" s="2" t="inlineStr">
        <is>
          <t>HP</t>
        </is>
      </c>
      <c r="P84" s="2" t="n">
        <v>2</v>
      </c>
      <c r="Q84" s="4" t="n"/>
      <c r="R84" s="2" t="n"/>
      <c r="S84" s="2" t="inlineStr">
        <is>
          <t>관우</t>
        </is>
      </c>
      <c r="T84" s="2" t="n"/>
    </row>
    <row r="85" ht="32" customHeight="1">
      <c r="A85" s="2" t="n">
        <v>84</v>
      </c>
      <c r="B85" s="2" t="inlineStr">
        <is>
          <t>⑤ 삼국 정립 (209~219)</t>
        </is>
      </c>
      <c r="C85" s="3" t="inlineStr">
        <is>
          <t>백의도강</t>
        </is>
      </c>
      <c r="D85" s="2" t="inlineStr">
        <is>
          <t>白衣渡江</t>
        </is>
      </c>
      <c r="E85" s="4">
        <f>INDEX(칸!$I$2:$I$416,MATCH(A85,칸!$A$2:$A$416,1))</f>
        <v/>
      </c>
      <c r="F85" s="4" t="inlineStr">
        <is>
          <t>흰옷의 상인으로 꾸민 병사들이 강을 건너 형주를 빼앗았다.</t>
        </is>
      </c>
      <c r="G85" s="4" t="inlineStr">
        <is>
          <t>여몽은 병을 핑계로 물러나 육손에게 자리를 넘겼다. 관우가 방심하자 병사들을 흰옷의 상인으로 꾸며 강을 건너게 했고, 봉화대를 소리 없이 장악해 형주를 빼앗았다.</t>
        </is>
      </c>
      <c r="H85" s="2">
        <f>COUNTIF(칸!$A$2:$A$416,A85)</f>
        <v/>
      </c>
      <c r="I85" s="2">
        <f>SUMIF(칸!$A$2:$A$416,A85,칸!$H$2:$H$416)</f>
        <v/>
      </c>
      <c r="J85" s="2">
        <f>INDEX(비용표!$A$13:$A$17,MATCH(I85,비용표!$B$13:$B$17,1))</f>
        <v/>
      </c>
      <c r="K85" s="2">
        <f>INDEX(비용표!$C$13:$C$17,MATCH(I85,비용표!$B$13:$B$17,1))</f>
        <v/>
      </c>
      <c r="L85" s="4" t="inlineStr">
        <is>
          <t>여몽의 「백의도강」 SP 6 → 5</t>
        </is>
      </c>
      <c r="M85" s="2" t="inlineStr">
        <is>
          <t>고유기술SP</t>
        </is>
      </c>
      <c r="N85" s="2" t="inlineStr">
        <is>
          <t>여몽</t>
        </is>
      </c>
      <c r="O85" s="2" t="n"/>
      <c r="P85" s="2" t="n">
        <v>-1</v>
      </c>
      <c r="Q85" s="4" t="n"/>
      <c r="R85" s="2" t="n"/>
      <c r="S85" s="2" t="n"/>
      <c r="T85" s="2" t="n"/>
    </row>
    <row r="86" ht="32" customHeight="1">
      <c r="A86" s="2" t="n">
        <v>85</v>
      </c>
      <c r="B86" s="2" t="inlineStr">
        <is>
          <t>⑤ 삼국 정립 (209~219)</t>
        </is>
      </c>
      <c r="C86" s="3" t="inlineStr">
        <is>
          <t>맥성</t>
        </is>
      </c>
      <c r="D86" s="2" t="inlineStr">
        <is>
          <t>走麥城</t>
        </is>
      </c>
      <c r="E86" s="4">
        <f>INDEX(칸!$I$2:$I$416,MATCH(A86,칸!$A$2:$A$416,1))</f>
        <v/>
      </c>
      <c r="F86" s="4" t="inlineStr">
        <is>
          <t>구원은 오지 않았고 관우 부자는 맥성을 빠져나가지 못했다.</t>
        </is>
      </c>
      <c r="G86" s="4" t="inlineStr">
        <is>
          <t>형주를 잃은 관우는 맥성으로 몰렸다. 요화가 상용의 유봉 · 맹달에게 구원을 청했으나 그들은 오지 않았다. 관우 부자는 성을 빠져나가다 임저에서 사로잡혔다.</t>
        </is>
      </c>
      <c r="H86" s="2">
        <f>COUNTIF(칸!$A$2:$A$416,A86)</f>
        <v/>
      </c>
      <c r="I86" s="2">
        <f>SUMIF(칸!$A$2:$A$416,A86,칸!$H$2:$H$416)</f>
        <v/>
      </c>
      <c r="J86" s="2">
        <f>INDEX(비용표!$A$13:$A$17,MATCH(I86,비용표!$B$13:$B$17,1))</f>
        <v/>
      </c>
      <c r="K86" s="2">
        <f>INDEX(비용표!$C$13:$C$17,MATCH(I86,비용표!$B$13:$B$17,1))</f>
        <v/>
      </c>
      <c r="L86" s="4" t="inlineStr">
        <is>
          <t>관우 함께 참전 시 관평·주창 HP+1</t>
        </is>
      </c>
      <c r="M86" s="2" t="inlineStr">
        <is>
          <t>능력치</t>
        </is>
      </c>
      <c r="N86" s="2" t="inlineStr">
        <is>
          <t>관평·주창</t>
        </is>
      </c>
      <c r="O86" s="2" t="inlineStr">
        <is>
          <t>HP</t>
        </is>
      </c>
      <c r="P86" s="2" t="n">
        <v>1</v>
      </c>
      <c r="Q86" s="4" t="inlineStr">
        <is>
          <t>관우</t>
        </is>
      </c>
      <c r="R86" s="2" t="n"/>
      <c r="S86" s="2" t="n"/>
      <c r="T86" s="2" t="n"/>
    </row>
    <row r="87" ht="32" customHeight="1">
      <c r="A87" s="2" t="n">
        <v>86</v>
      </c>
      <c r="B87" s="2" t="inlineStr">
        <is>
          <t>⑥ 이릉 · 남정 (220~225)</t>
        </is>
      </c>
      <c r="C87" s="3" t="inlineStr">
        <is>
          <t>수선대</t>
        </is>
      </c>
      <c r="D87" s="2" t="inlineStr">
        <is>
          <t>受禪臺</t>
        </is>
      </c>
      <c r="E87" s="4">
        <f>INDEX(칸!$I$2:$I$416,MATCH(A87,칸!$A$2:$A$416,1))</f>
        <v/>
      </c>
      <c r="F87" s="4" t="inlineStr">
        <is>
          <t>사백 년 한나라가 수선대 위에서 끝났다.</t>
        </is>
      </c>
      <c r="G87" s="4" t="inlineStr">
        <is>
          <t>조조가 죽자 아들 조비는 헌제를 압박해 수선대에서 제위를 넘겨받았다. 사백 년 한나라가 끝나고 위가 섰다.</t>
        </is>
      </c>
      <c r="H87" s="2">
        <f>COUNTIF(칸!$A$2:$A$416,A87)</f>
        <v/>
      </c>
      <c r="I87" s="2">
        <f>SUMIF(칸!$A$2:$A$416,A87,칸!$H$2:$H$416)</f>
        <v/>
      </c>
      <c r="J87" s="2">
        <f>INDEX(비용표!$A$13:$A$17,MATCH(I87,비용표!$B$13:$B$17,1))</f>
        <v/>
      </c>
      <c r="K87" s="2">
        <f>INDEX(비용표!$C$13:$C$17,MATCH(I87,비용표!$B$13:$B$17,1))</f>
        <v/>
      </c>
      <c r="L87" s="4" t="inlineStr">
        <is>
          <t>조비 지력+2</t>
        </is>
      </c>
      <c r="M87" s="2" t="inlineStr">
        <is>
          <t>능력치</t>
        </is>
      </c>
      <c r="N87" s="2" t="inlineStr">
        <is>
          <t>조비</t>
        </is>
      </c>
      <c r="O87" s="2" t="inlineStr">
        <is>
          <t>지력</t>
        </is>
      </c>
      <c r="P87" s="2" t="n">
        <v>2</v>
      </c>
      <c r="Q87" s="4" t="n"/>
      <c r="R87" s="2" t="n"/>
      <c r="S87" s="2" t="n"/>
      <c r="T87" s="2" t="n"/>
    </row>
    <row r="88" ht="32" customHeight="1">
      <c r="A88" s="2" t="n">
        <v>87</v>
      </c>
      <c r="B88" s="2" t="inlineStr">
        <is>
          <t>⑥ 이릉 · 남정 (220~225)</t>
        </is>
      </c>
      <c r="C88" s="3" t="inlineStr">
        <is>
          <t>칠보시</t>
        </is>
      </c>
      <c r="D88" s="2" t="inlineStr">
        <is>
          <t>七步詩</t>
        </is>
      </c>
      <c r="E88" s="4">
        <f>INDEX(칸!$I$2:$I$416,MATCH(A88,칸!$A$2:$A$416,1))</f>
        <v/>
      </c>
      <c r="F88" s="4" t="inlineStr">
        <is>
          <t>「콩깍지를 태워 콩을 삶으니」 — 일곱 걸음 안에 지은 시.</t>
        </is>
      </c>
      <c r="G88" s="4" t="inlineStr">
        <is>
          <t>조비는 아우 조식을 시기해, 일곱 걸음 안에 시를 짓지 못하면 죽이겠다고 했다. 조식이 「콩깍지를 태워 콩을 삶으니」라고 읊자 조비는 부끄러워 그를 놓아주었다.</t>
        </is>
      </c>
      <c r="H88" s="2">
        <f>COUNTIF(칸!$A$2:$A$416,A88)</f>
        <v/>
      </c>
      <c r="I88" s="2">
        <f>SUMIF(칸!$A$2:$A$416,A88,칸!$H$2:$H$416)</f>
        <v/>
      </c>
      <c r="J88" s="2">
        <f>INDEX(비용표!$A$13:$A$17,MATCH(I88,비용표!$B$13:$B$17,1))</f>
        <v/>
      </c>
      <c r="K88" s="2">
        <f>INDEX(비용표!$C$13:$C$17,MATCH(I88,비용표!$B$13:$B$17,1))</f>
        <v/>
      </c>
      <c r="L88" s="4" t="inlineStr">
        <is>
          <t>적진에 조비 시 조식 HP+2</t>
        </is>
      </c>
      <c r="M88" s="2" t="inlineStr">
        <is>
          <t>능력치</t>
        </is>
      </c>
      <c r="N88" s="2" t="inlineStr">
        <is>
          <t>조식</t>
        </is>
      </c>
      <c r="O88" s="2" t="inlineStr">
        <is>
          <t>HP</t>
        </is>
      </c>
      <c r="P88" s="2" t="n">
        <v>2</v>
      </c>
      <c r="Q88" s="4" t="n"/>
      <c r="R88" s="2" t="n"/>
      <c r="S88" s="2" t="inlineStr">
        <is>
          <t>조비</t>
        </is>
      </c>
      <c r="T88" s="2" t="n"/>
    </row>
    <row r="89" ht="32" customHeight="1">
      <c r="A89" s="2" t="n">
        <v>88</v>
      </c>
      <c r="B89" s="2" t="inlineStr">
        <is>
          <t>⑥ 이릉 · 남정 (220~225)</t>
        </is>
      </c>
      <c r="C89" s="3" t="inlineStr">
        <is>
          <t>아버지의 원수</t>
        </is>
      </c>
      <c r="D89" s="2" t="inlineStr">
        <is>
          <t>關興張苞</t>
        </is>
      </c>
      <c r="E89" s="4">
        <f>INDEX(칸!$I$2:$I$416,MATCH(A89,칸!$A$2:$A$416,1))</f>
        <v/>
      </c>
      <c r="F89" s="4" t="inlineStr">
        <is>
          <t>관우와 장비의 아들들은 의형제의 맹세까지 물려받았다.</t>
        </is>
      </c>
      <c r="G89" s="4" t="inlineStr">
        <is>
          <t>관우와 장비가 죽은 뒤, 두 사람의 아들 관흥과 장포는 아버지들처럼 의형제를 맺었다. 둘은 이릉으로 가는 유비를 따라 아버지의 원수를 갚으러 나섰다.</t>
        </is>
      </c>
      <c r="H89" s="2">
        <f>COUNTIF(칸!$A$2:$A$416,A89)</f>
        <v/>
      </c>
      <c r="I89" s="2">
        <f>SUMIF(칸!$A$2:$A$416,A89,칸!$H$2:$H$416)</f>
        <v/>
      </c>
      <c r="J89" s="2">
        <f>INDEX(비용표!$A$13:$A$17,MATCH(I89,비용표!$B$13:$B$17,1))</f>
        <v/>
      </c>
      <c r="K89" s="2">
        <f>INDEX(비용표!$C$13:$C$17,MATCH(I89,비용표!$B$13:$B$17,1))</f>
        <v/>
      </c>
      <c r="L89" s="4" t="inlineStr">
        <is>
          <t>관흥·장포 함께 참전 시 관흥·장포 무력+1</t>
        </is>
      </c>
      <c r="M89" s="2" t="inlineStr">
        <is>
          <t>능력치</t>
        </is>
      </c>
      <c r="N89" s="2" t="inlineStr">
        <is>
          <t>관흥·장포</t>
        </is>
      </c>
      <c r="O89" s="2" t="inlineStr">
        <is>
          <t>무력</t>
        </is>
      </c>
      <c r="P89" s="2" t="n">
        <v>1</v>
      </c>
      <c r="Q89" s="4" t="inlineStr">
        <is>
          <t>관흥·장포</t>
        </is>
      </c>
      <c r="R89" s="2" t="n"/>
      <c r="S89" s="2" t="n"/>
      <c r="T89" s="2" t="n"/>
    </row>
    <row r="90" ht="32" customHeight="1">
      <c r="A90" s="2" t="n">
        <v>89</v>
      </c>
      <c r="B90" s="2" t="inlineStr">
        <is>
          <t>⑥ 이릉 · 남정 (220~225)</t>
        </is>
      </c>
      <c r="C90" s="3" t="inlineStr">
        <is>
          <t>오계의 만왕</t>
        </is>
      </c>
      <c r="D90" s="2" t="inlineStr">
        <is>
          <t>沙摩柯</t>
        </is>
      </c>
      <c r="E90" s="4">
        <f>INDEX(칸!$I$2:$I$416,MATCH(A90,칸!$A$2:$A$416,1))</f>
        <v/>
      </c>
      <c r="F90" s="4" t="inlineStr">
        <is>
          <t>이릉의 길에서 사마가의 화살이 감녕을 쓰러뜨렸다.</t>
        </is>
      </c>
      <c r="G90" s="4" t="inlineStr">
        <is>
          <t>유비의 동정에 무릉의 오계만왕 사마가가 군사를 이끌고 합류했다. 연의는 그의 화살이 오의 맹장 감녕을 쓰러뜨렸다고 전한다.</t>
        </is>
      </c>
      <c r="H90" s="2">
        <f>COUNTIF(칸!$A$2:$A$416,A90)</f>
        <v/>
      </c>
      <c r="I90" s="2">
        <f>SUMIF(칸!$A$2:$A$416,A90,칸!$H$2:$H$416)</f>
        <v/>
      </c>
      <c r="J90" s="2">
        <f>INDEX(비용표!$A$13:$A$17,MATCH(I90,비용표!$B$13:$B$17,1))</f>
        <v/>
      </c>
      <c r="K90" s="2">
        <f>INDEX(비용표!$C$13:$C$17,MATCH(I90,비용표!$B$13:$B$17,1))</f>
        <v/>
      </c>
      <c r="L90" s="4" t="inlineStr">
        <is>
          <t>적진에 감녕 시 사마가 무력+2</t>
        </is>
      </c>
      <c r="M90" s="2" t="inlineStr">
        <is>
          <t>능력치</t>
        </is>
      </c>
      <c r="N90" s="2" t="inlineStr">
        <is>
          <t>사마가</t>
        </is>
      </c>
      <c r="O90" s="2" t="inlineStr">
        <is>
          <t>무력</t>
        </is>
      </c>
      <c r="P90" s="2" t="n">
        <v>2</v>
      </c>
      <c r="Q90" s="4" t="n"/>
      <c r="R90" s="2" t="n"/>
      <c r="S90" s="2" t="inlineStr">
        <is>
          <t>감녕</t>
        </is>
      </c>
      <c r="T90" s="2" t="n"/>
    </row>
    <row r="91" ht="32" customHeight="1">
      <c r="A91" s="2" t="n">
        <v>90</v>
      </c>
      <c r="B91" s="2" t="inlineStr">
        <is>
          <t>⑥ 이릉 · 남정 (220~225)</t>
        </is>
      </c>
      <c r="C91" s="3" t="inlineStr">
        <is>
          <t>이릉대전</t>
        </is>
      </c>
      <c r="D91" s="2" t="inlineStr">
        <is>
          <t>夷陵之戰</t>
        </is>
      </c>
      <c r="E91" s="4">
        <f>INDEX(칸!$I$2:$I$416,MATCH(A91,칸!$A$2:$A$416,1))</f>
        <v/>
      </c>
      <c r="F91" s="4" t="inlineStr">
        <is>
          <t>칠백 리 연영이 하룻밤 불길에 사라졌다.</t>
        </is>
      </c>
      <c r="G91" s="4" t="inlineStr">
        <is>
          <t>관우의 원수를 갚으려 유비는 대군을 이끌고 오를 쳤다. 육손은 맞서지 않고 버티다가, 무더위에 숲속에 칠백 리로 늘어선 촉의 진영에 일제히 불을 질렀다.</t>
        </is>
      </c>
      <c r="H91" s="2">
        <f>COUNTIF(칸!$A$2:$A$416,A91)</f>
        <v/>
      </c>
      <c r="I91" s="2">
        <f>SUMIF(칸!$A$2:$A$416,A91,칸!$H$2:$H$416)</f>
        <v/>
      </c>
      <c r="J91" s="2">
        <f>INDEX(비용표!$A$13:$A$17,MATCH(I91,비용표!$B$13:$B$17,1))</f>
        <v/>
      </c>
      <c r="K91" s="2">
        <f>INDEX(비용표!$C$13:$C$17,MATCH(I91,비용표!$B$13:$B$17,1))</f>
        <v/>
      </c>
      <c r="L91" s="4" t="inlineStr">
        <is>
          <t>육손의 「화소연영」 SP 6 → 5</t>
        </is>
      </c>
      <c r="M91" s="2" t="inlineStr">
        <is>
          <t>고유기술SP</t>
        </is>
      </c>
      <c r="N91" s="2" t="inlineStr">
        <is>
          <t>육손</t>
        </is>
      </c>
      <c r="O91" s="2" t="n"/>
      <c r="P91" s="2" t="n">
        <v>-1</v>
      </c>
      <c r="Q91" s="4" t="n"/>
      <c r="R91" s="2" t="n"/>
      <c r="S91" s="2" t="n"/>
      <c r="T91" s="2" t="n"/>
    </row>
    <row r="92" ht="32" customHeight="1">
      <c r="A92" s="2" t="n">
        <v>91</v>
      </c>
      <c r="B92" s="2" t="inlineStr">
        <is>
          <t>⑥ 이릉 · 남정 (220~225)</t>
        </is>
      </c>
      <c r="C92" s="3" t="inlineStr">
        <is>
          <t>백제성 탁고</t>
        </is>
      </c>
      <c r="D92" s="2" t="inlineStr">
        <is>
          <t>白帝城託孤</t>
        </is>
      </c>
      <c r="E92" s="4">
        <f>INDEX(칸!$I$2:$I$416,MATCH(A92,칸!$A$2:$A$416,1))</f>
        <v/>
      </c>
      <c r="F92" s="4" t="inlineStr">
        <is>
          <t>「그대의 재주가 조비의 열 배다. 아들이 모자라면 그대가 취하라.」</t>
        </is>
      </c>
      <c r="G92" s="4" t="inlineStr">
        <is>
          <t>이릉에서 진 유비는 백제성에서 병들어 제갈량을 불렀다. 「아들이 보좌할 만하면 돕고, 그렇지 못하면 그대가 취하라.」 제갈량은 울며 죽을 때까지 충성하겠다고 답했다.</t>
        </is>
      </c>
      <c r="H92" s="2">
        <f>COUNTIF(칸!$A$2:$A$416,A92)</f>
        <v/>
      </c>
      <c r="I92" s="2">
        <f>SUMIF(칸!$A$2:$A$416,A92,칸!$H$2:$H$416)</f>
        <v/>
      </c>
      <c r="J92" s="2">
        <f>INDEX(비용표!$A$13:$A$17,MATCH(I92,비용표!$B$13:$B$17,1))</f>
        <v/>
      </c>
      <c r="K92" s="2">
        <f>INDEX(비용표!$C$13:$C$17,MATCH(I92,비용표!$B$13:$B$17,1))</f>
        <v/>
      </c>
      <c r="L92" s="4" t="inlineStr">
        <is>
          <t>제갈량 함께 참전 시 유선 HP+2</t>
        </is>
      </c>
      <c r="M92" s="2" t="inlineStr">
        <is>
          <t>능력치</t>
        </is>
      </c>
      <c r="N92" s="2" t="inlineStr">
        <is>
          <t>유선</t>
        </is>
      </c>
      <c r="O92" s="2" t="inlineStr">
        <is>
          <t>HP</t>
        </is>
      </c>
      <c r="P92" s="2" t="n">
        <v>2</v>
      </c>
      <c r="Q92" s="4" t="inlineStr">
        <is>
          <t>제갈량</t>
        </is>
      </c>
      <c r="R92" s="2" t="n"/>
      <c r="S92" s="2" t="n"/>
      <c r="T92" s="2" t="n"/>
    </row>
    <row r="93" ht="32" customHeight="1">
      <c r="A93" s="2" t="n">
        <v>92</v>
      </c>
      <c r="B93" s="2" t="inlineStr">
        <is>
          <t>⑥ 이릉 · 남정 (220~225)</t>
        </is>
      </c>
      <c r="C93" s="3" t="inlineStr">
        <is>
          <t>서성의 가짜 성벽</t>
        </is>
      </c>
      <c r="D93" s="2" t="inlineStr">
        <is>
          <t>徐盛疑城</t>
        </is>
      </c>
      <c r="E93" s="4">
        <f>INDEX(칸!$I$2:$I$416,MATCH(A93,칸!$A$2:$A$416,1))</f>
        <v/>
      </c>
      <c r="F93" s="4" t="inlineStr">
        <is>
          <t>하룻밤 새 세운 갈대 성벽에 조비의 대군이 물러갔다.</t>
        </is>
      </c>
      <c r="G93" s="4" t="inlineStr">
        <is>
          <t>조비가 대군으로 광릉에 이르자, 서성은 강가에 갈대와 나무로 수백 리의 가짜 성벽을 하룻밤에 세웠다. 조비는 그 위용에 놀라 「위에 무사가 천 명 있어도 쓸 데가 없다」며 물러났다.</t>
        </is>
      </c>
      <c r="H93" s="2">
        <f>COUNTIF(칸!$A$2:$A$416,A93)</f>
        <v/>
      </c>
      <c r="I93" s="2">
        <f>SUMIF(칸!$A$2:$A$416,A93,칸!$H$2:$H$416)</f>
        <v/>
      </c>
      <c r="J93" s="2">
        <f>INDEX(비용표!$A$13:$A$17,MATCH(I93,비용표!$B$13:$B$17,1))</f>
        <v/>
      </c>
      <c r="K93" s="2">
        <f>INDEX(비용표!$C$13:$C$17,MATCH(I93,비용표!$B$13:$B$17,1))</f>
        <v/>
      </c>
      <c r="L93" s="4" t="inlineStr">
        <is>
          <t>서성 지력+1</t>
        </is>
      </c>
      <c r="M93" s="2" t="inlineStr">
        <is>
          <t>능력치</t>
        </is>
      </c>
      <c r="N93" s="2" t="inlineStr">
        <is>
          <t>서성</t>
        </is>
      </c>
      <c r="O93" s="2" t="inlineStr">
        <is>
          <t>지력</t>
        </is>
      </c>
      <c r="P93" s="2" t="n">
        <v>1</v>
      </c>
      <c r="Q93" s="4" t="n"/>
      <c r="R93" s="2" t="n"/>
      <c r="S93" s="2" t="n"/>
      <c r="T93" s="2" t="n"/>
    </row>
    <row r="94" ht="32" customHeight="1">
      <c r="A94" s="2" t="n">
        <v>93</v>
      </c>
      <c r="B94" s="2" t="inlineStr">
        <is>
          <t>⑥ 이릉 · 남정 (220~225)</t>
        </is>
      </c>
      <c r="C94" s="3" t="inlineStr">
        <is>
          <t>칠종칠금</t>
        </is>
      </c>
      <c r="D94" s="2" t="inlineStr">
        <is>
          <t>七縱七擒</t>
        </is>
      </c>
      <c r="E94" s="4">
        <f>INDEX(칸!$I$2:$I$416,MATCH(A94,칸!$A$2:$A$416,1))</f>
        <v/>
      </c>
      <c r="F94" s="4" t="inlineStr">
        <is>
          <t>일곱 번 잡고 일곱 번 놓아주니 남만이 마음으로 복종했다.</t>
        </is>
      </c>
      <c r="G94" s="4" t="inlineStr">
        <is>
          <t>남만의 맹획이 반란을 일으키자 제갈량은 직접 남정에 나섰다. 일곱 번 사로잡고 일곱 번 놓아주니, 맹획은 마침내 마음으로 복종했다. 연의에서는 축융 부인과 오란도 나선다.</t>
        </is>
      </c>
      <c r="H94" s="2">
        <f>COUNTIF(칸!$A$2:$A$416,A94)</f>
        <v/>
      </c>
      <c r="I94" s="2">
        <f>SUMIF(칸!$A$2:$A$416,A94,칸!$H$2:$H$416)</f>
        <v/>
      </c>
      <c r="J94" s="2">
        <f>INDEX(비용표!$A$13:$A$17,MATCH(I94,비용표!$B$13:$B$17,1))</f>
        <v/>
      </c>
      <c r="K94" s="2">
        <f>INDEX(비용표!$C$13:$C$17,MATCH(I94,비용표!$B$13:$B$17,1))</f>
        <v/>
      </c>
      <c r="L94" s="4" t="inlineStr">
        <is>
          <t>축융·오란 함께 참전 시 축융·오란 통솔+1</t>
        </is>
      </c>
      <c r="M94" s="2" t="inlineStr">
        <is>
          <t>능력치</t>
        </is>
      </c>
      <c r="N94" s="2" t="inlineStr">
        <is>
          <t>축융·오란</t>
        </is>
      </c>
      <c r="O94" s="2" t="inlineStr">
        <is>
          <t>통솔</t>
        </is>
      </c>
      <c r="P94" s="2" t="n">
        <v>1</v>
      </c>
      <c r="Q94" s="4" t="inlineStr">
        <is>
          <t>축융·오란</t>
        </is>
      </c>
      <c r="R94" s="2" t="n"/>
      <c r="S94" s="2" t="n"/>
      <c r="T94" s="2" t="n"/>
    </row>
    <row r="95" ht="32" customHeight="1">
      <c r="A95" s="2" t="n">
        <v>94</v>
      </c>
      <c r="B95" s="2" t="inlineStr">
        <is>
          <t>⑥ 이릉 · 남정 (220~225)</t>
        </is>
      </c>
      <c r="C95" s="3" t="inlineStr">
        <is>
          <t>출사표</t>
        </is>
      </c>
      <c r="D95" s="2" t="inlineStr">
        <is>
          <t>出師表</t>
        </is>
      </c>
      <c r="E95" s="4">
        <f>INDEX(칸!$I$2:$I$416,MATCH(A95,칸!$A$2:$A$416,1))</f>
        <v/>
      </c>
      <c r="F95" s="4" t="inlineStr">
        <is>
          <t>「신은 본래 포의로서 남양에서 몸소 밭을 갈았습니다.」</t>
        </is>
      </c>
      <c r="G95" s="4" t="inlineStr">
        <is>
          <t>남만을 평정한 제갈량은 북벌을 앞두고 어린 황제 유선에게 표문을 올렸다. 「신은 본래 포의로서 남양에서 몸소 밭을 갈았습니다」로 시작하는 출사표는 충신의 글로 천 년을 전해졌다.</t>
        </is>
      </c>
      <c r="H95" s="2">
        <f>COUNTIF(칸!$A$2:$A$416,A95)</f>
        <v/>
      </c>
      <c r="I95" s="2">
        <f>SUMIF(칸!$A$2:$A$416,A95,칸!$H$2:$H$416)</f>
        <v/>
      </c>
      <c r="J95" s="2">
        <f>INDEX(비용표!$A$13:$A$17,MATCH(I95,비용표!$B$13:$B$17,1))</f>
        <v/>
      </c>
      <c r="K95" s="2">
        <f>INDEX(비용표!$C$13:$C$17,MATCH(I95,비용표!$B$13:$B$17,1))</f>
        <v/>
      </c>
      <c r="L95" s="4" t="inlineStr">
        <is>
          <t>군량 충전 속도 +5%</t>
        </is>
      </c>
      <c r="M95" s="2" t="inlineStr">
        <is>
          <t>도시</t>
        </is>
      </c>
      <c r="N95" s="2" t="n"/>
      <c r="O95" s="2" t="n"/>
      <c r="P95" s="2" t="n">
        <v>5</v>
      </c>
      <c r="Q95" s="4" t="n"/>
      <c r="R95" s="2" t="n"/>
      <c r="S95" s="2" t="n"/>
      <c r="T95" s="2" t="inlineStr">
        <is>
          <t>grainRate</t>
        </is>
      </c>
    </row>
    <row r="96" ht="48" customHeight="1">
      <c r="A96" s="2" t="n">
        <v>95</v>
      </c>
      <c r="B96" s="2" t="inlineStr">
        <is>
          <t>⑥ 이릉 · 남정 (220~225)</t>
        </is>
      </c>
      <c r="C96" s="3" t="inlineStr">
        <is>
          <t>오두미도</t>
        </is>
      </c>
      <c r="D96" s="2" t="inlineStr">
        <is>
          <t>五斗米道</t>
        </is>
      </c>
      <c r="E96" s="4">
        <f>INDEX(칸!$I$2:$I$416,MATCH(A96,칸!$A$2:$A$416,1))</f>
        <v/>
      </c>
      <c r="F96" s="4" t="inlineStr">
        <is>
          <t>쌀 다섯 말을 바치면 병을 고쳐 준다던 한중의 교단.</t>
        </is>
      </c>
      <c r="G96" s="4" t="inlineStr">
        <is>
          <t>장로는 한중에서 오두미도를 이끌었다. 병든 자를 고치고 쌀 다섯 말을 받았으며, 길가에 의사(義舍)를 세워 나그네에게 쌀과 고기를 내주었다. 조조에게 항복할 때도 창고를 봉하고 떠났다.</t>
        </is>
      </c>
      <c r="H96" s="2">
        <f>COUNTIF(칸!$A$2:$A$416,A96)</f>
        <v/>
      </c>
      <c r="I96" s="2">
        <f>SUMIF(칸!$A$2:$A$416,A96,칸!$H$2:$H$416)</f>
        <v/>
      </c>
      <c r="J96" s="2">
        <f>INDEX(비용표!$A$13:$A$17,MATCH(I96,비용표!$B$13:$B$17,1))</f>
        <v/>
      </c>
      <c r="K96" s="2">
        <f>INDEX(비용표!$C$13:$C$17,MATCH(I96,비용표!$B$13:$B$17,1))</f>
        <v/>
      </c>
      <c r="L96" s="4" t="inlineStr">
        <is>
          <t>병원 치료 시간 −5%</t>
        </is>
      </c>
      <c r="M96" s="2" t="inlineStr">
        <is>
          <t>도시</t>
        </is>
      </c>
      <c r="N96" s="2" t="n"/>
      <c r="O96" s="2" t="n"/>
      <c r="P96" s="2" t="n">
        <v>5</v>
      </c>
      <c r="Q96" s="4" t="n"/>
      <c r="R96" s="2" t="n"/>
      <c r="S96" s="2" t="n"/>
      <c r="T96" s="2" t="inlineStr">
        <is>
          <t>heal</t>
        </is>
      </c>
    </row>
    <row r="97" ht="32" customHeight="1">
      <c r="A97" s="2" t="n">
        <v>96</v>
      </c>
      <c r="B97" s="2" t="inlineStr">
        <is>
          <t>⑦ 북벌 (227~234)</t>
        </is>
      </c>
      <c r="C97" s="3" t="inlineStr">
        <is>
          <t>천수의 강유</t>
        </is>
      </c>
      <c r="D97" s="2" t="inlineStr">
        <is>
          <t>天水姜維</t>
        </is>
      </c>
      <c r="E97" s="4">
        <f>INDEX(칸!$I$2:$I$416,MATCH(A97,칸!$A$2:$A$416,1))</f>
        <v/>
      </c>
      <c r="F97" s="4" t="inlineStr">
        <is>
          <t>제갈량의 계략을 꿰뚫은 젊은 장수는 그대로 그의 제자가 되었다.</t>
        </is>
      </c>
      <c r="G97" s="4" t="inlineStr">
        <is>
          <t>첫 북벌에서 제갈량의 계략을 꿰뚫은 천수의 젊은 장수가 있었다. 제갈량은 그 재주를 아껴 계책으로 그를 얻었고, 강유는 그대로 제갈량의 제자가 되었다.</t>
        </is>
      </c>
      <c r="H97" s="2">
        <f>COUNTIF(칸!$A$2:$A$416,A97)</f>
        <v/>
      </c>
      <c r="I97" s="2">
        <f>SUMIF(칸!$A$2:$A$416,A97,칸!$H$2:$H$416)</f>
        <v/>
      </c>
      <c r="J97" s="2">
        <f>INDEX(비용표!$A$13:$A$17,MATCH(I97,비용표!$B$13:$B$17,1))</f>
        <v/>
      </c>
      <c r="K97" s="2">
        <f>INDEX(비용표!$C$13:$C$17,MATCH(I97,비용표!$B$13:$B$17,1))</f>
        <v/>
      </c>
      <c r="L97" s="4" t="inlineStr">
        <is>
          <t>강유 통솔+2</t>
        </is>
      </c>
      <c r="M97" s="2" t="inlineStr">
        <is>
          <t>능력치</t>
        </is>
      </c>
      <c r="N97" s="2" t="inlineStr">
        <is>
          <t>강유</t>
        </is>
      </c>
      <c r="O97" s="2" t="inlineStr">
        <is>
          <t>통솔</t>
        </is>
      </c>
      <c r="P97" s="2" t="n">
        <v>2</v>
      </c>
      <c r="Q97" s="4" t="n"/>
      <c r="R97" s="2" t="n"/>
      <c r="S97" s="2" t="n"/>
      <c r="T97" s="2" t="n"/>
    </row>
    <row r="98" ht="32" customHeight="1">
      <c r="A98" s="2" t="n">
        <v>97</v>
      </c>
      <c r="B98" s="2" t="inlineStr">
        <is>
          <t>⑦ 북벌 (227~234)</t>
        </is>
      </c>
      <c r="C98" s="3" t="inlineStr">
        <is>
          <t>가정</t>
        </is>
      </c>
      <c r="D98" s="2" t="inlineStr">
        <is>
          <t>街亭</t>
        </is>
      </c>
      <c r="E98" s="4">
        <f>INDEX(칸!$I$2:$I$416,MATCH(A98,칸!$A$2:$A$416,1))</f>
        <v/>
      </c>
      <c r="F98" s="4" t="inlineStr">
        <is>
          <t>왕평은 산 위에 진을 치지 말라 했다.</t>
        </is>
      </c>
      <c r="G98" s="4" t="inlineStr">
        <is>
          <t>제갈량은 가정을 지키는 중임을 마속에게 맡겼다. 마속은 「산 위에 진을 치지 말라」는 왕평의 말을 듣지 않았고, 장합에게 물길을 끊겨 대패했다. 첫 북벌은 여기서 무너졌다.</t>
        </is>
      </c>
      <c r="H98" s="2">
        <f>COUNTIF(칸!$A$2:$A$416,A98)</f>
        <v/>
      </c>
      <c r="I98" s="2">
        <f>SUMIF(칸!$A$2:$A$416,A98,칸!$H$2:$H$416)</f>
        <v/>
      </c>
      <c r="J98" s="2">
        <f>INDEX(비용표!$A$13:$A$17,MATCH(I98,비용표!$B$13:$B$17,1))</f>
        <v/>
      </c>
      <c r="K98" s="2">
        <f>INDEX(비용표!$C$13:$C$17,MATCH(I98,비용표!$B$13:$B$17,1))</f>
        <v/>
      </c>
      <c r="L98" s="4" t="inlineStr">
        <is>
          <t>마속 함께 참전 시 왕평 지력+2</t>
        </is>
      </c>
      <c r="M98" s="2" t="inlineStr">
        <is>
          <t>능력치</t>
        </is>
      </c>
      <c r="N98" s="2" t="inlineStr">
        <is>
          <t>왕평</t>
        </is>
      </c>
      <c r="O98" s="2" t="inlineStr">
        <is>
          <t>지력</t>
        </is>
      </c>
      <c r="P98" s="2" t="n">
        <v>2</v>
      </c>
      <c r="Q98" s="4" t="inlineStr">
        <is>
          <t>마속</t>
        </is>
      </c>
      <c r="R98" s="2" t="n"/>
      <c r="S98" s="2" t="n"/>
      <c r="T98" s="2" t="n"/>
    </row>
    <row r="99" ht="32" customHeight="1">
      <c r="A99" s="2" t="n">
        <v>98</v>
      </c>
      <c r="B99" s="2" t="inlineStr">
        <is>
          <t>⑦ 북벌 (227~234)</t>
        </is>
      </c>
      <c r="C99" s="3" t="inlineStr">
        <is>
          <t>공성계</t>
        </is>
      </c>
      <c r="D99" s="2" t="inlineStr">
        <is>
          <t>空城計</t>
        </is>
      </c>
      <c r="E99" s="4">
        <f>INDEX(칸!$I$2:$I$416,MATCH(A99,칸!$A$2:$A$416,1))</f>
        <v/>
      </c>
      <c r="F99" s="4" t="inlineStr">
        <is>
          <t>성문을 활짝 열고 성루에서 거문고를 탔다.</t>
        </is>
      </c>
      <c r="G99" s="4" t="inlineStr">
        <is>
          <t>가정을 잃고 서성에 남은 제갈량에게 사마의의 대군이 몰려왔다. 제갈량은 성문을 활짝 열고 성루에서 거문고를 탔고, 복병을 의심한 사마의는 물러났다고 연의는 전한다.</t>
        </is>
      </c>
      <c r="H99" s="2">
        <f>COUNTIF(칸!$A$2:$A$416,A99)</f>
        <v/>
      </c>
      <c r="I99" s="2">
        <f>SUMIF(칸!$A$2:$A$416,A99,칸!$H$2:$H$416)</f>
        <v/>
      </c>
      <c r="J99" s="2">
        <f>INDEX(비용표!$A$13:$A$17,MATCH(I99,비용표!$B$13:$B$17,1))</f>
        <v/>
      </c>
      <c r="K99" s="2">
        <f>INDEX(비용표!$C$13:$C$17,MATCH(I99,비용표!$B$13:$B$17,1))</f>
        <v/>
      </c>
      <c r="L99" s="4" t="inlineStr">
        <is>
          <t>적진에 사마의 시 제갈량 HP+1</t>
        </is>
      </c>
      <c r="M99" s="2" t="inlineStr">
        <is>
          <t>능력치</t>
        </is>
      </c>
      <c r="N99" s="2" t="inlineStr">
        <is>
          <t>제갈량</t>
        </is>
      </c>
      <c r="O99" s="2" t="inlineStr">
        <is>
          <t>HP</t>
        </is>
      </c>
      <c r="P99" s="2" t="n">
        <v>1</v>
      </c>
      <c r="Q99" s="4" t="n"/>
      <c r="R99" s="2" t="n"/>
      <c r="S99" s="2" t="inlineStr">
        <is>
          <t>사마의</t>
        </is>
      </c>
      <c r="T99" s="2" t="n"/>
    </row>
    <row r="100" ht="32" customHeight="1">
      <c r="A100" s="2" t="n">
        <v>99</v>
      </c>
      <c r="B100" s="2" t="inlineStr">
        <is>
          <t>⑦ 북벌 (227~234)</t>
        </is>
      </c>
      <c r="C100" s="3" t="inlineStr">
        <is>
          <t>진창 수성</t>
        </is>
      </c>
      <c r="D100" s="2" t="inlineStr">
        <is>
          <t>陳倉守城</t>
        </is>
      </c>
      <c r="E100" s="4">
        <f>INDEX(칸!$I$2:$I$416,MATCH(A100,칸!$A$2:$A$416,1))</f>
        <v/>
      </c>
      <c r="F100" s="4" t="inlineStr">
        <is>
          <t>천여 명으로 수만의 촉군을 스무 날 넘게 막아 냈다.</t>
        </is>
      </c>
      <c r="G100" s="4" t="inlineStr">
        <is>
          <t>두 번째 북벌에서 제갈량은 진창성을 쳤다. 지키는 학소는 천여 명뿐이었으나 운제와 충차를 불화살과 돌로 막아 스무 날 넘게 버텼고, 제갈량은 군량이 떨어져 물러났다.</t>
        </is>
      </c>
      <c r="H100" s="2">
        <f>COUNTIF(칸!$A$2:$A$416,A100)</f>
        <v/>
      </c>
      <c r="I100" s="2">
        <f>SUMIF(칸!$A$2:$A$416,A100,칸!$H$2:$H$416)</f>
        <v/>
      </c>
      <c r="J100" s="2">
        <f>INDEX(비용표!$A$13:$A$17,MATCH(I100,비용표!$B$13:$B$17,1))</f>
        <v/>
      </c>
      <c r="K100" s="2">
        <f>INDEX(비용표!$C$13:$C$17,MATCH(I100,비용표!$B$13:$B$17,1))</f>
        <v/>
      </c>
      <c r="L100" s="4" t="inlineStr">
        <is>
          <t>학소 HP+2</t>
        </is>
      </c>
      <c r="M100" s="2" t="inlineStr">
        <is>
          <t>능력치</t>
        </is>
      </c>
      <c r="N100" s="2" t="inlineStr">
        <is>
          <t>학소</t>
        </is>
      </c>
      <c r="O100" s="2" t="inlineStr">
        <is>
          <t>HP</t>
        </is>
      </c>
      <c r="P100" s="2" t="n">
        <v>2</v>
      </c>
      <c r="Q100" s="4" t="n"/>
      <c r="R100" s="2" t="n"/>
      <c r="S100" s="2" t="n"/>
      <c r="T100" s="2" t="n"/>
    </row>
    <row r="101" ht="32" customHeight="1">
      <c r="A101" s="2" t="n">
        <v>100</v>
      </c>
      <c r="B101" s="2" t="inlineStr">
        <is>
          <t>⑦ 북벌 (227~234)</t>
        </is>
      </c>
      <c r="C101" s="3" t="inlineStr">
        <is>
          <t>목우유마</t>
        </is>
      </c>
      <c r="D101" s="2" t="inlineStr">
        <is>
          <t>木牛流馬</t>
        </is>
      </c>
      <c r="E101" s="4">
        <f>INDEX(칸!$I$2:$I$416,MATCH(A101,칸!$A$2:$A$416,1))</f>
        <v/>
      </c>
      <c r="F101" s="4" t="inlineStr">
        <is>
          <t>나무 소와 흐르는 말이 험한 촉도를 넘어 군량을 날랐다.</t>
        </is>
      </c>
      <c r="G101" s="4" t="inlineStr">
        <is>
          <t>험한 촉의 산길로 군량을 나르기 위해 제갈량은 목우와 유마를 만들었다. 이엄이 군량 수송을 맡았으나 비 때문에 늦어지자 거짓 보고를 올렸다가 실각했다.</t>
        </is>
      </c>
      <c r="H101" s="2">
        <f>COUNTIF(칸!$A$2:$A$416,A101)</f>
        <v/>
      </c>
      <c r="I101" s="2">
        <f>SUMIF(칸!$A$2:$A$416,A101,칸!$H$2:$H$416)</f>
        <v/>
      </c>
      <c r="J101" s="2">
        <f>INDEX(비용표!$A$13:$A$17,MATCH(I101,비용표!$B$13:$B$17,1))</f>
        <v/>
      </c>
      <c r="K101" s="2">
        <f>INDEX(비용표!$C$13:$C$17,MATCH(I101,비용표!$B$13:$B$17,1))</f>
        <v/>
      </c>
      <c r="L101" s="4" t="inlineStr">
        <is>
          <t>군량 충전 속도 +5%</t>
        </is>
      </c>
      <c r="M101" s="2" t="inlineStr">
        <is>
          <t>도시</t>
        </is>
      </c>
      <c r="N101" s="2" t="n"/>
      <c r="O101" s="2" t="n"/>
      <c r="P101" s="2" t="n">
        <v>5</v>
      </c>
      <c r="Q101" s="4" t="n"/>
      <c r="R101" s="2" t="n"/>
      <c r="S101" s="2" t="n"/>
      <c r="T101" s="2" t="inlineStr">
        <is>
          <t>grainRate</t>
        </is>
      </c>
    </row>
    <row r="102" ht="32" customHeight="1">
      <c r="A102" s="2" t="n">
        <v>101</v>
      </c>
      <c r="B102" s="2" t="inlineStr">
        <is>
          <t>⑦ 북벌 (227~234)</t>
        </is>
      </c>
      <c r="C102" s="3" t="inlineStr">
        <is>
          <t>목문도</t>
        </is>
      </c>
      <c r="D102" s="2" t="inlineStr">
        <is>
          <t>木門道</t>
        </is>
      </c>
      <c r="E102" s="4">
        <f>INDEX(칸!$I$2:$I$416,MATCH(A102,칸!$A$2:$A$416,1))</f>
        <v/>
      </c>
      <c r="F102" s="4" t="inlineStr">
        <is>
          <t>물러나는 촉군을 쫓던 장합은 목문도에서 쏟아진 화살에 쓰러졌다.</t>
        </is>
      </c>
      <c r="G102" s="4" t="inlineStr">
        <is>
          <t>네 번째 북벌에서 물러나는 촉군을 위의 명장 장합이 추격했다. 목문도의 좁은 길에서 매복한 쇠뇌가 일제히 쏟아지자, 장합은 무릎에 화살을 맞고 숨을 거두었다.</t>
        </is>
      </c>
      <c r="H102" s="2">
        <f>COUNTIF(칸!$A$2:$A$416,A102)</f>
        <v/>
      </c>
      <c r="I102" s="2">
        <f>SUMIF(칸!$A$2:$A$416,A102,칸!$H$2:$H$416)</f>
        <v/>
      </c>
      <c r="J102" s="2">
        <f>INDEX(비용표!$A$13:$A$17,MATCH(I102,비용표!$B$13:$B$17,1))</f>
        <v/>
      </c>
      <c r="K102" s="2">
        <f>INDEX(비용표!$C$13:$C$17,MATCH(I102,비용표!$B$13:$B$17,1))</f>
        <v/>
      </c>
      <c r="L102" s="4" t="inlineStr">
        <is>
          <t>장합 HP+1</t>
        </is>
      </c>
      <c r="M102" s="2" t="inlineStr">
        <is>
          <t>능력치</t>
        </is>
      </c>
      <c r="N102" s="2" t="inlineStr">
        <is>
          <t>장합</t>
        </is>
      </c>
      <c r="O102" s="2" t="inlineStr">
        <is>
          <t>HP</t>
        </is>
      </c>
      <c r="P102" s="2" t="n">
        <v>1</v>
      </c>
      <c r="Q102" s="4" t="n"/>
      <c r="R102" s="2" t="n"/>
      <c r="S102" s="2" t="n"/>
      <c r="T102" s="2" t="n"/>
    </row>
    <row r="103" ht="32" customHeight="1">
      <c r="A103" s="2" t="n">
        <v>102</v>
      </c>
      <c r="B103" s="2" t="inlineStr">
        <is>
          <t>⑦ 북벌 (227~234)</t>
        </is>
      </c>
      <c r="C103" s="3" t="inlineStr">
        <is>
          <t>반골</t>
        </is>
      </c>
      <c r="D103" s="2" t="inlineStr">
        <is>
          <t>反骨</t>
        </is>
      </c>
      <c r="E103" s="4">
        <f>INDEX(칸!$I$2:$I$416,MATCH(A103,칸!$A$2:$A$416,1))</f>
        <v/>
      </c>
      <c r="F103" s="4" t="inlineStr">
        <is>
          <t>「누가 감히 나를 죽이랴!」 — 「내가 죽인다!」</t>
        </is>
      </c>
      <c r="G103" s="4" t="inlineStr">
        <is>
          <t>제갈량은 위연에게 반골의 상이 있다고 늘 경계했다. 제갈량이 죽자 위연이 「누가 감히 나를 죽이랴」 외쳤고, 등 뒤에서 「내가 죽인다」며 마대가 그를 베었다고 연의는 전한다.</t>
        </is>
      </c>
      <c r="H103" s="2">
        <f>COUNTIF(칸!$A$2:$A$416,A103)</f>
        <v/>
      </c>
      <c r="I103" s="2">
        <f>SUMIF(칸!$A$2:$A$416,A103,칸!$H$2:$H$416)</f>
        <v/>
      </c>
      <c r="J103" s="2">
        <f>INDEX(비용표!$A$13:$A$17,MATCH(I103,비용표!$B$13:$B$17,1))</f>
        <v/>
      </c>
      <c r="K103" s="2">
        <f>INDEX(비용표!$C$13:$C$17,MATCH(I103,비용표!$B$13:$B$17,1))</f>
        <v/>
      </c>
      <c r="L103" s="4" t="inlineStr">
        <is>
          <t>적진에 위연 시 마대 무력+2</t>
        </is>
      </c>
      <c r="M103" s="2" t="inlineStr">
        <is>
          <t>능력치</t>
        </is>
      </c>
      <c r="N103" s="2" t="inlineStr">
        <is>
          <t>마대</t>
        </is>
      </c>
      <c r="O103" s="2" t="inlineStr">
        <is>
          <t>무력</t>
        </is>
      </c>
      <c r="P103" s="2" t="n">
        <v>2</v>
      </c>
      <c r="Q103" s="4" t="n"/>
      <c r="R103" s="2" t="n"/>
      <c r="S103" s="2" t="inlineStr">
        <is>
          <t>위연</t>
        </is>
      </c>
      <c r="T103" s="2" t="n"/>
    </row>
    <row r="104" ht="32" customHeight="1">
      <c r="A104" s="2" t="n">
        <v>103</v>
      </c>
      <c r="B104" s="2" t="inlineStr">
        <is>
          <t>⑦ 북벌 (227~234)</t>
        </is>
      </c>
      <c r="C104" s="3" t="inlineStr">
        <is>
          <t>상방곡의 비</t>
        </is>
      </c>
      <c r="D104" s="2" t="inlineStr">
        <is>
          <t>上方谷</t>
        </is>
      </c>
      <c r="E104" s="4">
        <f>INDEX(칸!$I$2:$I$416,MATCH(A104,칸!$A$2:$A$416,1))</f>
        <v/>
      </c>
      <c r="F104" s="4" t="inlineStr">
        <is>
          <t>골짜기에 갇힌 사마의 부자를 하늘의 소나기가 살렸다.</t>
        </is>
      </c>
      <c r="G104" s="4" t="inlineStr">
        <is>
          <t>상방곡으로 사마의 부자를 꾀어 들인 제갈량은 골짜기에 불을 질렀다. 그러나 갑자기 쏟아진 소나기에 불이 꺼져 사마의는 살아 나갔다. 「일은 사람이 꾀하나 이루는 것은 하늘이다.」</t>
        </is>
      </c>
      <c r="H104" s="2">
        <f>COUNTIF(칸!$A$2:$A$416,A104)</f>
        <v/>
      </c>
      <c r="I104" s="2">
        <f>SUMIF(칸!$A$2:$A$416,A104,칸!$H$2:$H$416)</f>
        <v/>
      </c>
      <c r="J104" s="2">
        <f>INDEX(비용표!$A$13:$A$17,MATCH(I104,비용표!$B$13:$B$17,1))</f>
        <v/>
      </c>
      <c r="K104" s="2">
        <f>INDEX(비용표!$C$13:$C$17,MATCH(I104,비용표!$B$13:$B$17,1))</f>
        <v/>
      </c>
      <c r="L104" s="4" t="inlineStr">
        <is>
          <t>사마사 HP+2</t>
        </is>
      </c>
      <c r="M104" s="2" t="inlineStr">
        <is>
          <t>능력치</t>
        </is>
      </c>
      <c r="N104" s="2" t="inlineStr">
        <is>
          <t>사마사</t>
        </is>
      </c>
      <c r="O104" s="2" t="inlineStr">
        <is>
          <t>HP</t>
        </is>
      </c>
      <c r="P104" s="2" t="n">
        <v>2</v>
      </c>
      <c r="Q104" s="4" t="n"/>
      <c r="R104" s="2" t="n"/>
      <c r="S104" s="2" t="n"/>
      <c r="T104" s="2" t="n"/>
    </row>
    <row r="105" ht="48" customHeight="1">
      <c r="A105" s="2" t="n">
        <v>104</v>
      </c>
      <c r="B105" s="2" t="inlineStr">
        <is>
          <t>⑦ 북벌 (227~234)</t>
        </is>
      </c>
      <c r="C105" s="3" t="inlineStr">
        <is>
          <t>오장원</t>
        </is>
      </c>
      <c r="D105" s="2" t="inlineStr">
        <is>
          <t>五丈原</t>
        </is>
      </c>
      <c r="E105" s="4">
        <f>INDEX(칸!$I$2:$I$416,MATCH(A105,칸!$A$2:$A$416,1))</f>
        <v/>
      </c>
      <c r="F105" s="4" t="inlineStr">
        <is>
          <t>죽은 제갈량이 산 중달을 달아나게 했다.</t>
        </is>
      </c>
      <c r="G105" s="4" t="inlineStr">
        <is>
          <t>오장원에서 제갈량이 병으로 죽자 촉군은 물러났다. 사마의가 쫓아오자 촉군은 깃발을 돌려 북을 울렸고, 제갈량의 목상을 본 사마의는 놀라 달아났다 — 「죽은 제갈량이 산 중달을 달아나게 했다.」</t>
        </is>
      </c>
      <c r="H105" s="2">
        <f>COUNTIF(칸!$A$2:$A$416,A105)</f>
        <v/>
      </c>
      <c r="I105" s="2">
        <f>SUMIF(칸!$A$2:$A$416,A105,칸!$H$2:$H$416)</f>
        <v/>
      </c>
      <c r="J105" s="2">
        <f>INDEX(비용표!$A$13:$A$17,MATCH(I105,비용표!$B$13:$B$17,1))</f>
        <v/>
      </c>
      <c r="K105" s="2">
        <f>INDEX(비용표!$C$13:$C$17,MATCH(I105,비용표!$B$13:$B$17,1))</f>
        <v/>
      </c>
      <c r="L105" s="4" t="inlineStr">
        <is>
          <t>제갈량 함께 참전, 적진에 사마의 시 진영 SP +1로 시작</t>
        </is>
      </c>
      <c r="M105" s="2" t="inlineStr">
        <is>
          <t>진영SP</t>
        </is>
      </c>
      <c r="N105" s="2" t="n"/>
      <c r="O105" s="2" t="n"/>
      <c r="P105" s="2" t="n">
        <v>1</v>
      </c>
      <c r="Q105" s="4" t="inlineStr">
        <is>
          <t>제갈량</t>
        </is>
      </c>
      <c r="R105" s="2" t="n"/>
      <c r="S105" s="2" t="inlineStr">
        <is>
          <t>사마의</t>
        </is>
      </c>
      <c r="T105" s="2" t="n"/>
    </row>
    <row r="106" ht="32" customHeight="1">
      <c r="A106" s="2" t="n">
        <v>105</v>
      </c>
      <c r="B106" s="2" t="inlineStr">
        <is>
          <t>⑦ 북벌 (227~234)</t>
        </is>
      </c>
      <c r="C106" s="3" t="inlineStr">
        <is>
          <t>고평릉</t>
        </is>
      </c>
      <c r="D106" s="2" t="inlineStr">
        <is>
          <t>高平陵</t>
        </is>
      </c>
      <c r="E106" s="4">
        <f>INDEX(칸!$I$2:$I$416,MATCH(A106,칸!$A$2:$A$416,1))</f>
        <v/>
      </c>
      <c r="F106" s="4" t="inlineStr">
        <is>
          <t>병든 척 엎드려 있던 늙은 이리가 일어났다.</t>
        </is>
      </c>
      <c r="G106" s="4" t="inlineStr">
        <is>
          <t>조상에게 밀려난 사마의는 병든 척 엎드려 지냈다. 조상이 황제를 모시고 고평릉 참배를 나간 사이 두 아들과 함께 낙양을 장악했고, 위의 실권은 사마씨에게 넘어갔다.</t>
        </is>
      </c>
      <c r="H106" s="2">
        <f>COUNTIF(칸!$A$2:$A$416,A106)</f>
        <v/>
      </c>
      <c r="I106" s="2">
        <f>SUMIF(칸!$A$2:$A$416,A106,칸!$H$2:$H$416)</f>
        <v/>
      </c>
      <c r="J106" s="2">
        <f>INDEX(비용표!$A$13:$A$17,MATCH(I106,비용표!$B$13:$B$17,1))</f>
        <v/>
      </c>
      <c r="K106" s="2">
        <f>INDEX(비용표!$C$13:$C$17,MATCH(I106,비용표!$B$13:$B$17,1))</f>
        <v/>
      </c>
      <c r="L106" s="4" t="inlineStr">
        <is>
          <t>사마사·사마소 함께 참전 시 사마의 HP+2</t>
        </is>
      </c>
      <c r="M106" s="2" t="inlineStr">
        <is>
          <t>능력치</t>
        </is>
      </c>
      <c r="N106" s="2" t="inlineStr">
        <is>
          <t>사마의</t>
        </is>
      </c>
      <c r="O106" s="2" t="inlineStr">
        <is>
          <t>HP</t>
        </is>
      </c>
      <c r="P106" s="2" t="n">
        <v>2</v>
      </c>
      <c r="Q106" s="4" t="inlineStr">
        <is>
          <t>사마사·사마소</t>
        </is>
      </c>
      <c r="R106" s="2" t="n"/>
      <c r="S106" s="2" t="n"/>
      <c r="T106" s="2" t="n"/>
    </row>
    <row r="107" ht="32" customHeight="1">
      <c r="A107" s="2" t="n">
        <v>106</v>
      </c>
      <c r="B107" s="2" t="inlineStr">
        <is>
          <t>⑦ 북벌 (227~234)</t>
        </is>
      </c>
      <c r="C107" s="3" t="inlineStr">
        <is>
          <t>구벌중원</t>
        </is>
      </c>
      <c r="D107" s="2" t="inlineStr">
        <is>
          <t>九伐中原</t>
        </is>
      </c>
      <c r="E107" s="4">
        <f>INDEX(칸!$I$2:$I$416,MATCH(A107,칸!$A$2:$A$416,1))</f>
        <v/>
      </c>
      <c r="F107" s="4" t="inlineStr">
        <is>
          <t>스승의 뜻을 이어 강유는 아홉 번 중원을 쳤다.</t>
        </is>
      </c>
      <c r="G107" s="4" t="inlineStr">
        <is>
          <t>제갈량이 죽은 뒤 강유는 스승의 뜻을 이어 여러 차례 북벌에 나섰다. 연의는 그 북벌을 「구벌중원」이라 부른다. 촉의 힘은 점점 줄어들었지만 강유는 마지막까지 멈추지 않았다.</t>
        </is>
      </c>
      <c r="H107" s="2">
        <f>COUNTIF(칸!$A$2:$A$416,A107)</f>
        <v/>
      </c>
      <c r="I107" s="2">
        <f>SUMIF(칸!$A$2:$A$416,A107,칸!$H$2:$H$416)</f>
        <v/>
      </c>
      <c r="J107" s="2">
        <f>INDEX(비용표!$A$13:$A$17,MATCH(I107,비용표!$B$13:$B$17,1))</f>
        <v/>
      </c>
      <c r="K107" s="2">
        <f>INDEX(비용표!$C$13:$C$17,MATCH(I107,비용표!$B$13:$B$17,1))</f>
        <v/>
      </c>
      <c r="L107" s="4" t="inlineStr">
        <is>
          <t>강유 HP+1</t>
        </is>
      </c>
      <c r="M107" s="2" t="inlineStr">
        <is>
          <t>능력치</t>
        </is>
      </c>
      <c r="N107" s="2" t="inlineStr">
        <is>
          <t>강유</t>
        </is>
      </c>
      <c r="O107" s="2" t="inlineStr">
        <is>
          <t>HP</t>
        </is>
      </c>
      <c r="P107" s="2" t="n">
        <v>1</v>
      </c>
      <c r="Q107" s="4" t="n"/>
      <c r="R107" s="2" t="n"/>
      <c r="S107" s="2" t="n"/>
      <c r="T107" s="2" t="n"/>
    </row>
    <row r="108" ht="32" customHeight="1">
      <c r="A108" s="2" t="n">
        <v>107</v>
      </c>
      <c r="B108" s="2" t="inlineStr">
        <is>
          <t>⑦ 북벌 (227~234)</t>
        </is>
      </c>
      <c r="C108" s="3" t="inlineStr">
        <is>
          <t>촉의 사상</t>
        </is>
      </c>
      <c r="D108" s="2" t="inlineStr">
        <is>
          <t>蜀漢四相</t>
        </is>
      </c>
      <c r="E108" s="4">
        <f>INDEX(칸!$I$2:$I$416,MATCH(A108,칸!$A$2:$A$416,1))</f>
        <v/>
      </c>
      <c r="F108" s="4" t="inlineStr">
        <is>
          <t>제갈량 뒤의 촉을 장완과 비위가 지탱했다.</t>
        </is>
      </c>
      <c r="G108" s="4" t="inlineStr">
        <is>
          <t>제갈량은 죽기 전에 장완을, 장완 다음으로는 비위를 후계로 정했다. 제갈량 · 장완 · 비위 · 동윤을 촉의 네 재상이라 불렀고, 그들이 있는 동안 촉은 안정되었다.</t>
        </is>
      </c>
      <c r="H108" s="2">
        <f>COUNTIF(칸!$A$2:$A$416,A108)</f>
        <v/>
      </c>
      <c r="I108" s="2">
        <f>SUMIF(칸!$A$2:$A$416,A108,칸!$H$2:$H$416)</f>
        <v/>
      </c>
      <c r="J108" s="2">
        <f>INDEX(비용표!$A$13:$A$17,MATCH(I108,비용표!$B$13:$B$17,1))</f>
        <v/>
      </c>
      <c r="K108" s="2">
        <f>INDEX(비용표!$C$13:$C$17,MATCH(I108,비용표!$B$13:$B$17,1))</f>
        <v/>
      </c>
      <c r="L108" s="4" t="inlineStr">
        <is>
          <t>비위 함께 참전 시 장완 지력+1</t>
        </is>
      </c>
      <c r="M108" s="2" t="inlineStr">
        <is>
          <t>능력치</t>
        </is>
      </c>
      <c r="N108" s="2" t="inlineStr">
        <is>
          <t>장완</t>
        </is>
      </c>
      <c r="O108" s="2" t="inlineStr">
        <is>
          <t>지력</t>
        </is>
      </c>
      <c r="P108" s="2" t="n">
        <v>1</v>
      </c>
      <c r="Q108" s="4" t="inlineStr">
        <is>
          <t>비위</t>
        </is>
      </c>
      <c r="R108" s="2" t="n"/>
      <c r="S108" s="2" t="n"/>
      <c r="T108" s="2" t="n"/>
    </row>
    <row r="109" ht="32" customHeight="1">
      <c r="A109" s="2" t="n">
        <v>108</v>
      </c>
      <c r="B109" s="2" t="inlineStr">
        <is>
          <t>⑧ 열전</t>
        </is>
      </c>
      <c r="C109" s="3" t="inlineStr">
        <is>
          <t>오호대장군</t>
        </is>
      </c>
      <c r="D109" s="2" t="inlineStr">
        <is>
          <t>五虎大將</t>
        </is>
      </c>
      <c r="E109" s="4">
        <f>INDEX(칸!$I$2:$I$416,MATCH(A109,칸!$A$2:$A$416,1))</f>
        <v/>
      </c>
      <c r="F109" s="4" t="inlineStr">
        <is>
          <t>관우 · 장비 · 조운 · 마초 · 황충. 촉한의 다섯 호랑이.</t>
        </is>
      </c>
      <c r="G109" s="4" t="inlineStr">
        <is>
          <t>한중왕이 된 유비는 관우 · 장비 · 마초 · 황충을 사방의 장군으로 세웠다. 연의는 여기에 조운을 더해 「오호대장군」이라 불렀다. 촉한의 다섯 호랑이다.</t>
        </is>
      </c>
      <c r="H109" s="2">
        <f>COUNTIF(칸!$A$2:$A$416,A109)</f>
        <v/>
      </c>
      <c r="I109" s="2">
        <f>SUMIF(칸!$A$2:$A$416,A109,칸!$H$2:$H$416)</f>
        <v/>
      </c>
      <c r="J109" s="2">
        <f>INDEX(비용표!$A$13:$A$17,MATCH(I109,비용표!$B$13:$B$17,1))</f>
        <v/>
      </c>
      <c r="K109" s="2">
        <f>INDEX(비용표!$C$13:$C$17,MATCH(I109,비용표!$B$13:$B$17,1))</f>
        <v/>
      </c>
      <c r="L109" s="4" t="inlineStr">
        <is>
          <t>관우·장비·조운·마초·황충 중 3명 이상 함께 참전 시 진영 SP +1로 시작</t>
        </is>
      </c>
      <c r="M109" s="2" t="inlineStr">
        <is>
          <t>진영SP</t>
        </is>
      </c>
      <c r="N109" s="2" t="n"/>
      <c r="O109" s="2" t="n"/>
      <c r="P109" s="2" t="n">
        <v>1</v>
      </c>
      <c r="Q109" s="4" t="inlineStr">
        <is>
          <t>관우·장비·조운·마초·황충</t>
        </is>
      </c>
      <c r="R109" s="2" t="n">
        <v>3</v>
      </c>
      <c r="S109" s="2" t="n"/>
      <c r="T109" s="2" t="n"/>
    </row>
    <row r="110" ht="32" customHeight="1">
      <c r="A110" s="2" t="n">
        <v>109</v>
      </c>
      <c r="B110" s="2" t="inlineStr">
        <is>
          <t>⑧ 열전</t>
        </is>
      </c>
      <c r="C110" s="3" t="inlineStr">
        <is>
          <t>오자양장</t>
        </is>
      </c>
      <c r="D110" s="2" t="inlineStr">
        <is>
          <t>五子良將</t>
        </is>
      </c>
      <c r="E110" s="4">
        <f>INDEX(칸!$I$2:$I$416,MATCH(A110,칸!$A$2:$A$416,1))</f>
        <v/>
      </c>
      <c r="F110" s="4" t="inlineStr">
        <is>
          <t>조조를 받친 다섯 명장.</t>
        </is>
      </c>
      <c r="G110" s="4" t="inlineStr">
        <is>
          <t>장료 · 악진 · 우금 · 장합 · 서황 — 『삼국지』는 이 다섯을 한 전에 묶었다. 조조의 정벌마다 선봉과 후위를 맡은, 조조가 가장 믿은 장수들이다.</t>
        </is>
      </c>
      <c r="H110" s="2">
        <f>COUNTIF(칸!$A$2:$A$416,A110)</f>
        <v/>
      </c>
      <c r="I110" s="2">
        <f>SUMIF(칸!$A$2:$A$416,A110,칸!$H$2:$H$416)</f>
        <v/>
      </c>
      <c r="J110" s="2">
        <f>INDEX(비용표!$A$13:$A$17,MATCH(I110,비용표!$B$13:$B$17,1))</f>
        <v/>
      </c>
      <c r="K110" s="2">
        <f>INDEX(비용표!$C$13:$C$17,MATCH(I110,비용표!$B$13:$B$17,1))</f>
        <v/>
      </c>
      <c r="L110" s="4" t="inlineStr">
        <is>
          <t>장료·악진·우금·장합·서황 중 3명 이상 함께 참전 시 진영 SP +1로 시작</t>
        </is>
      </c>
      <c r="M110" s="2" t="inlineStr">
        <is>
          <t>진영SP</t>
        </is>
      </c>
      <c r="N110" s="2" t="n"/>
      <c r="O110" s="2" t="n"/>
      <c r="P110" s="2" t="n">
        <v>1</v>
      </c>
      <c r="Q110" s="4" t="inlineStr">
        <is>
          <t>장료·악진·우금·장합·서황</t>
        </is>
      </c>
      <c r="R110" s="2" t="n">
        <v>3</v>
      </c>
      <c r="S110" s="2" t="n"/>
      <c r="T110" s="2" t="n"/>
    </row>
    <row r="111" ht="32" customHeight="1">
      <c r="A111" s="2" t="n">
        <v>110</v>
      </c>
      <c r="B111" s="2" t="inlineStr">
        <is>
          <t>⑧ 열전</t>
        </is>
      </c>
      <c r="C111" s="3" t="inlineStr">
        <is>
          <t>동오 4대 도독</t>
        </is>
      </c>
      <c r="D111" s="2" t="inlineStr">
        <is>
          <t>東吳四都督</t>
        </is>
      </c>
      <c r="E111" s="4">
        <f>INDEX(칸!$I$2:$I$416,MATCH(A111,칸!$A$2:$A$416,1))</f>
        <v/>
      </c>
      <c r="F111" s="4" t="inlineStr">
        <is>
          <t>주유 · 노숙 · 여몽 · 육손. 강동의 병권은 이들의 손을 거쳐 갔다.</t>
        </is>
      </c>
      <c r="G111" s="4" t="inlineStr">
        <is>
          <t>강동의 병권은 주유에서 노숙으로, 노숙에서 여몽으로, 여몽에서 육손으로 이어졌다. 적벽 · 형주 · 이릉 — 오의 큰 싸움은 모두 이 네 도독의 손으로 치렀다.</t>
        </is>
      </c>
      <c r="H111" s="2">
        <f>COUNTIF(칸!$A$2:$A$416,A111)</f>
        <v/>
      </c>
      <c r="I111" s="2">
        <f>SUMIF(칸!$A$2:$A$416,A111,칸!$H$2:$H$416)</f>
        <v/>
      </c>
      <c r="J111" s="2">
        <f>INDEX(비용표!$A$13:$A$17,MATCH(I111,비용표!$B$13:$B$17,1))</f>
        <v/>
      </c>
      <c r="K111" s="2">
        <f>INDEX(비용표!$C$13:$C$17,MATCH(I111,비용표!$B$13:$B$17,1))</f>
        <v/>
      </c>
      <c r="L111" s="4" t="inlineStr">
        <is>
          <t>주유·노숙·여몽·육손 중 2명 이상 함께 참전 시 주유·노숙·여몽·육손 MP+1</t>
        </is>
      </c>
      <c r="M111" s="2" t="inlineStr">
        <is>
          <t>능력치</t>
        </is>
      </c>
      <c r="N111" s="2" t="inlineStr">
        <is>
          <t>주유·노숙·여몽·육손</t>
        </is>
      </c>
      <c r="O111" s="2" t="inlineStr">
        <is>
          <t>MP</t>
        </is>
      </c>
      <c r="P111" s="2" t="n">
        <v>1</v>
      </c>
      <c r="Q111" s="4" t="inlineStr">
        <is>
          <t>주유·노숙·여몽·육손</t>
        </is>
      </c>
      <c r="R111" s="2" t="n">
        <v>2</v>
      </c>
      <c r="S111" s="2" t="n"/>
      <c r="T111" s="2" t="n"/>
    </row>
    <row r="112" ht="32" customHeight="1">
      <c r="A112" s="2" t="n">
        <v>111</v>
      </c>
      <c r="B112" s="2" t="inlineStr">
        <is>
          <t>⑧ 열전</t>
        </is>
      </c>
      <c r="C112" s="3" t="inlineStr">
        <is>
          <t>위의 모사들</t>
        </is>
      </c>
      <c r="D112" s="2" t="inlineStr">
        <is>
          <t>魏之謀士</t>
        </is>
      </c>
      <c r="E112" s="4">
        <f>INDEX(칸!$I$2:$I$416,MATCH(A112,칸!$A$2:$A$416,1))</f>
        <v/>
      </c>
      <c r="F112" s="4" t="inlineStr">
        <is>
          <t>조조의 막하에는 천하의 지모가 모여들었다.</t>
        </is>
      </c>
      <c r="G112" s="4" t="inlineStr">
        <is>
          <t>순욱 · 순유 · 곽가 · 정욱 · 가후, 그리고 사마의. 조조의 막하에는 천하의 지모가 모여들었고, 조조는 그들의 말을 듣고 결단할 줄 알았다.</t>
        </is>
      </c>
      <c r="H112" s="2">
        <f>COUNTIF(칸!$A$2:$A$416,A112)</f>
        <v/>
      </c>
      <c r="I112" s="2">
        <f>SUMIF(칸!$A$2:$A$416,A112,칸!$H$2:$H$416)</f>
        <v/>
      </c>
      <c r="J112" s="2">
        <f>INDEX(비용표!$A$13:$A$17,MATCH(I112,비용표!$B$13:$B$17,1))</f>
        <v/>
      </c>
      <c r="K112" s="2">
        <f>INDEX(비용표!$C$13:$C$17,MATCH(I112,비용표!$B$13:$B$17,1))</f>
        <v/>
      </c>
      <c r="L112" s="4" t="inlineStr">
        <is>
          <t>순욱·순유·곽가·가후·사마의 중 3명 이상 함께 참전 시 순욱·곽가·가후·사마의 MP+1</t>
        </is>
      </c>
      <c r="M112" s="2" t="inlineStr">
        <is>
          <t>능력치</t>
        </is>
      </c>
      <c r="N112" s="2" t="inlineStr">
        <is>
          <t>순욱·곽가·가후·사마의</t>
        </is>
      </c>
      <c r="O112" s="2" t="inlineStr">
        <is>
          <t>MP</t>
        </is>
      </c>
      <c r="P112" s="2" t="n">
        <v>1</v>
      </c>
      <c r="Q112" s="4" t="inlineStr">
        <is>
          <t>순욱·순유·곽가·가후·사마의</t>
        </is>
      </c>
      <c r="R112" s="2" t="n">
        <v>3</v>
      </c>
      <c r="S112" s="2" t="n"/>
      <c r="T112" s="2" t="n"/>
    </row>
    <row r="113" ht="32" customHeight="1">
      <c r="A113" s="2" t="n">
        <v>112</v>
      </c>
      <c r="B113" s="2" t="inlineStr">
        <is>
          <t>⑧ 열전</t>
        </is>
      </c>
      <c r="C113" s="3" t="inlineStr">
        <is>
          <t>강동 호신</t>
        </is>
      </c>
      <c r="D113" s="2" t="inlineStr">
        <is>
          <t>江東虎臣</t>
        </is>
      </c>
      <c r="E113" s="4">
        <f>INDEX(칸!$I$2:$I$416,MATCH(A113,칸!$A$2:$A$416,1))</f>
        <v/>
      </c>
      <c r="F113" s="4" t="inlineStr">
        <is>
          <t>손씨 3대를 지킨 강동의 장수들.</t>
        </is>
      </c>
      <c r="G113" s="4" t="inlineStr">
        <is>
          <t>정보 · 황개 · 한당은 손견 때부터, 주태 · 장흠 · 진무는 손책 때부터, 감녕 · 능통 · 서성 · 반장 · 정봉은 손권 때부터 강동을 지켰다. 손씨 3대의 호랑이 같은 신하들이다.</t>
        </is>
      </c>
      <c r="H113" s="2">
        <f>COUNTIF(칸!$A$2:$A$416,A113)</f>
        <v/>
      </c>
      <c r="I113" s="2">
        <f>SUMIF(칸!$A$2:$A$416,A113,칸!$H$2:$H$416)</f>
        <v/>
      </c>
      <c r="J113" s="2">
        <f>INDEX(비용표!$A$13:$A$17,MATCH(I113,비용표!$B$13:$B$17,1))</f>
        <v/>
      </c>
      <c r="K113" s="2">
        <f>INDEX(비용표!$C$13:$C$17,MATCH(I113,비용표!$B$13:$B$17,1))</f>
        <v/>
      </c>
      <c r="L113" s="4" t="inlineStr">
        <is>
          <t>도적떼 약탈률 −2%p (도적 1명당 10% → 8%)</t>
        </is>
      </c>
      <c r="M113" s="2" t="inlineStr">
        <is>
          <t>도시</t>
        </is>
      </c>
      <c r="N113" s="2" t="n"/>
      <c r="O113" s="2" t="n"/>
      <c r="P113" s="2" t="n">
        <v>2</v>
      </c>
      <c r="Q113" s="4" t="n"/>
      <c r="R113" s="2" t="n"/>
      <c r="S113" s="2" t="n"/>
      <c r="T113" s="2" t="inlineStr">
        <is>
          <t>raidLoot</t>
        </is>
      </c>
    </row>
    <row r="114" ht="32" customHeight="1">
      <c r="A114" s="2" t="n">
        <v>113</v>
      </c>
      <c r="B114" s="2" t="inlineStr">
        <is>
          <t>⑧ 열전</t>
        </is>
      </c>
      <c r="C114" s="3" t="inlineStr">
        <is>
          <t>주태의 흉터</t>
        </is>
      </c>
      <c r="D114" s="2" t="inlineStr">
        <is>
          <t>周泰之傷</t>
        </is>
      </c>
      <c r="E114" s="4">
        <f>INDEX(칸!$I$2:$I$416,MATCH(A114,칸!$A$2:$A$416,1))</f>
        <v/>
      </c>
      <c r="F114" s="4" t="inlineStr">
        <is>
          <t>손권은 주태의 옷을 벗기고 흉터 하나하나에 술을 따랐다.</t>
        </is>
      </c>
      <c r="G114" s="4" t="inlineStr">
        <is>
          <t>주태는 몇 번이나 몸을 던져 손권을 구했다. 손권은 잔치에서 주태의 옷을 벗기고, 흉터 하나하나를 가리키며 그 사연을 묻고 잔을 따랐다.</t>
        </is>
      </c>
      <c r="H114" s="2">
        <f>COUNTIF(칸!$A$2:$A$416,A114)</f>
        <v/>
      </c>
      <c r="I114" s="2">
        <f>SUMIF(칸!$A$2:$A$416,A114,칸!$H$2:$H$416)</f>
        <v/>
      </c>
      <c r="J114" s="2">
        <f>INDEX(비용표!$A$13:$A$17,MATCH(I114,비용표!$B$13:$B$17,1))</f>
        <v/>
      </c>
      <c r="K114" s="2">
        <f>INDEX(비용표!$C$13:$C$17,MATCH(I114,비용표!$B$13:$B$17,1))</f>
        <v/>
      </c>
      <c r="L114" s="4" t="inlineStr">
        <is>
          <t>손권 함께 참전 시 주태 HP+2</t>
        </is>
      </c>
      <c r="M114" s="2" t="inlineStr">
        <is>
          <t>능력치</t>
        </is>
      </c>
      <c r="N114" s="2" t="inlineStr">
        <is>
          <t>주태</t>
        </is>
      </c>
      <c r="O114" s="2" t="inlineStr">
        <is>
          <t>HP</t>
        </is>
      </c>
      <c r="P114" s="2" t="n">
        <v>2</v>
      </c>
      <c r="Q114" s="4" t="inlineStr">
        <is>
          <t>손권</t>
        </is>
      </c>
      <c r="R114" s="2" t="n"/>
      <c r="S114" s="2" t="n"/>
      <c r="T114" s="2" t="n"/>
    </row>
    <row r="115" ht="32" customHeight="1">
      <c r="A115" s="2" t="n">
        <v>114</v>
      </c>
      <c r="B115" s="2" t="inlineStr">
        <is>
          <t>⑧ 열전</t>
        </is>
      </c>
      <c r="C115" s="3" t="inlineStr">
        <is>
          <t>하후 형제</t>
        </is>
      </c>
      <c r="D115" s="2" t="inlineStr">
        <is>
          <t>夏侯兄弟</t>
        </is>
      </c>
      <c r="E115" s="4">
        <f>INDEX(칸!$I$2:$I$416,MATCH(A115,칸!$A$2:$A$416,1))</f>
        <v/>
      </c>
      <c r="F115" s="4" t="inlineStr">
        <is>
          <t>조조의 기병은 언제나 두 하후의 손에 있었다.</t>
        </is>
      </c>
      <c r="G115" s="4" t="inlineStr">
        <is>
          <t>하후돈과 하후연은 조조의 친족으로, 거병 때부터 함께한 가장 오랜 장수들이다. 하후돈은 수비와 후방을, 하후연은 빠른 기병을 맡아 조조 군의 두 날개가 되었다.</t>
        </is>
      </c>
      <c r="H115" s="2">
        <f>COUNTIF(칸!$A$2:$A$416,A115)</f>
        <v/>
      </c>
      <c r="I115" s="2">
        <f>SUMIF(칸!$A$2:$A$416,A115,칸!$H$2:$H$416)</f>
        <v/>
      </c>
      <c r="J115" s="2">
        <f>INDEX(비용표!$A$13:$A$17,MATCH(I115,비용표!$B$13:$B$17,1))</f>
        <v/>
      </c>
      <c r="K115" s="2">
        <f>INDEX(비용표!$C$13:$C$17,MATCH(I115,비용표!$B$13:$B$17,1))</f>
        <v/>
      </c>
      <c r="L115" s="4" t="inlineStr">
        <is>
          <t>하후돈 함께 참전 시 하후연 무력+1</t>
        </is>
      </c>
      <c r="M115" s="2" t="inlineStr">
        <is>
          <t>능력치</t>
        </is>
      </c>
      <c r="N115" s="2" t="inlineStr">
        <is>
          <t>하후연</t>
        </is>
      </c>
      <c r="O115" s="2" t="inlineStr">
        <is>
          <t>무력</t>
        </is>
      </c>
      <c r="P115" s="2" t="n">
        <v>1</v>
      </c>
      <c r="Q115" s="4" t="inlineStr">
        <is>
          <t>하후돈</t>
        </is>
      </c>
      <c r="R115" s="2" t="n"/>
      <c r="S115" s="2" t="n"/>
      <c r="T115" s="2" t="n"/>
    </row>
    <row r="116" ht="32" customHeight="1">
      <c r="A116" s="2" t="n">
        <v>115</v>
      </c>
      <c r="B116" s="2" t="inlineStr">
        <is>
          <t>⑧ 열전</t>
        </is>
      </c>
      <c r="C116" s="3" t="inlineStr">
        <is>
          <t>마씨오상 백미최량</t>
        </is>
      </c>
      <c r="D116" s="2" t="inlineStr">
        <is>
          <t>白眉最良</t>
        </is>
      </c>
      <c r="E116" s="4">
        <f>INDEX(칸!$I$2:$I$416,MATCH(A116,칸!$A$2:$A$416,1))</f>
        <v/>
      </c>
      <c r="F116" s="4" t="inlineStr">
        <is>
          <t>마씨 다섯 형제 중 눈썹 흰 마량이 가장 뛰어났다.</t>
        </is>
      </c>
      <c r="G116" s="4" t="inlineStr">
        <is>
          <t>양양의 마씨 다섯 형제는 자에 모두 「상(常)」 자가 들어 「마씨오상」이라 불렸다. 그중 눈썹에 흰 털이 섞인 마량이 가장 뛰어나 「백미가 가장 낫다」는 말이 생겼다.</t>
        </is>
      </c>
      <c r="H116" s="2">
        <f>COUNTIF(칸!$A$2:$A$416,A116)</f>
        <v/>
      </c>
      <c r="I116" s="2">
        <f>SUMIF(칸!$A$2:$A$416,A116,칸!$H$2:$H$416)</f>
        <v/>
      </c>
      <c r="J116" s="2">
        <f>INDEX(비용표!$A$13:$A$17,MATCH(I116,비용표!$B$13:$B$17,1))</f>
        <v/>
      </c>
      <c r="K116" s="2">
        <f>INDEX(비용표!$C$13:$C$17,MATCH(I116,비용표!$B$13:$B$17,1))</f>
        <v/>
      </c>
      <c r="L116" s="4" t="inlineStr">
        <is>
          <t>마속 함께 참전 시 마량 HP+1</t>
        </is>
      </c>
      <c r="M116" s="2" t="inlineStr">
        <is>
          <t>능력치</t>
        </is>
      </c>
      <c r="N116" s="2" t="inlineStr">
        <is>
          <t>마량</t>
        </is>
      </c>
      <c r="O116" s="2" t="inlineStr">
        <is>
          <t>HP</t>
        </is>
      </c>
      <c r="P116" s="2" t="n">
        <v>1</v>
      </c>
      <c r="Q116" s="4" t="inlineStr">
        <is>
          <t>마속</t>
        </is>
      </c>
      <c r="R116" s="2" t="n"/>
      <c r="S116" s="2" t="n"/>
      <c r="T116" s="2" t="n"/>
    </row>
    <row r="117" ht="32" customHeight="1">
      <c r="A117" s="2" t="n">
        <v>116</v>
      </c>
      <c r="B117" s="2" t="inlineStr">
        <is>
          <t>⑧ 열전</t>
        </is>
      </c>
      <c r="C117" s="3" t="inlineStr">
        <is>
          <t>서량의 마씨</t>
        </is>
      </c>
      <c r="D117" s="2" t="inlineStr">
        <is>
          <t>西涼馬氏</t>
        </is>
      </c>
      <c r="E117" s="4">
        <f>INDEX(칸!$I$2:$I$416,MATCH(A117,칸!$A$2:$A$416,1))</f>
        <v/>
      </c>
      <c r="F117" s="4" t="inlineStr">
        <is>
          <t>서량의 마씨는 대대로 강인과 함께 말을 달렸다.</t>
        </is>
      </c>
      <c r="G117" s="4" t="inlineStr">
        <is>
          <t>마등은 강족과 피를 나눈 서량의 군벌로, 강인들의 존경을 받았다. 아들 마초와 조카 마대가 그 기병을 이어받아 서량의 이름을 천하에 떨쳤다.</t>
        </is>
      </c>
      <c r="H117" s="2">
        <f>COUNTIF(칸!$A$2:$A$416,A117)</f>
        <v/>
      </c>
      <c r="I117" s="2">
        <f>SUMIF(칸!$A$2:$A$416,A117,칸!$H$2:$H$416)</f>
        <v/>
      </c>
      <c r="J117" s="2">
        <f>INDEX(비용표!$A$13:$A$17,MATCH(I117,비용표!$B$13:$B$17,1))</f>
        <v/>
      </c>
      <c r="K117" s="2">
        <f>INDEX(비용표!$C$13:$C$17,MATCH(I117,비용표!$B$13:$B$17,1))</f>
        <v/>
      </c>
      <c r="L117" s="4" t="inlineStr">
        <is>
          <t>마등 통솔+1</t>
        </is>
      </c>
      <c r="M117" s="2" t="inlineStr">
        <is>
          <t>능력치</t>
        </is>
      </c>
      <c r="N117" s="2" t="inlineStr">
        <is>
          <t>마등</t>
        </is>
      </c>
      <c r="O117" s="2" t="inlineStr">
        <is>
          <t>통솔</t>
        </is>
      </c>
      <c r="P117" s="2" t="n">
        <v>1</v>
      </c>
      <c r="Q117" s="4" t="n"/>
      <c r="R117" s="2" t="n"/>
      <c r="S117" s="2" t="n"/>
      <c r="T117" s="2" t="n"/>
    </row>
    <row r="118" ht="32" customHeight="1">
      <c r="A118" s="2" t="n">
        <v>117</v>
      </c>
      <c r="B118" s="2" t="inlineStr">
        <is>
          <t>⑧ 열전</t>
        </is>
      </c>
      <c r="C118" s="3" t="inlineStr">
        <is>
          <t>형주의 유표</t>
        </is>
      </c>
      <c r="D118" s="2" t="inlineStr">
        <is>
          <t>荊州劉表</t>
        </is>
      </c>
      <c r="E118" s="4">
        <f>INDEX(칸!$I$2:$I$416,MATCH(A118,칸!$A$2:$A$416,1))</f>
        <v/>
      </c>
      <c r="F118" s="4" t="inlineStr">
        <is>
          <t>팔준의 하나로 불린 유표는 형주를 지켰으나 아들 둘을 두고 망설였다.</t>
        </is>
      </c>
      <c r="G118" s="4" t="inlineStr">
        <is>
          <t>유표는 팔준의 하나로 이름난 선비로, 형주를 다스려 난세의 피난처로 만들었다. 그러나 장자 유기와 차자 유종 사이에서 후계를 정하지 못해, 죽은 뒤 형주는 조조에게 넘어갔다.</t>
        </is>
      </c>
      <c r="H118" s="2">
        <f>COUNTIF(칸!$A$2:$A$416,A118)</f>
        <v/>
      </c>
      <c r="I118" s="2">
        <f>SUMIF(칸!$A$2:$A$416,A118,칸!$H$2:$H$416)</f>
        <v/>
      </c>
      <c r="J118" s="2">
        <f>INDEX(비용표!$A$13:$A$17,MATCH(I118,비용표!$B$13:$B$17,1))</f>
        <v/>
      </c>
      <c r="K118" s="2">
        <f>INDEX(비용표!$C$13:$C$17,MATCH(I118,비용표!$B$13:$B$17,1))</f>
        <v/>
      </c>
      <c r="L118" s="4" t="inlineStr">
        <is>
          <t>최대 군량 +2</t>
        </is>
      </c>
      <c r="M118" s="2" t="inlineStr">
        <is>
          <t>도시</t>
        </is>
      </c>
      <c r="N118" s="2" t="n"/>
      <c r="O118" s="2" t="n"/>
      <c r="P118" s="2" t="n">
        <v>2</v>
      </c>
      <c r="Q118" s="4" t="n"/>
      <c r="R118" s="2" t="n"/>
      <c r="S118" s="2" t="n"/>
      <c r="T118" s="2" t="inlineStr">
        <is>
          <t>grainCap</t>
        </is>
      </c>
    </row>
  </sheetData>
  <autoFilter ref="A1:T118"/>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18"/>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4" customWidth="1" min="3" max="3"/>
  </cols>
  <sheetData>
    <row r="1">
      <c r="A1" s="12" t="inlineStr">
        <is>
          <t>#</t>
        </is>
      </c>
      <c r="B1" s="12" t="inlineStr">
        <is>
          <t>타이틀</t>
        </is>
      </c>
      <c r="C1" s="12" t="inlineStr">
        <is>
          <t>한글 제목</t>
        </is>
      </c>
    </row>
    <row r="2">
      <c r="A2" t="n">
        <v>1</v>
      </c>
      <c r="B2" t="inlineStr">
        <is>
          <t>도원결의</t>
        </is>
      </c>
      <c r="C2" t="inlineStr">
        <is>
          <t>도원결의</t>
        </is>
      </c>
    </row>
    <row r="3">
      <c r="A3" t="n">
        <v>2</v>
      </c>
      <c r="B3" t="inlineStr">
        <is>
          <t>황건적 토벌</t>
        </is>
      </c>
      <c r="C3" t="inlineStr">
        <is>
          <t>황건적 토벌</t>
        </is>
      </c>
    </row>
    <row r="4">
      <c r="A4" t="n">
        <v>3</v>
      </c>
      <c r="B4" t="inlineStr">
        <is>
          <t>온주참화웅</t>
        </is>
      </c>
      <c r="C4" t="inlineStr">
        <is>
          <t>술이 식기 전에</t>
        </is>
      </c>
    </row>
    <row r="5">
      <c r="A5" t="n">
        <v>4</v>
      </c>
      <c r="B5" t="inlineStr">
        <is>
          <t>호뢰관 삼영전여포</t>
        </is>
      </c>
      <c r="C5" t="inlineStr">
        <is>
          <t>세 영웅, 여포와 싸우다</t>
        </is>
      </c>
    </row>
    <row r="6">
      <c r="A6" t="n">
        <v>5</v>
      </c>
      <c r="B6" t="inlineStr">
        <is>
          <t>반동탁 연합군</t>
        </is>
      </c>
      <c r="C6" t="inlineStr">
        <is>
          <t>열여덟 제후, 동탁을 치다</t>
        </is>
      </c>
    </row>
    <row r="7">
      <c r="A7" t="n">
        <v>6</v>
      </c>
      <c r="B7" t="inlineStr">
        <is>
          <t>장안 천도</t>
        </is>
      </c>
      <c r="C7" t="inlineStr">
        <is>
          <t>불타는 낙양</t>
        </is>
      </c>
    </row>
    <row r="8">
      <c r="A8" t="n">
        <v>7</v>
      </c>
      <c r="B8" t="inlineStr">
        <is>
          <t>칠성보도 헌상</t>
        </is>
      </c>
      <c r="C8" t="inlineStr">
        <is>
          <t>조조, 동탁을 노리다</t>
        </is>
      </c>
    </row>
    <row r="9">
      <c r="A9" t="n">
        <v>8</v>
      </c>
      <c r="B9" t="inlineStr">
        <is>
          <t>진궁의 결별</t>
        </is>
      </c>
      <c r="C9" t="inlineStr">
        <is>
          <t>진궁, 조조를 떠나다</t>
        </is>
      </c>
    </row>
    <row r="10">
      <c r="A10" t="n">
        <v>9</v>
      </c>
      <c r="B10" t="inlineStr">
        <is>
          <t>형양의 추격</t>
        </is>
      </c>
      <c r="C10" t="inlineStr">
        <is>
          <t>조홍, 말을 내주다</t>
        </is>
      </c>
    </row>
    <row r="11">
      <c r="A11" t="n">
        <v>10</v>
      </c>
      <c r="B11" t="inlineStr">
        <is>
          <t>손견과 전국옥새</t>
        </is>
      </c>
      <c r="C11" t="inlineStr">
        <is>
          <t>우물 속의 옥새</t>
        </is>
      </c>
    </row>
    <row r="12">
      <c r="A12" t="n">
        <v>11</v>
      </c>
      <c r="B12" t="inlineStr">
        <is>
          <t>현산의 손견</t>
        </is>
      </c>
      <c r="C12" t="inlineStr">
        <is>
          <t>강동의 호랑이 지다</t>
        </is>
      </c>
    </row>
    <row r="13">
      <c r="A13" t="n">
        <v>12</v>
      </c>
      <c r="B13" t="inlineStr">
        <is>
          <t>백마의종</t>
        </is>
      </c>
      <c r="C13" t="inlineStr">
        <is>
          <t>흰 말의 기병대</t>
        </is>
      </c>
    </row>
    <row r="14">
      <c r="A14" t="n">
        <v>13</v>
      </c>
      <c r="B14" t="inlineStr">
        <is>
          <t>계교 전투</t>
        </is>
      </c>
      <c r="C14" t="inlineStr">
        <is>
          <t>백마를 꺾은 쇠뇌</t>
        </is>
      </c>
    </row>
    <row r="15">
      <c r="A15" t="n">
        <v>14</v>
      </c>
      <c r="B15" t="inlineStr">
        <is>
          <t>이각과 곽사</t>
        </is>
      </c>
      <c r="C15" t="inlineStr">
        <is>
          <t>서로를 물어뜯은 두 장수</t>
        </is>
      </c>
    </row>
    <row r="16">
      <c r="A16" t="n">
        <v>15</v>
      </c>
      <c r="B16" t="inlineStr">
        <is>
          <t>헌제의 동귀</t>
        </is>
      </c>
      <c r="C16" t="inlineStr">
        <is>
          <t>황제를 맞이하다</t>
        </is>
      </c>
    </row>
    <row r="17">
      <c r="A17" t="n">
        <v>16</v>
      </c>
      <c r="B17" t="inlineStr">
        <is>
          <t>둔전제</t>
        </is>
      </c>
      <c r="C17" t="inlineStr">
        <is>
          <t>땅을 일궈 군량을 쌓다</t>
        </is>
      </c>
    </row>
    <row r="18">
      <c r="A18" t="n">
        <v>17</v>
      </c>
      <c r="B18" t="inlineStr">
        <is>
          <t>서주 양도</t>
        </is>
      </c>
      <c r="C18" t="inlineStr">
        <is>
          <t>세 번 사양한 서주</t>
        </is>
      </c>
    </row>
    <row r="19">
      <c r="A19" t="n">
        <v>18</v>
      </c>
      <c r="B19" t="inlineStr">
        <is>
          <t>술 취한 장비</t>
        </is>
      </c>
      <c r="C19" t="inlineStr">
        <is>
          <t>술 취한 장비</t>
        </is>
      </c>
    </row>
    <row r="20">
      <c r="A20" t="n">
        <v>19</v>
      </c>
      <c r="B20" t="inlineStr">
        <is>
          <t>원문사극</t>
        </is>
      </c>
      <c r="C20" t="inlineStr">
        <is>
          <t>백오십 보의 화살</t>
        </is>
      </c>
    </row>
    <row r="21">
      <c r="A21" t="n">
        <v>20</v>
      </c>
      <c r="B21" t="inlineStr">
        <is>
          <t>공융과 태사자</t>
        </is>
      </c>
      <c r="C21" t="inlineStr">
        <is>
          <t>홀로 포위를 뚫다</t>
        </is>
      </c>
    </row>
    <row r="22">
      <c r="A22" t="n">
        <v>21</v>
      </c>
      <c r="B22" t="inlineStr">
        <is>
          <t>인중여포 마중적토</t>
        </is>
      </c>
      <c r="C22" t="inlineStr">
        <is>
          <t>사람 중엔 여포, 말 중엔 적토</t>
        </is>
      </c>
    </row>
    <row r="23">
      <c r="A23" t="n">
        <v>22</v>
      </c>
      <c r="B23" t="inlineStr">
        <is>
          <t>함진영</t>
        </is>
      </c>
      <c r="C23" t="inlineStr">
        <is>
          <t>깨지 못한 진은 없다</t>
        </is>
      </c>
    </row>
    <row r="24">
      <c r="A24" t="n">
        <v>23</v>
      </c>
      <c r="B24" t="inlineStr">
        <is>
          <t>하비성 백문루</t>
        </is>
      </c>
      <c r="C24" t="inlineStr">
        <is>
          <t>여포, 백문루에 묶이다</t>
        </is>
      </c>
    </row>
    <row r="25">
      <c r="A25" t="n">
        <v>24</v>
      </c>
      <c r="B25" t="inlineStr">
        <is>
          <t>진등 부자</t>
        </is>
      </c>
      <c r="C25" t="inlineStr">
        <is>
          <t>두 얼굴의 부자</t>
        </is>
      </c>
    </row>
    <row r="26">
      <c r="A26" t="n">
        <v>25</v>
      </c>
      <c r="B26" t="inlineStr">
        <is>
          <t>원술 칭제</t>
        </is>
      </c>
      <c r="C26" t="inlineStr">
        <is>
          <t>꿀물 한 그릇</t>
        </is>
      </c>
    </row>
    <row r="27">
      <c r="A27" t="n">
        <v>26</v>
      </c>
      <c r="B27" t="inlineStr">
        <is>
          <t>역경 함락</t>
        </is>
      </c>
      <c r="C27" t="inlineStr">
        <is>
          <t>불타는 누대</t>
        </is>
      </c>
    </row>
    <row r="28">
      <c r="A28" t="n">
        <v>27</v>
      </c>
      <c r="B28" t="inlineStr">
        <is>
          <t>신정산의 일기토</t>
        </is>
      </c>
      <c r="C28" t="inlineStr">
        <is>
          <t>손책과 태사자, 맞붙다</t>
        </is>
      </c>
    </row>
    <row r="29">
      <c r="A29" t="n">
        <v>28</v>
      </c>
      <c r="B29" t="inlineStr">
        <is>
          <t>내사는 장소에게</t>
        </is>
      </c>
      <c r="C29" t="inlineStr">
        <is>
          <t>안은 장소에게, 밖은 주유에게</t>
        </is>
      </c>
    </row>
    <row r="30">
      <c r="A30" t="n">
        <v>29</v>
      </c>
      <c r="B30" t="inlineStr">
        <is>
          <t>완성의 밤</t>
        </is>
      </c>
      <c r="C30" t="inlineStr">
        <is>
          <t>아들과 명마를 잃은 밤</t>
        </is>
      </c>
    </row>
    <row r="31">
      <c r="A31" t="n">
        <v>30</v>
      </c>
      <c r="B31" t="inlineStr">
        <is>
          <t>가후의 계책</t>
        </is>
      </c>
      <c r="C31" t="inlineStr">
        <is>
          <t>쫓지 말라 할 때 쫓아라</t>
        </is>
      </c>
    </row>
    <row r="32">
      <c r="A32" t="n">
        <v>31</v>
      </c>
      <c r="B32" t="inlineStr">
        <is>
          <t>청매자주 영웅론</t>
        </is>
      </c>
      <c r="C32" t="inlineStr">
        <is>
          <t>천하의 영웅은 그대와 나뿐</t>
        </is>
      </c>
    </row>
    <row r="33">
      <c r="A33" t="n">
        <v>32</v>
      </c>
      <c r="B33" t="inlineStr">
        <is>
          <t>의대조</t>
        </is>
      </c>
      <c r="C33" t="inlineStr">
        <is>
          <t>옷 띠 속의 밀서</t>
        </is>
      </c>
    </row>
    <row r="34">
      <c r="A34" t="n">
        <v>33</v>
      </c>
      <c r="B34" t="inlineStr">
        <is>
          <t>토산의 세 가지 약속</t>
        </is>
      </c>
      <c r="C34" t="inlineStr">
        <is>
          <t>관우의 세 가지 약속</t>
        </is>
      </c>
    </row>
    <row r="35">
      <c r="A35" t="n">
        <v>34</v>
      </c>
      <c r="B35" t="inlineStr">
        <is>
          <t>십승십패론</t>
        </is>
      </c>
      <c r="C35" t="inlineStr">
        <is>
          <t>이길 이유 열 가지</t>
        </is>
      </c>
    </row>
    <row r="36">
      <c r="A36" t="n">
        <v>35</v>
      </c>
      <c r="B36" t="inlineStr">
        <is>
          <t>왕좌지재</t>
        </is>
      </c>
      <c r="C36" t="inlineStr">
        <is>
          <t>조조의 장자방</t>
        </is>
      </c>
    </row>
    <row r="37">
      <c r="A37" t="n">
        <v>36</v>
      </c>
      <c r="B37" t="inlineStr">
        <is>
          <t>원소의 모사들</t>
        </is>
      </c>
      <c r="C37" t="inlineStr">
        <is>
          <t>듣지 않는 주군</t>
        </is>
      </c>
    </row>
    <row r="38">
      <c r="A38" t="n">
        <v>37</v>
      </c>
      <c r="B38" t="inlineStr">
        <is>
          <t>하북의 두 기둥</t>
        </is>
      </c>
      <c r="C38" t="inlineStr">
        <is>
          <t>안량과 문추</t>
        </is>
      </c>
    </row>
    <row r="39">
      <c r="A39" t="n">
        <v>38</v>
      </c>
      <c r="B39" t="inlineStr">
        <is>
          <t>관도대전</t>
        </is>
      </c>
      <c r="C39" t="inlineStr">
        <is>
          <t>관도대전</t>
        </is>
      </c>
    </row>
    <row r="40">
      <c r="A40" t="n">
        <v>39</v>
      </c>
      <c r="B40" t="inlineStr">
        <is>
          <t>오소 기습</t>
        </is>
      </c>
      <c r="C40" t="inlineStr">
        <is>
          <t>군량고를 불태우다</t>
        </is>
      </c>
    </row>
    <row r="41">
      <c r="A41" t="n">
        <v>40</v>
      </c>
      <c r="B41" t="inlineStr">
        <is>
          <t>오관참육장</t>
        </is>
      </c>
      <c r="C41" t="inlineStr">
        <is>
          <t>다섯 관문, 여섯 장수</t>
        </is>
      </c>
    </row>
    <row r="42">
      <c r="A42" t="n">
        <v>41</v>
      </c>
      <c r="B42" t="inlineStr">
        <is>
          <t>고성의 재회</t>
        </is>
      </c>
      <c r="C42" t="inlineStr">
        <is>
          <t>형제, 다시 모이다</t>
        </is>
      </c>
    </row>
    <row r="43">
      <c r="A43" t="n">
        <v>42</v>
      </c>
      <c r="B43" t="inlineStr">
        <is>
          <t>발시담정</t>
        </is>
      </c>
      <c r="C43" t="inlineStr">
        <is>
          <t>화살을 뽑아 눈을 삼키다</t>
        </is>
      </c>
    </row>
    <row r="44">
      <c r="A44" t="n">
        <v>43</v>
      </c>
      <c r="B44" t="inlineStr">
        <is>
          <t>백랑산</t>
        </is>
      </c>
      <c r="C44" t="inlineStr">
        <is>
          <t>북방 끝의 싸움</t>
        </is>
      </c>
    </row>
    <row r="45">
      <c r="A45" t="n">
        <v>44</v>
      </c>
      <c r="B45" t="inlineStr">
        <is>
          <t>적로의 단계 도약</t>
        </is>
      </c>
      <c r="C45" t="inlineStr">
        <is>
          <t>적로, 강을 뛰어넘다</t>
        </is>
      </c>
    </row>
    <row r="46">
      <c r="A46" t="n">
        <v>45</v>
      </c>
      <c r="B46" t="inlineStr">
        <is>
          <t>팔문금쇄진</t>
        </is>
      </c>
      <c r="C46" t="inlineStr">
        <is>
          <t>여덟 문의 진법</t>
        </is>
      </c>
    </row>
    <row r="47">
      <c r="A47" t="n">
        <v>46</v>
      </c>
      <c r="B47" t="inlineStr">
        <is>
          <t>서서의 어머니</t>
        </is>
      </c>
      <c r="C47" t="inlineStr">
        <is>
          <t>서서의 어머니</t>
        </is>
      </c>
    </row>
    <row r="48">
      <c r="A48" t="n">
        <v>47</v>
      </c>
      <c r="B48" t="inlineStr">
        <is>
          <t>삼고초려</t>
        </is>
      </c>
      <c r="C48" t="inlineStr">
        <is>
          <t>삼고초려</t>
        </is>
      </c>
    </row>
    <row r="49">
      <c r="A49" t="n">
        <v>48</v>
      </c>
      <c r="B49" t="inlineStr">
        <is>
          <t>박망파의 불</t>
        </is>
      </c>
      <c r="C49" t="inlineStr">
        <is>
          <t>제갈량의 첫 계책</t>
        </is>
      </c>
    </row>
    <row r="50">
      <c r="A50" t="n">
        <v>49</v>
      </c>
      <c r="B50" t="inlineStr">
        <is>
          <t>형주의 항복</t>
        </is>
      </c>
      <c r="C50" t="inlineStr">
        <is>
          <t>형주를 바치다</t>
        </is>
      </c>
    </row>
    <row r="51">
      <c r="A51" t="n">
        <v>50</v>
      </c>
      <c r="B51" t="inlineStr">
        <is>
          <t>장판파 단기구주</t>
        </is>
      </c>
      <c r="C51" t="inlineStr">
        <is>
          <t>백만 대군 속의 조운</t>
        </is>
      </c>
    </row>
    <row r="52">
      <c r="A52" t="n">
        <v>51</v>
      </c>
      <c r="B52" t="inlineStr">
        <is>
          <t>장판교의 일갈</t>
        </is>
      </c>
      <c r="C52" t="inlineStr">
        <is>
          <t>다리 위의 호통</t>
        </is>
      </c>
    </row>
    <row r="53">
      <c r="A53" t="n">
        <v>52</v>
      </c>
      <c r="B53" t="inlineStr">
        <is>
          <t>상옥추제</t>
        </is>
      </c>
      <c r="C53" t="inlineStr">
        <is>
          <t>사다리를 치우다</t>
        </is>
      </c>
    </row>
    <row r="54">
      <c r="A54" t="n">
        <v>53</v>
      </c>
      <c r="B54" t="inlineStr">
        <is>
          <t>노숙의 합종</t>
        </is>
      </c>
      <c r="C54" t="inlineStr">
        <is>
          <t>노숙, 동맹을 맺다</t>
        </is>
      </c>
    </row>
    <row r="55">
      <c r="A55" t="n">
        <v>54</v>
      </c>
      <c r="B55" t="inlineStr">
        <is>
          <t>설전군유</t>
        </is>
      </c>
      <c r="C55" t="inlineStr">
        <is>
          <t>말로 선비들을 꺾다</t>
        </is>
      </c>
    </row>
    <row r="56">
      <c r="A56" t="n">
        <v>55</v>
      </c>
      <c r="B56" t="inlineStr">
        <is>
          <t>책상을 베다</t>
        </is>
      </c>
      <c r="C56" t="inlineStr">
        <is>
          <t>책상을 베다</t>
        </is>
      </c>
    </row>
    <row r="57">
      <c r="A57" t="n">
        <v>56</v>
      </c>
      <c r="B57" t="inlineStr">
        <is>
          <t>군영회</t>
        </is>
      </c>
      <c r="C57" t="inlineStr">
        <is>
          <t>술자리의 가짜 편지</t>
        </is>
      </c>
    </row>
    <row r="58">
      <c r="A58" t="n">
        <v>57</v>
      </c>
      <c r="B58" t="inlineStr">
        <is>
          <t>초선차전</t>
        </is>
      </c>
      <c r="C58" t="inlineStr">
        <is>
          <t>풀배로 화살을 빌리다</t>
        </is>
      </c>
    </row>
    <row r="59">
      <c r="A59" t="n">
        <v>58</v>
      </c>
      <c r="B59" t="inlineStr">
        <is>
          <t>고육지책</t>
        </is>
      </c>
      <c r="C59" t="inlineStr">
        <is>
          <t>고육지책</t>
        </is>
      </c>
    </row>
    <row r="60">
      <c r="A60" t="n">
        <v>59</v>
      </c>
      <c r="B60" t="inlineStr">
        <is>
          <t>방통의 연환계</t>
        </is>
      </c>
      <c r="C60" t="inlineStr">
        <is>
          <t>쇠사슬로 묶은 배</t>
        </is>
      </c>
    </row>
    <row r="61">
      <c r="A61" t="n">
        <v>60</v>
      </c>
      <c r="B61" t="inlineStr">
        <is>
          <t>칠성단의 동남풍</t>
        </is>
      </c>
      <c r="C61" t="inlineStr">
        <is>
          <t>동남풍을 부르다</t>
        </is>
      </c>
    </row>
    <row r="62">
      <c r="A62" t="n">
        <v>61</v>
      </c>
      <c r="B62" t="inlineStr">
        <is>
          <t>적벽대전</t>
        </is>
      </c>
      <c r="C62" t="inlineStr">
        <is>
          <t>적벽대전</t>
        </is>
      </c>
    </row>
    <row r="63">
      <c r="A63" t="n">
        <v>62</v>
      </c>
      <c r="B63" t="inlineStr">
        <is>
          <t>화용도</t>
        </is>
      </c>
      <c r="C63" t="inlineStr">
        <is>
          <t>관우, 길을 열다</t>
        </is>
      </c>
    </row>
    <row r="64">
      <c r="A64" t="n">
        <v>63</v>
      </c>
      <c r="B64" t="inlineStr">
        <is>
          <t>남군 공방</t>
        </is>
      </c>
      <c r="C64" t="inlineStr">
        <is>
          <t>주유, 화살을 맞다</t>
        </is>
      </c>
    </row>
    <row r="65">
      <c r="A65" t="n">
        <v>64</v>
      </c>
      <c r="B65" t="inlineStr">
        <is>
          <t>삼기주유</t>
        </is>
      </c>
      <c r="C65" t="inlineStr">
        <is>
          <t>하늘은 어찌 나를 낳고…</t>
        </is>
      </c>
    </row>
    <row r="66">
      <c r="A66" t="n">
        <v>65</v>
      </c>
      <c r="B66" t="inlineStr">
        <is>
          <t>장사의 노장</t>
        </is>
      </c>
      <c r="C66" t="inlineStr">
        <is>
          <t>예순의 황충</t>
        </is>
      </c>
    </row>
    <row r="67">
      <c r="A67" t="n">
        <v>66</v>
      </c>
      <c r="B67" t="inlineStr">
        <is>
          <t>감로사</t>
        </is>
      </c>
      <c r="C67" t="inlineStr">
        <is>
          <t>진짜가 된 혼인</t>
        </is>
      </c>
    </row>
    <row r="68">
      <c r="A68" t="n">
        <v>67</v>
      </c>
      <c r="B68" t="inlineStr">
        <is>
          <t>동작대부</t>
        </is>
      </c>
      <c r="C68" t="inlineStr">
        <is>
          <t>조식의 노래</t>
        </is>
      </c>
    </row>
    <row r="69">
      <c r="A69" t="n">
        <v>68</v>
      </c>
      <c r="B69" t="inlineStr">
        <is>
          <t>동관의 마초</t>
        </is>
      </c>
      <c r="C69" t="inlineStr">
        <is>
          <t>수염을 자른 조조</t>
        </is>
      </c>
    </row>
    <row r="70">
      <c r="A70" t="n">
        <v>69</v>
      </c>
      <c r="B70" t="inlineStr">
        <is>
          <t>서천 지도</t>
        </is>
      </c>
      <c r="C70" t="inlineStr">
        <is>
          <t>지도 한 장</t>
        </is>
      </c>
    </row>
    <row r="71">
      <c r="A71" t="n">
        <v>70</v>
      </c>
      <c r="B71" t="inlineStr">
        <is>
          <t>낙봉파</t>
        </is>
      </c>
      <c r="C71" t="inlineStr">
        <is>
          <t>봉황이 떨어지다</t>
        </is>
      </c>
    </row>
    <row r="72">
      <c r="A72" t="n">
        <v>71</v>
      </c>
      <c r="B72" t="inlineStr">
        <is>
          <t>의석 엄안</t>
        </is>
      </c>
      <c r="C72" t="inlineStr">
        <is>
          <t>감동을 주고 충신을 얻다</t>
        </is>
      </c>
    </row>
    <row r="73">
      <c r="A73" t="n">
        <v>72</v>
      </c>
      <c r="B73" t="inlineStr">
        <is>
          <t>가맹관 야전</t>
        </is>
      </c>
      <c r="C73" t="inlineStr">
        <is>
          <t>횃불 아래의 승부</t>
        </is>
      </c>
    </row>
    <row r="74">
      <c r="A74" t="n">
        <v>73</v>
      </c>
      <c r="B74" t="inlineStr">
        <is>
          <t>익주의 유장</t>
        </is>
      </c>
      <c r="C74" t="inlineStr">
        <is>
          <t>난세에 어울리지 않던 주인</t>
        </is>
      </c>
    </row>
    <row r="75">
      <c r="A75" t="n">
        <v>74</v>
      </c>
      <c r="B75" t="inlineStr">
        <is>
          <t>단도부회</t>
        </is>
      </c>
      <c r="C75" t="inlineStr">
        <is>
          <t>칼 한 자루면 충분하다</t>
        </is>
      </c>
    </row>
    <row r="76">
      <c r="A76" t="n">
        <v>75</v>
      </c>
      <c r="B76" t="inlineStr">
        <is>
          <t>유수구</t>
        </is>
      </c>
      <c r="C76" t="inlineStr">
        <is>
          <t>아들을 낳으려면 손권처럼</t>
        </is>
      </c>
    </row>
    <row r="77">
      <c r="A77" t="n">
        <v>76</v>
      </c>
      <c r="B77" t="inlineStr">
        <is>
          <t>빈 찬합</t>
        </is>
      </c>
      <c r="C77" t="inlineStr">
        <is>
          <t>빈 찬합</t>
        </is>
      </c>
    </row>
    <row r="78">
      <c r="A78" t="n">
        <v>77</v>
      </c>
      <c r="B78" t="inlineStr">
        <is>
          <t>백기겁위영</t>
        </is>
      </c>
      <c r="C78" t="inlineStr">
        <is>
          <t>기병 백 명의 야습</t>
        </is>
      </c>
    </row>
    <row r="79">
      <c r="A79" t="n">
        <v>78</v>
      </c>
      <c r="B79" t="inlineStr">
        <is>
          <t>합비 소요진</t>
        </is>
      </c>
      <c r="C79" t="inlineStr">
        <is>
          <t>울음을 그치게 한 이름</t>
        </is>
      </c>
    </row>
    <row r="80">
      <c r="A80" t="n">
        <v>79</v>
      </c>
      <c r="B80" t="inlineStr">
        <is>
          <t>괄목상대</t>
        </is>
      </c>
      <c r="C80" t="inlineStr">
        <is>
          <t>괄목상대</t>
        </is>
      </c>
    </row>
    <row r="81">
      <c r="A81" t="n">
        <v>80</v>
      </c>
      <c r="B81" t="inlineStr">
        <is>
          <t>정군산</t>
        </is>
      </c>
      <c r="C81" t="inlineStr">
        <is>
          <t>절대 노인을 무시하지 마라</t>
        </is>
      </c>
    </row>
    <row r="82">
      <c r="A82" t="n">
        <v>81</v>
      </c>
      <c r="B82" t="inlineStr">
        <is>
          <t>계륵</t>
        </is>
      </c>
      <c r="C82" t="inlineStr">
        <is>
          <t>계륵</t>
        </is>
      </c>
    </row>
    <row r="83">
      <c r="A83" t="n">
        <v>82</v>
      </c>
      <c r="B83" t="inlineStr">
        <is>
          <t>수엄칠군</t>
        </is>
      </c>
      <c r="C83" t="inlineStr">
        <is>
          <t>일곱 군을 삼킨 물</t>
        </is>
      </c>
    </row>
    <row r="84">
      <c r="A84" t="n">
        <v>83</v>
      </c>
      <c r="B84" t="inlineStr">
        <is>
          <t>관을 멘 방덕</t>
        </is>
      </c>
      <c r="C84" t="inlineStr">
        <is>
          <t>관을 멘 방덕</t>
        </is>
      </c>
    </row>
    <row r="85">
      <c r="A85" t="n">
        <v>84</v>
      </c>
      <c r="B85" t="inlineStr">
        <is>
          <t>백의도강</t>
        </is>
      </c>
      <c r="C85" t="inlineStr">
        <is>
          <t>흰 옷을 입고 강을 건너다</t>
        </is>
      </c>
    </row>
    <row r="86">
      <c r="A86" t="n">
        <v>85</v>
      </c>
      <c r="B86" t="inlineStr">
        <is>
          <t>맥성</t>
        </is>
      </c>
      <c r="C86" t="inlineStr">
        <is>
          <t>관우가 붙잡히다</t>
        </is>
      </c>
    </row>
    <row r="87">
      <c r="A87" t="n">
        <v>86</v>
      </c>
      <c r="B87" t="inlineStr">
        <is>
          <t>수선대</t>
        </is>
      </c>
      <c r="C87" t="inlineStr">
        <is>
          <t>사백 년이 끝나다</t>
        </is>
      </c>
    </row>
    <row r="88">
      <c r="A88" t="n">
        <v>87</v>
      </c>
      <c r="B88" t="inlineStr">
        <is>
          <t>칠보시</t>
        </is>
      </c>
      <c r="C88" t="inlineStr">
        <is>
          <t>일곱 걸음의 시</t>
        </is>
      </c>
    </row>
    <row r="89">
      <c r="A89" t="n">
        <v>88</v>
      </c>
      <c r="B89" t="inlineStr">
        <is>
          <t>아버지의 원수</t>
        </is>
      </c>
      <c r="C89" t="inlineStr">
        <is>
          <t>아버지의 이름으로</t>
        </is>
      </c>
    </row>
    <row r="90">
      <c r="A90" t="n">
        <v>89</v>
      </c>
      <c r="B90" t="inlineStr">
        <is>
          <t>오계의 만왕</t>
        </is>
      </c>
      <c r="C90" t="inlineStr">
        <is>
          <t>감녕을 쓰러뜨린 화살</t>
        </is>
      </c>
    </row>
    <row r="91">
      <c r="A91" t="n">
        <v>90</v>
      </c>
      <c r="B91" t="inlineStr">
        <is>
          <t>이릉대전</t>
        </is>
      </c>
      <c r="C91" t="inlineStr">
        <is>
          <t>칠백 리를 태운 불</t>
        </is>
      </c>
    </row>
    <row r="92">
      <c r="A92" t="n">
        <v>91</v>
      </c>
      <c r="B92" t="inlineStr">
        <is>
          <t>백제성 탁고</t>
        </is>
      </c>
      <c r="C92" t="inlineStr">
        <is>
          <t>유비가 운명하다</t>
        </is>
      </c>
    </row>
    <row r="93">
      <c r="A93" t="n">
        <v>92</v>
      </c>
      <c r="B93" t="inlineStr">
        <is>
          <t>서성의 가짜 성벽</t>
        </is>
      </c>
      <c r="C93" t="inlineStr">
        <is>
          <t>서성의 가짜 성벽</t>
        </is>
      </c>
    </row>
    <row r="94">
      <c r="A94" t="n">
        <v>93</v>
      </c>
      <c r="B94" t="inlineStr">
        <is>
          <t>칠종칠금</t>
        </is>
      </c>
      <c r="C94" t="inlineStr">
        <is>
          <t>일곱 번 잡고 일곱 번 놓아주다</t>
        </is>
      </c>
    </row>
    <row r="95">
      <c r="A95" t="n">
        <v>94</v>
      </c>
      <c r="B95" t="inlineStr">
        <is>
          <t>출사표</t>
        </is>
      </c>
      <c r="C95" t="inlineStr">
        <is>
          <t>출사표</t>
        </is>
      </c>
    </row>
    <row r="96">
      <c r="A96" t="n">
        <v>95</v>
      </c>
      <c r="B96" t="inlineStr">
        <is>
          <t>오두미도</t>
        </is>
      </c>
      <c r="C96" t="inlineStr">
        <is>
          <t>쌀 다섯 말의 교단</t>
        </is>
      </c>
    </row>
    <row r="97">
      <c r="A97" t="n">
        <v>96</v>
      </c>
      <c r="B97" t="inlineStr">
        <is>
          <t>천수의 강유</t>
        </is>
      </c>
      <c r="C97" t="inlineStr">
        <is>
          <t>제갈량, 강유를 만나다</t>
        </is>
      </c>
    </row>
    <row r="98">
      <c r="A98" t="n">
        <v>97</v>
      </c>
      <c r="B98" t="inlineStr">
        <is>
          <t>가정</t>
        </is>
      </c>
      <c r="C98" t="inlineStr">
        <is>
          <t>산 위에 진을 치다</t>
        </is>
      </c>
    </row>
    <row r="99">
      <c r="A99" t="n">
        <v>98</v>
      </c>
      <c r="B99" t="inlineStr">
        <is>
          <t>공성계</t>
        </is>
      </c>
      <c r="C99" t="inlineStr">
        <is>
          <t>거문고를 타는 제갈량</t>
        </is>
      </c>
    </row>
    <row r="100">
      <c r="A100" t="n">
        <v>99</v>
      </c>
      <c r="B100" t="inlineStr">
        <is>
          <t>진창 수성</t>
        </is>
      </c>
      <c r="C100" t="inlineStr">
        <is>
          <t>스무 날을 버틴 성</t>
        </is>
      </c>
    </row>
    <row r="101">
      <c r="A101" t="n">
        <v>100</v>
      </c>
      <c r="B101" t="inlineStr">
        <is>
          <t>목우유마</t>
        </is>
      </c>
      <c r="C101" t="inlineStr">
        <is>
          <t>나무로 만든 소와 말</t>
        </is>
      </c>
    </row>
    <row r="102">
      <c r="A102" t="n">
        <v>101</v>
      </c>
      <c r="B102" t="inlineStr">
        <is>
          <t>목문도</t>
        </is>
      </c>
      <c r="C102" t="inlineStr">
        <is>
          <t>장합, 화살비에 쓰러지다</t>
        </is>
      </c>
    </row>
    <row r="103">
      <c r="A103" t="n">
        <v>102</v>
      </c>
      <c r="B103" t="inlineStr">
        <is>
          <t>반골</t>
        </is>
      </c>
      <c r="C103" t="inlineStr">
        <is>
          <t>누가 감히 나를 죽이랴</t>
        </is>
      </c>
    </row>
    <row r="104">
      <c r="A104" t="n">
        <v>103</v>
      </c>
      <c r="B104" t="inlineStr">
        <is>
          <t>상방곡의 비</t>
        </is>
      </c>
      <c r="C104" t="inlineStr">
        <is>
          <t>하늘이 내린 소나기</t>
        </is>
      </c>
    </row>
    <row r="105">
      <c r="A105" t="n">
        <v>104</v>
      </c>
      <c r="B105" t="inlineStr">
        <is>
          <t>오장원</t>
        </is>
      </c>
      <c r="C105" t="inlineStr">
        <is>
          <t>죽은 자가 산 자를 물리치다</t>
        </is>
      </c>
    </row>
    <row r="106">
      <c r="A106" t="n">
        <v>105</v>
      </c>
      <c r="B106" t="inlineStr">
        <is>
          <t>고평릉</t>
        </is>
      </c>
      <c r="C106" t="inlineStr">
        <is>
          <t>늙은 이리가 일어나다</t>
        </is>
      </c>
    </row>
    <row r="107">
      <c r="A107" t="n">
        <v>106</v>
      </c>
      <c r="B107" t="inlineStr">
        <is>
          <t>구벌중원</t>
        </is>
      </c>
      <c r="C107" t="inlineStr">
        <is>
          <t>아홉 번의 북벌</t>
        </is>
      </c>
    </row>
    <row r="108">
      <c r="A108" t="n">
        <v>107</v>
      </c>
      <c r="B108" t="inlineStr">
        <is>
          <t>촉의 사상</t>
        </is>
      </c>
      <c r="C108" t="inlineStr">
        <is>
          <t>제갈량 이후의 촉</t>
        </is>
      </c>
    </row>
    <row r="109">
      <c r="A109" t="n">
        <v>108</v>
      </c>
      <c r="B109" t="inlineStr">
        <is>
          <t>오호대장군</t>
        </is>
      </c>
      <c r="C109" t="inlineStr">
        <is>
          <t>오호대장군</t>
        </is>
      </c>
    </row>
    <row r="110">
      <c r="A110" t="n">
        <v>109</v>
      </c>
      <c r="B110" t="inlineStr">
        <is>
          <t>오자양장</t>
        </is>
      </c>
      <c r="C110" t="inlineStr">
        <is>
          <t>조조의 다섯 명장</t>
        </is>
      </c>
    </row>
    <row r="111">
      <c r="A111" t="n">
        <v>110</v>
      </c>
      <c r="B111" t="inlineStr">
        <is>
          <t>동오 4대 도독</t>
        </is>
      </c>
      <c r="C111" t="inlineStr">
        <is>
          <t>강동의 네 도독</t>
        </is>
      </c>
    </row>
    <row r="112">
      <c r="A112" t="n">
        <v>111</v>
      </c>
      <c r="B112" t="inlineStr">
        <is>
          <t>위의 모사들</t>
        </is>
      </c>
      <c r="C112" t="inlineStr">
        <is>
          <t>조조의 책사들</t>
        </is>
      </c>
    </row>
    <row r="113">
      <c r="A113" t="n">
        <v>112</v>
      </c>
      <c r="B113" t="inlineStr">
        <is>
          <t>강동 호신</t>
        </is>
      </c>
      <c r="C113" t="inlineStr">
        <is>
          <t>손씨 3대를 지킨 장수들</t>
        </is>
      </c>
    </row>
    <row r="114">
      <c r="A114" t="n">
        <v>113</v>
      </c>
      <c r="B114" t="inlineStr">
        <is>
          <t>주태의 흉터</t>
        </is>
      </c>
      <c r="C114" t="inlineStr">
        <is>
          <t>흉터마다 한 잔</t>
        </is>
      </c>
    </row>
    <row r="115">
      <c r="A115" t="n">
        <v>114</v>
      </c>
      <c r="B115" t="inlineStr">
        <is>
          <t>하후 형제</t>
        </is>
      </c>
      <c r="C115" t="inlineStr">
        <is>
          <t>하후 형제</t>
        </is>
      </c>
    </row>
    <row r="116">
      <c r="A116" t="n">
        <v>115</v>
      </c>
      <c r="B116" t="inlineStr">
        <is>
          <t>마씨오상 백미최량</t>
        </is>
      </c>
      <c r="C116" t="inlineStr">
        <is>
          <t>다섯 형제 중의 백미</t>
        </is>
      </c>
    </row>
    <row r="117">
      <c r="A117" t="n">
        <v>116</v>
      </c>
      <c r="B117" t="inlineStr">
        <is>
          <t>서량의 마씨</t>
        </is>
      </c>
      <c r="C117" t="inlineStr">
        <is>
          <t>서량을 달린 마씨 일가</t>
        </is>
      </c>
    </row>
    <row r="118">
      <c r="A118" t="n">
        <v>117</v>
      </c>
      <c r="B118" t="inlineStr">
        <is>
          <t>형주의 유표</t>
        </is>
      </c>
      <c r="C118" t="inlineStr">
        <is>
          <t>두 아들 사이에서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3" t="inlineStr">
        <is>
          <t>#</t>
        </is>
      </c>
      <c r="B1" s="13" t="inlineStr">
        <is>
          <t>타이틀</t>
        </is>
      </c>
      <c r="C1" s="13" t="inlineStr">
        <is>
          <t>제목_en</t>
        </is>
      </c>
      <c r="D1" s="13" t="inlineStr">
        <is>
          <t>설명_en</t>
        </is>
      </c>
      <c r="E1" s="13" t="inlineStr">
        <is>
          <t>상세_en</t>
        </is>
      </c>
      <c r="F1" s="13" t="inlineStr">
        <is>
          <t>제목_ja</t>
        </is>
      </c>
      <c r="G1" s="13" t="inlineStr">
        <is>
          <t>설명_ja</t>
        </is>
      </c>
      <c r="H1" s="13" t="inlineStr">
        <is>
          <t>상세_ja</t>
        </is>
      </c>
      <c r="I1" s="13" t="inlineStr">
        <is>
          <t>제목_zh_Hant</t>
        </is>
      </c>
      <c r="J1" s="13" t="inlineStr">
        <is>
          <t>설명_zh_Hant</t>
        </is>
      </c>
      <c r="K1" s="13" t="inlineStr">
        <is>
          <t>상세_zh_Hant</t>
        </is>
      </c>
      <c r="L1" s="13" t="inlineStr">
        <is>
          <t>제목_zh_Hans</t>
        </is>
      </c>
      <c r="M1" s="13" t="inlineStr">
        <is>
          <t>설명_zh_Hans</t>
        </is>
      </c>
      <c r="N1" s="13" t="inlineStr">
        <is>
          <t>상세_zh_Hans</t>
        </is>
      </c>
      <c r="O1" s="13" t="inlineStr">
        <is>
          <t>제목_pt_BR</t>
        </is>
      </c>
      <c r="P1" s="13" t="inlineStr">
        <is>
          <t>설명_pt_BR</t>
        </is>
      </c>
      <c r="Q1" s="13" t="inlineStr">
        <is>
          <t>상세_pt_BR</t>
        </is>
      </c>
      <c r="R1" s="13" t="inlineStr">
        <is>
          <t>제목_pt_PT</t>
        </is>
      </c>
      <c r="S1" s="13" t="inlineStr">
        <is>
          <t>설명_pt_PT</t>
        </is>
      </c>
      <c r="T1" s="13" t="inlineStr">
        <is>
          <t>상세_pt_PT</t>
        </is>
      </c>
      <c r="U1" s="13" t="inlineStr">
        <is>
          <t>제목_it</t>
        </is>
      </c>
      <c r="V1" s="13" t="inlineStr">
        <is>
          <t>설명_it</t>
        </is>
      </c>
      <c r="W1" s="13" t="inlineStr">
        <is>
          <t>상세_it</t>
        </is>
      </c>
      <c r="X1" s="13" t="inlineStr">
        <is>
          <t>제목_es_419</t>
        </is>
      </c>
      <c r="Y1" s="13" t="inlineStr">
        <is>
          <t>설명_es_419</t>
        </is>
      </c>
      <c r="Z1" s="13" t="inlineStr">
        <is>
          <t>상세_es_419</t>
        </is>
      </c>
      <c r="AA1" s="13" t="inlineStr">
        <is>
          <t>제목_mn</t>
        </is>
      </c>
      <c r="AB1" s="13" t="inlineStr">
        <is>
          <t>설명_mn</t>
        </is>
      </c>
      <c r="AC1" s="13" t="inlineStr">
        <is>
          <t>상세_mn</t>
        </is>
      </c>
      <c r="AD1" s="13" t="inlineStr">
        <is>
          <t>한자_zh_Hans</t>
        </is>
      </c>
    </row>
    <row r="2">
      <c r="A2" t="n">
        <v>1</v>
      </c>
      <c r="B2" t="inlineStr">
        <is>
          <t>도원결의</t>
        </is>
      </c>
      <c r="C2" s="14" t="inlineStr">
        <is>
          <t>Oath of the Peach Garden</t>
        </is>
      </c>
      <c r="D2" s="14" t="inlineStr">
        <is>
          <t>Where the saga begins. Three men, it is said, swore brotherhood in a garden of peach trees.</t>
        </is>
      </c>
      <c r="E2" s="14" t="inlineStr">
        <is>
          <t>In the year the Yellow Turbans rose, Liu Bei, Guan Yu and Zhang Fei of Zhuo swore brotherhood in the peach orchard behind Zhang Fei's house. “We were not born on the same day, but we hope to die on the same day” — that oath bound the three for the rest of their lives.</t>
        </is>
      </c>
      <c r="F2" s="14" t="inlineStr">
        <is>
          <t>桃園の誓い</t>
        </is>
      </c>
      <c r="G2" s="14" t="inlineStr">
        <is>
          <t>三国志のはじまり。三人は桃の咲く庭で義兄弟の契りを結んだという。</t>
        </is>
      </c>
      <c r="H2" s="14" t="inlineStr">
        <is>
          <t>黄巾の乱が起きた年、涿県の劉備・関羽・張飛は、張飛の屋敷裏の桃園で義兄弟の契りを結んだ。同じ日に生まれることはできなかったが、同じ日に死なんことを願う――その誓いが三人の生涯を結びつけた。</t>
        </is>
      </c>
      <c r="I2" s="14" t="inlineStr">
        <is>
          <t>桃園三結義</t>
        </is>
      </c>
      <c r="J2" s="14" t="inlineStr">
        <is>
          <t>三國故事的開端。相傳三人在桃花盛開的園中結為異姓兄弟。</t>
        </is>
      </c>
      <c r="K2" s="14" t="inlineStr">
        <is>
          <t>黃巾起事那年，涿縣的劉備、關羽、張飛在張飛家後院的桃園結為兄弟。「不求同年同月同日生，但願同年同月同日死」，這句誓言繫住了三人的一生。</t>
        </is>
      </c>
      <c r="L2" s="14" t="inlineStr">
        <is>
          <t>桃园结义</t>
        </is>
      </c>
      <c r="M2" s="14" t="inlineStr">
        <is>
          <t>三国故事由此开始。相传三人在桃花园中结为异姓兄弟。</t>
        </is>
      </c>
      <c r="N2" s="14" t="inlineStr">
        <is>
          <t>黄巾起事那一年，涿县的刘备、关羽、张飞在张飞家后院的桃园中结为兄弟。「不求同年同月同日生，但求同年同月同日死」，这句誓言系住了三人的一生。</t>
        </is>
      </c>
      <c r="O2" s="14" t="inlineStr">
        <is>
          <t>Juramento do Jardim de Pessegueiros</t>
        </is>
      </c>
      <c r="P2" s="14" t="inlineStr">
        <is>
          <t>O começo de tudo. Dizem que três homens se tornaram irmãos de juramento num jardim de pessegueiros.</t>
        </is>
      </c>
      <c r="Q2" s="14" t="inlineStr">
        <is>
          <t>No ano em que os Turbantes Amarelos se ergueram, Liu Bei, Guan Yu e Zhang Fei, de Zhuo, juraram irmandade no pomar de pessegueiros atrás da casa de Zhang Fei. Não nasceram no mesmo dia, mas desejaram morrer no mesmo dia — e esse juramento uniu os três pelo resto da vida.</t>
        </is>
      </c>
      <c r="R2" s="14" t="inlineStr">
        <is>
          <t>Juramento do Jardim dos Pessegueiros</t>
        </is>
      </c>
      <c r="S2" s="14" t="inlineStr">
        <is>
          <t>O início dos Três Reinos. Conta-se que três homens se juraram irmãos num jardim de pessegueiros.</t>
        </is>
      </c>
      <c r="T2" s="14" t="inlineStr">
        <is>
          <t>No ano em que os Turbantes Amarelos se levantaram, Liu Bei, Guan Yu e Zhang Fei, de Zhuoxian, juraram-se irmãos no pomar de pessegueiros atrás da casa de Zhang Fei. Não tinham nascido no mesmo dia, mas desejavam morrer no mesmo dia — e esse juramento uniu-os para toda a vida.</t>
        </is>
      </c>
      <c r="U2" s="14" t="inlineStr">
        <is>
          <t>Il giuramento del giardino dei peschi</t>
        </is>
      </c>
      <c r="V2" s="14" t="inlineStr">
        <is>
          <t>L'inizio dei Tre Regni. Si narra che tre uomini giurarono fratellanza in un giardino di peschi.</t>
        </is>
      </c>
      <c r="W2" s="14" t="inlineStr">
        <is>
          <t>Nell'anno in cui insorsero i Turbanti Gialli, a Zhuo, Liu Bei, Guan Yu e Zhang Fei si giurarono fratelli nel frutteto di peschi dietro la casa di Zhang Fei. «Non nati nello stesso giorno, ma uniti nel morire nello stesso giorno»: quel giuramento legò le loro vite per sempre.</t>
        </is>
      </c>
      <c r="X2" s="14" t="inlineStr">
        <is>
          <t>El juramento del jardín de melocotoneros</t>
        </is>
      </c>
      <c r="Y2" s="14" t="inlineStr">
        <is>
          <t>Aquí empieza la historia. Dicen que tres hombres se juraron hermanos en un jardín de melocotoneros.</t>
        </is>
      </c>
      <c r="Z2" s="14" t="inlineStr">
        <is>
          <t>El año en que se alzaron los Turbantes Amarillos, Liu Bei, Guan Yu y Zhang Fei, de Zhuo, se juraron hermanos en el huerto de melocotoneros detrás de la casa de Zhang Fei. «No nacimos el mismo día, pero deseamos morir el mismo día»: ese juramento ató a los tres para toda la vida.</t>
        </is>
      </c>
      <c r="AA2" s="14" t="inlineStr">
        <is>
          <t>Тоорын цэцэрлэгийн тангараг</t>
        </is>
      </c>
      <c r="AB2" s="14" t="inlineStr">
        <is>
          <t>Гурван улсын түүхийн эхлэл. Гурван эр тоорын цэцэрлэгт ах дүүс болохоор тангарагласан гэдэг.</t>
        </is>
      </c>
      <c r="AC2" s="14" t="inlineStr">
        <is>
          <t>Шар алчууртны бослого гарсан жил Чжосяний Лю Бэй, Гуань Юй, Чжан Фэй гурав Чжан Фэйн гэрийн арын тоорын цэцэрлэгт ах дүүсийн тангараг өргөв. «Нэг өдөр төрөөгүй ч нэг өдөр үхэхийг хүснэ» гэсэн тангараг гурвын насан туршийг холбосон юм.</t>
        </is>
      </c>
      <c r="AD2" s="14" t="inlineStr">
        <is>
          <t>桃园结义</t>
        </is>
      </c>
    </row>
    <row r="3">
      <c r="A3" t="n">
        <v>2</v>
      </c>
      <c r="B3" t="inlineStr">
        <is>
          <t>황건적 토벌</t>
        </is>
      </c>
      <c r="C3" s="14" t="inlineStr">
        <is>
          <t>Against the Yellow Turbans</t>
        </is>
      </c>
      <c r="D3" s="14" t="inlineStr">
        <is>
          <t>A rebellion raised by Zhang Jue of the Way of Great Peace. Three men who would one day divide the realm stood on the same battlefield.</t>
        </is>
      </c>
      <c r="E3" s="14" t="inlineStr">
        <is>
          <t>Zhang Jue, master of the Way of Great Peace, declared that “the Azure Heaven is already dead” and raised hundreds of thousands of followers. Among the imperial troops and volunteers sent against him were Liu Bei, Cao Cao and Sun Jian — the first battlefield of the men who would split the realm in three.</t>
        </is>
      </c>
      <c r="F3" s="14" t="inlineStr">
        <is>
          <t>黄巾賊を討つ</t>
        </is>
      </c>
      <c r="G3" s="14" t="inlineStr">
        <is>
          <t>太平道の張角が起こした乱。のちに天下を分ける三人が、同じ戦場に立った。</t>
        </is>
      </c>
      <c r="H3" s="14" t="inlineStr">
        <is>
          <t>太平道の教祖・張角が「蒼天すでに死す」と唱え、数十万の信徒を蜂起させた。討伐に出た官軍と義勇兵の中に、劉備・曹操・孫堅がいた――のちに天下を三つに分ける者たちの、最初の戦場である。</t>
        </is>
      </c>
      <c r="I3" s="14" t="inlineStr">
        <is>
          <t>討伐黃巾賊</t>
        </is>
      </c>
      <c r="J3" s="14" t="inlineStr">
        <is>
          <t>太平道張角掀起的大亂。日後三分天下的三人，站上了同一片戰場。</t>
        </is>
      </c>
      <c r="K3" s="14" t="inlineStr">
        <is>
          <t>太平道教主張角高喊「蒼天已死」，聚起數十萬信徒。前往討伐的官軍與義兵之中，有劉備、曹操、孫堅——這是日後三分天下之人的第一片戰場。</t>
        </is>
      </c>
      <c r="L3" s="14" t="inlineStr">
        <is>
          <t>讨伐黄巾贼</t>
        </is>
      </c>
      <c r="M3" s="14" t="inlineStr">
        <is>
          <t>太平道张角掀起的大乱。日后三分天下的三人，站上了同一片战场。</t>
        </is>
      </c>
      <c r="N3" s="14" t="inlineStr">
        <is>
          <t>太平道教主张角喊出「苍天已死」，聚起数十万信众。出征讨伐的官军与义兵之中，有刘备、曹操与孙坚——这是日后三分天下之人的第一战。</t>
        </is>
      </c>
      <c r="O3" s="14" t="inlineStr">
        <is>
          <t>Contra os Turbantes Amarelos</t>
        </is>
      </c>
      <c r="P3" s="14" t="inlineStr">
        <is>
          <t>A revolta de Zhang Jiao, do Caminho da Grande Paz. Os três que um dia dividiriam o império lutaram no mesmo campo.</t>
        </is>
      </c>
      <c r="Q3" s="14" t="inlineStr">
        <is>
          <t>Zhang Jiao, mestre do Caminho da Grande Paz, proclamou que “o Céu Azul já está morto” e levantou centenas de milhares de fiéis. Entre as tropas imperiais e voluntários que marcharam contra ele estavam Liu Bei, Cao Cao e Sun Jian — o primeiro campo de batalha dos que dividiriam o império em três.</t>
        </is>
      </c>
      <c r="R3" s="14" t="inlineStr">
        <is>
          <t>Contra os Turbantes Amarelos</t>
        </is>
      </c>
      <c r="S3" s="14" t="inlineStr">
        <is>
          <t>A rebelião lançada por Zhang Jiao, do Caminho da Grande Paz. Os três que um dia dividiriam o império lutaram no mesmo campo de batalha.</t>
        </is>
      </c>
      <c r="T3" s="14" t="inlineStr">
        <is>
          <t>Zhang Jiao, mestre do Caminho da Grande Paz, proclamou «o Céu Azul já está morto» e levantou centenas de milhares de fiéis. Entre as tropas imperiais e os voluntários que os combateram estavam Liu Bei, Cao Cao e Sun Jian — o primeiro campo de batalha dos que um dia dividiriam o império em três.</t>
        </is>
      </c>
      <c r="U3" s="14" t="inlineStr">
        <is>
          <t>La rivolta dei Turbanti Gialli</t>
        </is>
      </c>
      <c r="V3" s="14" t="inlineStr">
        <is>
          <t>La rivolta scatenata da Zhang Jue della Via della Grande Pace. I tre che un giorno si sarebbero spartiti l'impero combatterono sullo stesso campo.</t>
        </is>
      </c>
      <c r="W3" s="14" t="inlineStr">
        <is>
          <t>Zhang Jue, capo della Via della Grande Pace, sollevò centinaia di migliaia di seguaci proclamando che «il Cielo Azzurro è già morto». Tra le truppe imperiali e i volontari accorsi a reprimerli c'erano Liu Bei, Cao Cao e Sun Jian: fu il primo campo di battaglia di coloro che avrebbero diviso l'impero in tre.</t>
        </is>
      </c>
      <c r="X3" s="14" t="inlineStr">
        <is>
          <t>Contra los Turbantes Amarillos</t>
        </is>
      </c>
      <c r="Y3" s="14" t="inlineStr">
        <is>
          <t>La rebelión de Zhang Jue, del Camino de la Gran Paz. Tres hombres que algún día dividirían el reino pisaron el mismo campo de batalla.</t>
        </is>
      </c>
      <c r="Z3" s="14" t="inlineStr">
        <is>
          <t>Zhang Jue, maestro del Camino de la Gran Paz, proclamó que «el Cielo Azul ya ha muerto» y levantó a cientos de miles de seguidores. Entre las tropas imperiales y los voluntarios enviados contra él estaban Liu Bei, Cao Cao y Sun Jian: el primer campo de batalla de quienes partirían el reino en tres.</t>
        </is>
      </c>
      <c r="AA3" s="14" t="inlineStr">
        <is>
          <t>Шар алчууртныг дарах нь</t>
        </is>
      </c>
      <c r="AB3" s="14" t="inlineStr">
        <is>
          <t>Тайпиндаогийн Чжан Цзюэгийн босгосон самуун. Хожим тэнгэрийн дорыг хуваах гурван эр нэг тулааны талбарт зогсов.</t>
        </is>
      </c>
      <c r="AC3" s="14" t="inlineStr">
        <is>
          <t>Тайпиндаогийн тэргүүн Чжан Цзюэ «Хөх тэнгэр аль хэдийн үхсэн» хэмээн хэдэн зуун мянган шүтэгчээ босгов. Дарахаар мордсон төрийн цэрэг ба сайн дурынхны дунд Лю Бэй, Цао Цао, Сунь Цзянь байв — хожим тэнгэрийн дорыг гурав хуваах эрсийн анхны тулаан энэ юм.</t>
        </is>
      </c>
      <c r="AD3" s="14" t="inlineStr">
        <is>
          <t>讨黄巾贼</t>
        </is>
      </c>
    </row>
    <row r="4">
      <c r="A4" t="n">
        <v>3</v>
      </c>
      <c r="B4" t="inlineStr">
        <is>
          <t>온주참화웅</t>
        </is>
      </c>
      <c r="C4" s="14" t="inlineStr">
        <is>
          <t>Before the Wine Grew Cold</t>
        </is>
      </c>
      <c r="D4" s="14" t="inlineStr">
        <is>
          <t>He returned with Hua Xiong's head before the warmed wine had cooled.</t>
        </is>
      </c>
      <c r="E4" s="14" t="inlineStr">
        <is>
          <t>Before Sishui Pass, Dong Zhuo's champion Hua Xiong cut down one allied officer after another, until Guan Yu, then a mere mounted archer, stepped forward. The Romance tells that he returned with Hua Xiong's head before the warm wine Cao Cao had poured for him had cooled.</t>
        </is>
      </c>
      <c r="F4" s="14" t="inlineStr">
        <is>
          <t>酒が冷めぬうちに</t>
        </is>
      </c>
      <c r="G4" s="14" t="inlineStr">
        <is>
          <t>温めた酒が冷めぬうちに、華雄の首を斬って戻った。</t>
        </is>
      </c>
      <c r="H4" s="14" t="inlineStr">
        <is>
          <t>汜水関の前で董卓の猛将・華雄が連合軍の将を次々と斬ると、一介の馬弓手にすぎなかった関羽が名乗り出た。曹操が注いだ温かい酒が冷めぬうちに、関羽は華雄の首を提げて戻ったと演義は伝える。</t>
        </is>
      </c>
      <c r="I4" s="14" t="inlineStr">
        <is>
          <t>酒尚溫時</t>
        </is>
      </c>
      <c r="J4" s="14" t="inlineStr">
        <is>
          <t>溫好的酒還沒涼，華雄的首級已被提了回來。</t>
        </is>
      </c>
      <c r="K4" s="14" t="inlineStr">
        <is>
          <t>汜水關前，董卓的猛將華雄接連斬殺聯軍將領，此時身為馬弓手的關羽挺身而出。演義說，曹操斟給他的熱酒尚未變涼，關羽已提著華雄的首級歸來。</t>
        </is>
      </c>
      <c r="L4" s="14" t="inlineStr">
        <is>
          <t>酒尚温时</t>
        </is>
      </c>
      <c r="M4" s="14" t="inlineStr">
        <is>
          <t>热酒还未凉，华雄的首级已被提了回来。</t>
        </is>
      </c>
      <c r="N4" s="14" t="inlineStr">
        <is>
          <t>汜水关前，董卓猛将华雄接连斩杀联军诸将，区区马弓手关羽挺身而出。演义说，曹操斟下的热酒尚未凉，关羽已提着华雄的首级回来了。</t>
        </is>
      </c>
      <c r="O4" s="14" t="inlineStr">
        <is>
          <t>Antes que o Vinho Esfrie</t>
        </is>
      </c>
      <c r="P4" s="14" t="inlineStr">
        <is>
          <t>Voltou com a cabeça de Hua Xiong antes que o vinho quente esfriasse.</t>
        </is>
      </c>
      <c r="Q4" s="14" t="inlineStr">
        <is>
          <t>Diante do Passo de Sishui, Hua Xiong, o feroz general de Dong Zhuo, abatia um a um os campeões da coalizão, até que Guan Yu, então simples arqueiro montado, se apresentou. Conta o Romance que ele voltou com a cabeça de Hua Xiong antes que esfriasse o vinho quente que Cao Cao lhe servira.</t>
        </is>
      </c>
      <c r="R4" s="14" t="inlineStr">
        <is>
          <t>Antes que o Vinho Arrefeça</t>
        </is>
      </c>
      <c r="S4" s="14" t="inlineStr">
        <is>
          <t>Voltou com a cabeça de Hua Xiong antes que o vinho aquecido arrefecesse.</t>
        </is>
      </c>
      <c r="T4" s="14" t="inlineStr">
        <is>
          <t>Diante da Passagem de Sishui, o feroz Hua Xiong, de Dong Zhuo, abatia um a um os generais da coligação, até que Guan Yu, então simples arqueiro a cavalo, se ofereceu. Segundo o Romance, regressou com a cabeça de Hua Xiong antes que arrefecesse o vinho quente que Cao Cao lhe servira.</t>
        </is>
      </c>
      <c r="U4" s="14" t="inlineStr">
        <is>
          <t>Prima che il vino si raffreddi</t>
        </is>
      </c>
      <c r="V4" s="14" t="inlineStr">
        <is>
          <t>Tornò con la testa di Hua Xiong prima che il vino caldo si raffreddasse.</t>
        </is>
      </c>
      <c r="W4" s="14" t="inlineStr">
        <is>
          <t>Davanti al passo di Sishui, Hua Xiong, feroce generale di Dong Zhuo, abbatteva uno dopo l'altro i campioni della coalizione; allora si fece avanti Guan Yu, semplice arciere a cavallo. Il Romanzo narra che tornò con la testa di Hua Xiong prima ancora che il vino caldo versatogli da Cao Cao si raffreddasse.</t>
        </is>
      </c>
      <c r="X4" s="14" t="inlineStr">
        <is>
          <t>Antes de que se enfríe el vino</t>
        </is>
      </c>
      <c r="Y4" s="14" t="inlineStr">
        <is>
          <t>Volvió con la cabeza de Hua Xiong antes de que se enfriara el vino caliente.</t>
        </is>
      </c>
      <c r="Z4" s="14" t="inlineStr">
        <is>
          <t>Frente al paso de Sishui, Hua Xiong, el campeón de Dong Zhuo, abatía a un oficial aliado tras otro, hasta que dio un paso al frente Guan Yu, entonces un simple arquero montado. La novela cuenta que volvió con la cabeza de Hua Xiong antes de que se enfriara el vino que Cao Cao le había servido.</t>
        </is>
      </c>
      <c r="AA4" s="14" t="inlineStr">
        <is>
          <t>Дарс хөрөхөөс өмнө</t>
        </is>
      </c>
      <c r="AB4" s="14" t="inlineStr">
        <is>
          <t>Халаасан дарс хөрөхөөс өмнө Хуа Сюны толгойг авч ирэв.</t>
        </is>
      </c>
      <c r="AC4" s="14" t="inlineStr">
        <is>
          <t>Сышуй хаалганы өмнө Дун Чжогийн баатар Хуа Сюн холбоотны жанждыг ар араас нь цавчихад, ердийн морьт харваач байсан Гуань Юй гарч ирэв. Цао Цаогийн хийж өгсөн халуун дарс хөрөөгүй байхад Гуань Юй Хуа Сюны толгойг бариад буцаж ирсэн хэмээн туужид өгүүлдэг.</t>
        </is>
      </c>
      <c r="AD4" s="14" t="inlineStr">
        <is>
          <t>温酒斩华雄</t>
        </is>
      </c>
    </row>
    <row r="5">
      <c r="A5" t="n">
        <v>4</v>
      </c>
      <c r="B5" t="inlineStr">
        <is>
          <t>호뢰관 삼영전여포</t>
        </is>
      </c>
      <c r="C5" s="14" t="inlineStr">
        <is>
          <t>Three Heroes Fight Lü Bu</t>
        </is>
      </c>
      <c r="D5" s="14" t="inlineStr">
        <is>
          <t>Only when all three brothers charged together was Lü Bu driven back.</t>
        </is>
      </c>
      <c r="E5" s="14" t="inlineStr">
        <is>
          <t>When no one could stand against Lü Bu at Hulao Pass, Zhang Fei rode out to meet him, and Guan Yu and Liu Bei joined the fight one after the other. Only against all three at once did Lü Bu turn his horse — the greatest duel the Romance ever painted.</t>
        </is>
      </c>
      <c r="F5" s="14" t="inlineStr">
        <is>
          <t>三英、呂布と戦う</t>
        </is>
      </c>
      <c r="G5" s="14" t="inlineStr">
        <is>
          <t>三兄弟がそろってかかり、ようやく呂布を退けた。</t>
        </is>
      </c>
      <c r="H5" s="14" t="inlineStr">
        <is>
          <t>虎牢関に出た呂布に敵う者がなく、まず張飛が打ちかかり、関羽と劉備が次々と加わった。三人が一斉にかかってようやく呂布は馬首を返した――演義が描いた三国随一の一騎打ちである。</t>
        </is>
      </c>
      <c r="I5" s="14" t="inlineStr">
        <is>
          <t>三英戰呂布</t>
        </is>
      </c>
      <c r="J5" s="14" t="inlineStr">
        <is>
          <t>三兄弟一起上陣，才逼退了呂布。</t>
        </is>
      </c>
      <c r="K5" s="14" t="inlineStr">
        <is>
          <t>虎牢關前無人能擋呂布，張飛率先迎戰，關羽與劉備相繼加入。直到三人一齊圍攻，呂布才撥轉馬頭——這是演義描繪的三國第一單挑。</t>
        </is>
      </c>
      <c r="L5" s="14" t="inlineStr">
        <is>
          <t>三英战吕布</t>
        </is>
      </c>
      <c r="M5" s="14" t="inlineStr">
        <is>
          <t>三兄弟一齐上阵，才把吕布逼退。</t>
        </is>
      </c>
      <c r="N5" s="14" t="inlineStr">
        <is>
          <t>虎牢关前吕布无人能敌，张飞率先迎战，关羽、刘备相继杀入。三人合力夹攻，吕布才拨转马头——这是演义描绘的三国第一单挑。</t>
        </is>
      </c>
      <c r="O5" s="14" t="inlineStr">
        <is>
          <t>Três Heróis Contra Lü Bu</t>
        </is>
      </c>
      <c r="P5" s="14" t="inlineStr">
        <is>
          <t>Só os três irmãos juntos conseguiram fazer Lü Bu recuar.</t>
        </is>
      </c>
      <c r="Q5" s="14" t="inlineStr">
        <is>
          <t>Ninguém resistia a Lü Bu diante do Passo de Hulao, até que Zhang Fei o enfrentou, e Guan Yu e Liu Bei entraram na luta em seguida. Só com os três atacando ao mesmo tempo Lü Bu virou o cavalo — o maior duelo dos Três Reinos, como o Romance o pinta.</t>
        </is>
      </c>
      <c r="R5" s="14" t="inlineStr">
        <is>
          <t>Três Heróis Contra Lü Bu</t>
        </is>
      </c>
      <c r="S5" s="14" t="inlineStr">
        <is>
          <t>Só os três irmãos juntos conseguiram fazer Lü Bu recuar.</t>
        </is>
      </c>
      <c r="T5" s="14" t="inlineStr">
        <is>
          <t>Ninguém resistia a Lü Bu à frente da Passagem de Hulao, até que Zhang Fei o enfrentou, e Guan Yu e Liu Bei se lançaram a seguir. Só com os três ao mesmo tempo Lü Bu fez dar meia-volta ao cavalo — o maior duelo dos Três Reinos, tal como o Romance o pinta.</t>
        </is>
      </c>
      <c r="U5" s="14" t="inlineStr">
        <is>
          <t>Tre eroi contro Lü Bu</t>
        </is>
      </c>
      <c r="V5" s="14" t="inlineStr">
        <is>
          <t>Solo assalendolo tutti e tre insieme i fratelli riuscirono a respingere Lü Bu.</t>
        </is>
      </c>
      <c r="W5" s="14" t="inlineStr">
        <is>
          <t>Al passo di Hulao nessuno reggeva il confronto con Lü Bu; si fece avanti Zhang Fei, poi intervennero Guan Yu e infine Liu Bei. Solo quando i tre lo attaccarono insieme Lü Bu voltò il cavallo: è il duello più celebre che il Romanzo abbia narrato.</t>
        </is>
      </c>
      <c r="X5" s="14" t="inlineStr">
        <is>
          <t>Tres héroes contra Lü Bu</t>
        </is>
      </c>
      <c r="Y5" s="14" t="inlineStr">
        <is>
          <t>Solo cuando los tres hermanos atacaron juntos retrocedió Lü Bu.</t>
        </is>
      </c>
      <c r="Z5" s="14" t="inlineStr">
        <is>
          <t>Nadie podía resistir a Lü Bu en el paso de Hulao, hasta que Zhang Fei lo enfrentó, y luego Guan Yu y Liu Bei se lanzaron uno tras otro. Solo ante los tres a la vez dio Lü Bu media vuelta a su caballo: el duelo más grande que pintó la novela.</t>
        </is>
      </c>
      <c r="AA5" s="14" t="inlineStr">
        <is>
          <t>Гурван баатар ба Люй Бу</t>
        </is>
      </c>
      <c r="AB5" s="14" t="inlineStr">
        <is>
          <t>Гурван ах дүү хамтдаа дайрч байж л Люй Буг ухрааж чадав.</t>
        </is>
      </c>
      <c r="AC5" s="14" t="inlineStr">
        <is>
          <t>Хулао хаалганд гарсан Люй Бутай хэн ч тэнцэхгүй байхад Чжан Фэй түрүүлж тулж, Гуань Юй, Лю Бэй ээлжлэн орж ирэв. Гурвуулаа нэгэн зэрэг дайрч байж л Люй Бу морийнхоо толгойг эргүүлэв — туужийн дүрсэлсэн Гурван улсын хамгийн гайхамшигт ганцаарчилсан тулаан.</t>
        </is>
      </c>
      <c r="AD5" s="14" t="inlineStr">
        <is>
          <t>虎牢关三英战吕布</t>
        </is>
      </c>
    </row>
    <row r="6">
      <c r="A6" t="n">
        <v>5</v>
      </c>
      <c r="B6" t="inlineStr">
        <is>
          <t>반동탁 연합군</t>
        </is>
      </c>
      <c r="C6" s="14" t="inlineStr">
        <is>
          <t>Eighteen Lords Against Dong Zhuo</t>
        </is>
      </c>
      <c r="D6" s="14" t="inlineStr">
        <is>
          <t>Eighteen lords gathered to march on Luoyang, with Yuan Shao as their leader.</t>
        </is>
      </c>
      <c r="E6" s="14" t="inlineStr">
        <is>
          <t>When Dong Zhuo deposed the emperor, the lords east of the passes raised their armies and named Yuan Shao their leader. But each watched the others and none would advance, and the alliance broke apart quarrelling over glory.</t>
        </is>
      </c>
      <c r="F6" s="14" t="inlineStr">
        <is>
          <t>十八諸侯、董卓を討つ</t>
        </is>
      </c>
      <c r="G6" s="14" t="inlineStr">
        <is>
          <t>十八の諸侯が洛陽を目指して集い、盟主には袁紹が立った。</t>
        </is>
      </c>
      <c r="H6" s="14" t="inlineStr">
        <is>
          <t>董卓が皇帝を廃立すると、関東の諸侯が兵を挙げ、袁紹を盟主に推した。だが諸侯は互いに牽制して進まず、連合は功を争ううちに散り散りになった。</t>
        </is>
      </c>
      <c r="I6" s="14" t="inlineStr">
        <is>
          <t>十八路諸侯討董卓</t>
        </is>
      </c>
      <c r="J6" s="14" t="inlineStr">
        <is>
          <t>十八路諸侯向洛陽集結，盟主是袁紹。</t>
        </is>
      </c>
      <c r="K6" s="14" t="inlineStr">
        <is>
          <t>董卓廢立天子，關東諸侯起兵，推袁紹為盟主。然而諸侯彼此牽制、按兵不動，聯軍在爭功之中終於離散。</t>
        </is>
      </c>
      <c r="L6" s="14" t="inlineStr">
        <is>
          <t>十八路诸侯讨董卓</t>
        </is>
      </c>
      <c r="M6" s="14" t="inlineStr">
        <is>
          <t>十八路诸侯向洛阳会集，盟主是袁绍。</t>
        </is>
      </c>
      <c r="N6" s="14" t="inlineStr">
        <is>
          <t>董卓废立天子，关东诸侯起兵，推袁绍为盟主。然而诸侯彼此牵制、按兵不进，联盟在争功中四散。</t>
        </is>
      </c>
      <c r="O6" s="14" t="inlineStr">
        <is>
          <t>Dezoito Senhores Contra Dong Zhuo</t>
        </is>
      </c>
      <c r="P6" s="14" t="inlineStr">
        <is>
          <t>Dezoito senhores marcharam rumo a Luoyang, e o líder da aliança era Yuan Shao.</t>
        </is>
      </c>
      <c r="Q6" s="14" t="inlineStr">
        <is>
          <t>Quando Dong Zhuo trocou o imperador a seu bel-prazer, os senhores do leste ergueram exércitos e fizeram de Yuan Shao seu líder. Mas vigiavam uns aos outros e não avançavam, e a aliança se desfez disputando os méritos.</t>
        </is>
      </c>
      <c r="R6" s="14" t="inlineStr">
        <is>
          <t>Dezoito Senhores Contra Dong Zhuo</t>
        </is>
      </c>
      <c r="S6" s="14" t="inlineStr">
        <is>
          <t>Dezoito senhores marcharam sobre Luoyang, com Yuan Shao à cabeça da aliança.</t>
        </is>
      </c>
      <c r="T6" s="14" t="inlineStr">
        <is>
          <t>Quando Dong Zhuo depôs o imperador, os senhores a leste dos desfiladeiros ergueram exércitos e fizeram de Yuan Shao o líder da aliança. Mas vigiavam-se uns aos outros e não avançavam, e a coligação desfez-se a disputar glórias.</t>
        </is>
      </c>
      <c r="U6" s="14" t="inlineStr">
        <is>
          <t>Diciotto signori contro Dong Zhuo</t>
        </is>
      </c>
      <c r="V6" s="14" t="inlineStr">
        <is>
          <t>Diciotto signori marciarono su Luoyang, con Yuan Shao a capo dell'alleanza.</t>
        </is>
      </c>
      <c r="W6" s="14" t="inlineStr">
        <is>
          <t>Quando Dong Zhuo depose l'imperatore, i signori a est dei passi levarono le armi e scelsero Yuan Shao come capo della coalizione. Ma i signori si sorvegliavano l'un l'altro senza avanzare, e l'alleanza si sciolse tra le contese per la gloria.</t>
        </is>
      </c>
      <c r="X6" s="14" t="inlineStr">
        <is>
          <t>Dieciocho señores contra Dong Zhuo</t>
        </is>
      </c>
      <c r="Y6" s="14" t="inlineStr">
        <is>
          <t>Dieciocho señores marcharon hacia Luoyang, con Yuan Shao al frente de la alianza.</t>
        </is>
      </c>
      <c r="Z6" s="14" t="inlineStr">
        <is>
          <t>Cuando Dong Zhuo depuso al emperador, los señores del este alzaron sus ejércitos y nombraron a Yuan Shao jefe de la alianza. Pero se vigilaban unos a otros y no avanzaban; la coalición se disolvió disputándose los méritos.</t>
        </is>
      </c>
      <c r="AA6" s="14" t="inlineStr">
        <is>
          <t>Дун Чжогийн эсрэг 18 ван</t>
        </is>
      </c>
      <c r="AB6" s="14" t="inlineStr">
        <is>
          <t>Арван найман ноён Лоян руу чиглэн цугларч, Юань Шао тэргүүн болов.</t>
        </is>
      </c>
      <c r="AC6" s="14" t="inlineStr">
        <is>
          <t>Дун Чжо хааныг сольж тавихад Гуандуны ноёд цэрэг босгож, Юань Шаог холбооны тэргүүнээр өргөмжлөв. Гэвч ноёд бие биенээ хардан урагшилсангүй, холбоо гавьяа булаалдсаар тарж бутрав.</t>
        </is>
      </c>
      <c r="AD6" s="14" t="inlineStr">
        <is>
          <t>反董卓联合军</t>
        </is>
      </c>
    </row>
    <row r="7">
      <c r="A7" t="n">
        <v>6</v>
      </c>
      <c r="B7" t="inlineStr">
        <is>
          <t>장안 천도</t>
        </is>
      </c>
      <c r="C7" s="14" t="inlineStr">
        <is>
          <t>Luoyang in Flames</t>
        </is>
      </c>
      <c r="D7" s="14" t="inlineStr">
        <is>
          <t>Dong Zhuo burned Luoyang and dragged the emperor and the people off to Chang'an.</t>
        </is>
      </c>
      <c r="E7" s="14" t="inlineStr">
        <is>
          <t>Pressed by the allied armies, Dong Zhuo set fire to the palaces and homes of Luoyang and drove the emperor and millions of people to Chang'an. Countless fell along the road, and Luoyang was left in ruins.</t>
        </is>
      </c>
      <c r="F7" s="14" t="inlineStr">
        <is>
          <t>燃える洛陽</t>
        </is>
      </c>
      <c r="G7" s="14" t="inlineStr">
        <is>
          <t>董卓は洛陽を焼き払い、皇帝と民を長安へ連れ去った。</t>
        </is>
      </c>
      <c r="H7" s="14" t="inlineStr">
        <is>
          <t>連合軍に押された董卓は洛陽の宮殿と民家を焼き払い、皇帝と数百万の民を長安へ引き連れていった。道に倒れた民は数知れず、洛陽は廃墟となった。</t>
        </is>
      </c>
      <c r="I7" s="14" t="inlineStr">
        <is>
          <t>焚燒的洛陽</t>
        </is>
      </c>
      <c r="J7" s="14" t="inlineStr">
        <is>
          <t>董卓焚毀洛陽，挾天子與百姓西遷長安。</t>
        </is>
      </c>
      <c r="K7" s="14" t="inlineStr">
        <is>
          <t>被聯軍逼退的董卓燒盡洛陽的宮殿與民宅，驅趕天子和數百萬百姓前往長安。倒斃路旁的百姓不計其數，洛陽化為一片廢墟。</t>
        </is>
      </c>
      <c r="L7" s="14" t="inlineStr">
        <is>
          <t>燃烧的洛阳</t>
        </is>
      </c>
      <c r="M7" s="14" t="inlineStr">
        <is>
          <t>董卓焚毁洛阳，把天子与百姓驱往长安。</t>
        </is>
      </c>
      <c r="N7" s="14" t="inlineStr">
        <is>
          <t>被联军逼退的董卓焚烧洛阳宫室民宅，挟天子、驱百姓数百万西迁长安。倒毙道旁的百姓不可胜数，洛阳化为一片废墟。</t>
        </is>
      </c>
      <c r="O7" s="14" t="inlineStr">
        <is>
          <t>Luoyang em Chamas</t>
        </is>
      </c>
      <c r="P7" s="14" t="inlineStr">
        <is>
          <t>Dong Zhuo incendiou Luoyang e arrastou o imperador e o povo para Chang'an.</t>
        </is>
      </c>
      <c r="Q7" s="14" t="inlineStr">
        <is>
          <t>Pressionado pela coalizão, Dong Zhuo queimou os palácios e as casas de Luoyang e arrastou o imperador e milhões de pessoas para Chang'an. Incontáveis caíram pelo caminho, e Luoyang virou ruínas.</t>
        </is>
      </c>
      <c r="R7" s="14" t="inlineStr">
        <is>
          <t>Luoyang em Chamas</t>
        </is>
      </c>
      <c r="S7" s="14" t="inlineStr">
        <is>
          <t>Dong Zhuo incendiou Luoyang e arrastou o imperador e o povo para Chang'an.</t>
        </is>
      </c>
      <c r="T7" s="14" t="inlineStr">
        <is>
          <t>Pressionado pela coligação, Dong Zhuo pegou fogo aos palácios e às casas de Luoyang e arrastou o imperador e milhões de pessoas para Chang'an. Incontáveis caíram pelo caminho, e Luoyang ficou em ruínas.</t>
        </is>
      </c>
      <c r="U7" s="14" t="inlineStr">
        <is>
          <t>Luoyang in fiamme</t>
        </is>
      </c>
      <c r="V7" s="14" t="inlineStr">
        <is>
          <t>Dong Zhuo diede fuoco a Luoyang e trascinò l'imperatore e il popolo a Chang'an.</t>
        </is>
      </c>
      <c r="W7" s="14" t="inlineStr">
        <is>
          <t>Incalzato dalla coalizione, Dong Zhuo incendiò i palazzi e le case di Luoyang e trascinò l'imperatore e milioni di sudditi verso Chang'an. Innumerevoli caddero lungo la strada, e Luoyang divenne un cumulo di rovine.</t>
        </is>
      </c>
      <c r="X7" s="14" t="inlineStr">
        <is>
          <t>Luoyang en llamas</t>
        </is>
      </c>
      <c r="Y7" s="14" t="inlineStr">
        <is>
          <t>Dong Zhuo quemó Luoyang y arrastró al emperador y al pueblo hasta Chang'an.</t>
        </is>
      </c>
      <c r="Z7" s="14" t="inlineStr">
        <is>
          <t>Acosado por la alianza, Dong Zhuo incendió los palacios y las casas de Luoyang y arrastró al emperador y a millones de personas hacia Chang'an. Incontables cayeron por el camino, y Luoyang quedó en ruinas.</t>
        </is>
      </c>
      <c r="AA7" s="14" t="inlineStr">
        <is>
          <t>Шатаж буй Лоян</t>
        </is>
      </c>
      <c r="AB7" s="14" t="inlineStr">
        <is>
          <t>Дун Чжо Лояныг шатааж, хаан болон ард түмнийг Чанъань руу хөөн авав.</t>
        </is>
      </c>
      <c r="AC7" s="14" t="inlineStr">
        <is>
          <t>Холбоотны цэрэгт шахагдсан Дун Чжо Лояны ордон, айл өрхийг галдан шатааж, хаан ба хэдэн сая ардыг Чанъань руу хөөн туув. Замдаа унасан ард тоолшгүй олон байсан бөгөөд Лоян эзгүй балгас болжээ.</t>
        </is>
      </c>
      <c r="AD7" s="14" t="inlineStr">
        <is>
          <t>长安迁都</t>
        </is>
      </c>
    </row>
    <row r="8">
      <c r="A8" t="n">
        <v>7</v>
      </c>
      <c r="B8" t="inlineStr">
        <is>
          <t>칠성보도 헌상</t>
        </is>
      </c>
      <c r="C8" s="14" t="inlineStr">
        <is>
          <t>Cao Cao's Blade for Dong Zhuo</t>
        </is>
      </c>
      <c r="D8" s="14" t="inlineStr">
        <is>
          <t>The blade meant to stab Dong Zhuo became a gift the moment it was seen.</t>
        </is>
      </c>
      <c r="E8" s="14" t="inlineStr">
        <is>
          <t>With the Seven Star Sword borrowed from Wang Yun, Cao Cao drew steel in Dong Zhuo's bedchamber — but Dong Zhuo saw him in the mirror and turned. Cao Cao knelt, claiming he had come to present the sword, and fled Luoyang that very day.</t>
        </is>
      </c>
      <c r="F8" s="14" t="inlineStr">
        <is>
          <t>曹操、董卓を狙う</t>
        </is>
      </c>
      <c r="G8" s="14" t="inlineStr">
        <is>
          <t>董卓を刺すはずの刀は、見破られた瞬間に献上品となった。</t>
        </is>
      </c>
      <c r="H8" s="14" t="inlineStr">
        <is>
          <t>王允から七星宝刀を借りた曹操は董卓の寝所で刀を抜いたが、鏡に映った姿に董卓が振り返った。曹操は刀を献上しに来たと膝をつき、その足で洛陽を逃れた。</t>
        </is>
      </c>
      <c r="I8" s="14" t="inlineStr">
        <is>
          <t>曹操欲刺董卓</t>
        </is>
      </c>
      <c r="J8" s="14" t="inlineStr">
        <is>
          <t>本要刺向董卓的刀，在被識破的一瞬成了獻禮。</t>
        </is>
      </c>
      <c r="K8" s="14" t="inlineStr">
        <is>
          <t>曹操向王允借來七星寶刀，在董卓寢室中拔刀，卻被鏡中的身影驚動了董卓。曹操當即跪下，說是前來獻刀，隨後便逃出了洛陽。</t>
        </is>
      </c>
      <c r="L8" s="14" t="inlineStr">
        <is>
          <t>曹操刺董卓</t>
        </is>
      </c>
      <c r="M8" s="14" t="inlineStr">
        <is>
          <t>本要刺向董卓的刀，在败露的一刻成了献礼。</t>
        </is>
      </c>
      <c r="N8" s="14" t="inlineStr">
        <is>
          <t>曹操向王允借来七星宝刀，在董卓卧房中拔刀，镜中倒影却让董卓回过头来。曹操当即跪下称是来献刀，随即逃出洛阳。</t>
        </is>
      </c>
      <c r="O8" s="14" t="inlineStr">
        <is>
          <t>Cao Cao Mira Dong Zhuo</t>
        </is>
      </c>
      <c r="P8" s="14" t="inlineStr">
        <is>
          <t>A espada que devia matar Dong Zhuo virou presente no instante em que foi vista.</t>
        </is>
      </c>
      <c r="Q8" s="14" t="inlineStr">
        <is>
          <t>Com a Espada das Sete Estrelas emprestada de Wang Yun, Cao Cao a desembainhou no quarto de Dong Zhuo, mas este o viu refletido no espelho e se virou. Cao Cao ajoelhou-se dizendo que viera oferecer a espada, e fugiu de Luoyang naquele mesmo instante.</t>
        </is>
      </c>
      <c r="R8" s="14" t="inlineStr">
        <is>
          <t>Cao Cao Atenta Contra Dong Zhuo</t>
        </is>
      </c>
      <c r="S8" s="14" t="inlineStr">
        <is>
          <t>A espada destinada a Dong Zhuo tornou-se oferenda no instante em que foi descoberta.</t>
        </is>
      </c>
      <c r="T8" s="14" t="inlineStr">
        <is>
          <t>Com a Espada das Sete Estrelas emprestada por Wang Yun, Cao Cao desembainhou-a nos aposentos de Dong Zhuo, mas este viu o seu reflexo no espelho e voltou-se. Cao Cao ajoelhou-se, dizendo que viera oferecer a espada, e fugiu logo de Luoyang.</t>
        </is>
      </c>
      <c r="U8" s="14" t="inlineStr">
        <is>
          <t>Cao Cao punta su Dong Zhuo</t>
        </is>
      </c>
      <c r="V8" s="14" t="inlineStr">
        <is>
          <t>Il pugnale destinato a Dong Zhuo, nell'istante in cui fu scoperto, divenne un dono.</t>
        </is>
      </c>
      <c r="W8" s="14" t="inlineStr">
        <is>
          <t>Con la Spada delle Sette Stelle avuta da Wang Yun, Cao Cao la sguainò nella camera di Dong Zhuo, ma questi si voltò vedendone il riflesso nello specchio. Cao Cao si inginocchiò dicendo di essere venuto a offrirgli la spada, e quella stessa notte fuggì da Luoyang.</t>
        </is>
      </c>
      <c r="X8" s="14" t="inlineStr">
        <is>
          <t>Cao Cao apunta a Dong Zhuo</t>
        </is>
      </c>
      <c r="Y8" s="14" t="inlineStr">
        <is>
          <t>El sable destinado a Dong Zhuo se volvió un regalo en el instante en que lo descubrieron.</t>
        </is>
      </c>
      <c r="Z8" s="14" t="inlineStr">
        <is>
          <t>Con el sable de las Siete Estrellas que le prestó Wang Yun, Cao Cao desenvainó en la alcoba de Dong Zhuo, pero este vio su reflejo en un espejo y se volvió. Cao Cao se arrodilló diciendo que venía a ofrecerle el sable, y esa misma noche huyó de Luoyang.</t>
        </is>
      </c>
      <c r="AA8" s="14" t="inlineStr">
        <is>
          <t>Цао Цао Дун Чжог онилов</t>
        </is>
      </c>
      <c r="AB8" s="14" t="inlineStr">
        <is>
          <t>Дун Чжог хатгах гэсэн илд илрэх агшинд бэлэг болон хувирав.</t>
        </is>
      </c>
      <c r="AC8" s="14" t="inlineStr">
        <is>
          <t>Ван Юнээс Долоон одны эрдэнэт илдийг зээлсэн Цао Цао Дун Чжогийн унтлагын өрөөнд илдээ сугалсан ч, толинд тусах дүрийг хараад Дун Чжо эргэн харав. Цао Цао илдийг бэлэглэхээр ирлээ хэмээн өвдөг сөгдөөд, тэр дороо Лояныг орхин зугтав.</t>
        </is>
      </c>
      <c r="AD8" s="14" t="inlineStr">
        <is>
          <t>献七星宝刀</t>
        </is>
      </c>
    </row>
    <row r="9">
      <c r="A9" t="n">
        <v>8</v>
      </c>
      <c r="B9" t="inlineStr">
        <is>
          <t>진궁의 결별</t>
        </is>
      </c>
      <c r="C9" s="14" t="inlineStr">
        <is>
          <t>Chen Gong Leaves Cao Cao</t>
        </is>
      </c>
      <c r="D9" s="14" t="inlineStr">
        <is>
          <t>“Better that I betray the world” — that night, Chen Gong left Cao Cao.</t>
        </is>
      </c>
      <c r="E9" s="14" t="inlineStr">
        <is>
          <t>The magistrate Chen Gong freed Cao Cao as he fled Dong Zhuo and set out on the road with him. But when Cao Cao killed Lü Boshe's household over a misunderstanding and said, “Better that I betray the world,” Chen Gong left him that same night.</t>
        </is>
      </c>
      <c r="F9" s="14" t="inlineStr">
        <is>
          <t>陳宮、曹操と決別す</t>
        </is>
      </c>
      <c r="G9" s="14" t="inlineStr">
        <is>
          <t>「我、天下の人に背くとも」――陳宮はその夜、曹操のもとを去った。</t>
        </is>
      </c>
      <c r="H9" s="14" t="inlineStr">
        <is>
          <t>董卓から逃れる曹操を県令の陳宮が見逃し、ともに旅立った。だが誤解から呂伯奢の一家を殺してなお「我が天下の人に背くとも」と言い放つ曹操を見て、陳宮はその夜のうちに去った。</t>
        </is>
      </c>
      <c r="I9" s="14" t="inlineStr">
        <is>
          <t>陳宮離曹而去</t>
        </is>
      </c>
      <c r="J9" s="14" t="inlineStr">
        <is>
          <t>「寧教我負天下人」——陳宮當夜離開了曹操。</t>
        </is>
      </c>
      <c r="K9" s="14" t="inlineStr">
        <is>
          <t>縣令陳宮放走逃避董卓追捕的曹操，與他同行。但曹操因誤會殺了呂伯奢一家，還說「寧教我負天下人」，陳宮便在當夜離去。</t>
        </is>
      </c>
      <c r="L9" s="14" t="inlineStr">
        <is>
          <t>陈宫离去</t>
        </is>
      </c>
      <c r="M9" s="14" t="inlineStr">
        <is>
          <t>「宁我负天下人」——陈宫在那一夜离开了曹操。</t>
        </is>
      </c>
      <c r="N9" s="14" t="inlineStr">
        <is>
          <t>县令陈宫放走逃避董卓的曹操，与他一同上路。可曹操误杀吕伯奢一家后仍说「宁我负天下人」，陈宫当夜便弃他而去。</t>
        </is>
      </c>
      <c r="O9" s="14" t="inlineStr">
        <is>
          <t>Chen Gong Deixa Cao Cao</t>
        </is>
      </c>
      <c r="P9" s="14" t="inlineStr">
        <is>
          <t>“Prefiro trair o mundo” — naquela noite, Chen Gong deixou Cao Cao.</t>
        </is>
      </c>
      <c r="Q9" s="14" t="inlineStr">
        <is>
          <t>Chen Gong, magistrado do condado, libertou Cao Cao, que fugia de Dong Zhuo, e partiu com ele. Mas ao ver Cao Cao matar por engano a família de Lü Boshe e ainda dizer “prefiro trair o mundo”, Chen Gong o abandonou naquela mesma noite.</t>
        </is>
      </c>
      <c r="R9" s="14" t="inlineStr">
        <is>
          <t>Chen Gong Abandona Cao Cao</t>
        </is>
      </c>
      <c r="S9" s="14" t="inlineStr">
        <is>
          <t>«Prefiro trair o mundo» — nessa noite, Chen Gong deixou Cao Cao.</t>
        </is>
      </c>
      <c r="T9" s="14" t="inlineStr">
        <is>
          <t>O magistrado Chen Gong libertou Cao Cao, que fugia de Dong Zhuo, e partiu com ele. Mas ao ver Cao Cao matar por engano a família de Lü Boshe e ainda dizer «prefiro trair o mundo», Chen Gong foi-se embora nessa mesma noite.</t>
        </is>
      </c>
      <c r="U9" s="14" t="inlineStr">
        <is>
          <t>Chen Gong lascia Cao Cao</t>
        </is>
      </c>
      <c r="V9" s="14" t="inlineStr">
        <is>
          <t>«Meglio che sia io a tradire il mondo»: quella notte Chen Gong abbandonò Cao Cao.</t>
        </is>
      </c>
      <c r="W9" s="14" t="inlineStr">
        <is>
          <t>Il magistrato Chen Gong liberò Cao Cao in fuga da Dong Zhuo e partì con lui. Ma quando Cao Cao, dopo aver sterminato per errore la famiglia di Lü Boshe, disse «meglio che sia io a tradire il mondo», Chen Gong se ne andò quella notte stessa.</t>
        </is>
      </c>
      <c r="X9" s="14" t="inlineStr">
        <is>
          <t>Chen Gong deja a Cao Cao</t>
        </is>
      </c>
      <c r="Y9" s="14" t="inlineStr">
        <is>
          <t>«Prefiero traicionar yo al mundo» — esa misma noche, Chen Gong abandonó a Cao Cao.</t>
        </is>
      </c>
      <c r="Z9" s="14" t="inlineStr">
        <is>
          <t>Cuando Cao Cao huía de Dong Zhuo, el magistrado Chen Gong lo liberó y partió con él. Pero al ver que, tras matar por error a la familia de Lü Boshe, Cao Cao decía «prefiero traicionar yo al mundo», Chen Gong se marchó esa misma noche.</t>
        </is>
      </c>
      <c r="AA9" s="14" t="inlineStr">
        <is>
          <t>Чэнь Гун Цао Цаогоос салав</t>
        </is>
      </c>
      <c r="AB9" s="14" t="inlineStr">
        <is>
          <t>«Тэнгэрийн дорыг би орхих нь дээр» — Чэнь Гун тэр шөнө Цао Цаогоос салан одов.</t>
        </is>
      </c>
      <c r="AC9" s="14" t="inlineStr">
        <is>
          <t>Дун Чжогоос зугтаж явсан Цао Цаог шянь захирагч Чэнь Гун суллаад хамт замд гарав. Гэвч Люй Бошэгийн гэр бүлийг буруу ойлголтоор хөнөөчхөөд «Тэнгэрийн дорыг би орхих нь дээр» гэж хэлсэн Цао Цаог хараад Чэнь Гун тэр шөнөдөө явжээ.</t>
        </is>
      </c>
      <c r="AD9" s="14" t="inlineStr">
        <is>
          <t>陈宫决别</t>
        </is>
      </c>
    </row>
    <row r="10">
      <c r="A10" t="n">
        <v>9</v>
      </c>
      <c r="B10" t="inlineStr">
        <is>
          <t>형양의 추격</t>
        </is>
      </c>
      <c r="C10" s="14" t="inlineStr">
        <is>
          <t>Cao Hong Gives His Horse</t>
        </is>
      </c>
      <c r="D10" s="14" t="inlineStr">
        <is>
          <t>“The realm can do without Cao Hong, but not without you.” — Cao Hong gave up his own horse.</t>
        </is>
      </c>
      <c r="E10" s="14" t="inlineStr">
        <is>
          <t>Alone among the allies, Cao Cao pursued Dong Zhuo and was badly beaten by Xu Rong at Xingyang. When he fell without a horse, Cao Hong gave him his own, saying, “The realm can do without Cao Hong, but not without you.”</t>
        </is>
      </c>
      <c r="F10" s="14" t="inlineStr">
        <is>
          <t>曹洪、馬を譲る</t>
        </is>
      </c>
      <c r="G10" s="14" t="inlineStr">
        <is>
          <t>「天下に曹洪なかるべきも、君なかるべからず」――曹洪は自らの馬を差し出した。</t>
        </is>
      </c>
      <c r="H10" s="14" t="inlineStr">
        <is>
          <t>連合軍でただ一人董卓を追った曹操は、滎陽で徐栄に大敗した。馬を失って倒れた曹操に、曹洪は自らの馬を差し出し「天下に曹洪なかるべきも、君なかるべからず」と言った。</t>
        </is>
      </c>
      <c r="I10" s="14" t="inlineStr">
        <is>
          <t>曹洪讓馬</t>
        </is>
      </c>
      <c r="J10" s="14" t="inlineStr">
        <is>
          <t>「天下可無曹洪，不可無公。」——曹洪讓出了自己的馬。</t>
        </is>
      </c>
      <c r="K10" s="14" t="inlineStr">
        <is>
          <t>聯軍之中唯有曹操獨自追擊董卓，卻在滎陽大敗於徐榮。曹操失馬倒地，曹洪把自己的馬讓給他，說：「天下可無曹洪，不可無公。」</t>
        </is>
      </c>
      <c r="L10" s="14" t="inlineStr">
        <is>
          <t>曹洪让马</t>
        </is>
      </c>
      <c r="M10" s="14" t="inlineStr">
        <is>
          <t>「天下可无洪，不可无公。」——曹洪让出了自己的马。</t>
        </is>
      </c>
      <c r="N10" s="14" t="inlineStr">
        <is>
          <t>联军中唯有曹操独自追击董卓，却在荥阳大败于徐荣。失马倒地的曹操面前，曹洪让出坐骑，说道：「天下可无洪，不可无公。」</t>
        </is>
      </c>
      <c r="O10" s="14" t="inlineStr">
        <is>
          <t>Cao Hong Cede seu Cavalo</t>
        </is>
      </c>
      <c r="P10" s="14" t="inlineStr">
        <is>
          <t>“O mundo pode viver sem Cao Hong, mas não sem o senhor.” — e Cao Hong lhe deu o próprio cavalo.</t>
        </is>
      </c>
      <c r="Q10" s="14" t="inlineStr">
        <is>
          <t>O único da coalizão a perseguir Dong Zhuo, Cao Cao sofreu dura derrota para Xu Rong em Xingyang. Caído e sem montaria, ouviu Cao Hong dizer, oferecendo-lhe o próprio cavalo: “O mundo pode viver sem Cao Hong, mas não sem o senhor.”</t>
        </is>
      </c>
      <c r="R10" s="14" t="inlineStr">
        <is>
          <t>Cao Hong Cede o Cavalo</t>
        </is>
      </c>
      <c r="S10" s="14" t="inlineStr">
        <is>
          <t>«O mundo passa sem Cao Hong, mas não sem vós.» — Cao Hong deu-lhe o seu cavalo.</t>
        </is>
      </c>
      <c r="T10" s="14" t="inlineStr">
        <is>
          <t>Único da coligação a perseguir Dong Zhuo, Cao Cao foi duramente derrotado por Xu Rong em Xingyang. Caído e sem montada, recebeu de Cao Hong o seu próprio cavalo: «O mundo passa sem Cao Hong, mas não sem vós.»</t>
        </is>
      </c>
      <c r="U10" s="14" t="inlineStr">
        <is>
          <t>Cao Hong cede il suo cavallo</t>
        </is>
      </c>
      <c r="V10" s="14" t="inlineStr">
        <is>
          <t>«Il mondo può fare a meno di Cao Hong, ma non di voi.» E Cao Hong gli cedette il suo cavallo.</t>
        </is>
      </c>
      <c r="W10" s="14" t="inlineStr">
        <is>
          <t>Unico della coalizione a inseguire Dong Zhuo, Cao Cao fu duramente sconfitto da Xu Rong a Xingyang. A Cao Cao, caduto e senza cavallo, Cao Hong diede il proprio dicendo: «Il mondo può fare a meno di Cao Hong, ma non di voi».</t>
        </is>
      </c>
      <c r="X10" s="14" t="inlineStr">
        <is>
          <t>Cao Hong cede su caballo</t>
        </is>
      </c>
      <c r="Y10" s="14" t="inlineStr">
        <is>
          <t>«El mundo puede pasar sin Cao Hong, pero no sin usted, señor» — y Cao Hong le dio su caballo.</t>
        </is>
      </c>
      <c r="Z10" s="14" t="inlineStr">
        <is>
          <t>Solo entre los aliados, Cao Cao persiguió a Dong Zhuo y fue derrotado por Xu Rong en Xingyang. Al verlo caído y sin montura, Cao Hong le cedió su caballo: «El mundo puede pasar sin Cao Hong, pero no sin usted, señor».</t>
        </is>
      </c>
      <c r="AA10" s="14" t="inlineStr">
        <is>
          <t>Цао Хун морио өгөв</t>
        </is>
      </c>
      <c r="AB10" s="14" t="inlineStr">
        <is>
          <t>«Тэнгэрийн дор Цао Хунгүй байж болно, харин таныг үгүйлж болохгүй» — Цао Хун морио өгөв.</t>
        </is>
      </c>
      <c r="AC10" s="14" t="inlineStr">
        <is>
          <t>Холбоотнуудаас ганцаараа Дун Чжог мөрдсөн Цао Цао Синъянд Сюй Жунд бут ниргүүлэв. Мориноосоо салж унасан Цао Цаод Цао Хун өөрийн морио өгөхдөө «Тэнгэрийн дор Цао Хунгүй байж болно, харин таныг үгүйлж болохгүй» гэжээ.</t>
        </is>
      </c>
      <c r="AD10" s="14" t="inlineStr">
        <is>
          <t>荥阳追击</t>
        </is>
      </c>
    </row>
    <row r="11">
      <c r="A11" t="n">
        <v>10</v>
      </c>
      <c r="B11" t="inlineStr">
        <is>
          <t>손견과 전국옥새</t>
        </is>
      </c>
      <c r="C11" s="14" t="inlineStr">
        <is>
          <t>The Seal in the Well</t>
        </is>
      </c>
      <c r="D11" s="14" t="inlineStr">
        <is>
          <t>The imperial seal, drawn up from a well in burnt Luoyang.</t>
        </is>
      </c>
      <c r="E11" s="14" t="inlineStr">
        <is>
          <t>First into the burned city of Luoyang, Sun Jian drew the imperial seal out of a palace well. Hiding it as he set off home to Jiangdong, he made enemies of Yuan Shao and Liu Biao.</t>
        </is>
      </c>
      <c r="F11" s="14" t="inlineStr">
        <is>
          <t>井戸の中の玉璽</t>
        </is>
      </c>
      <c r="G11" s="14" t="inlineStr">
        <is>
          <t>焼け落ちた洛陽の井戸から引き上げられた、皇帝の玉璽。</t>
        </is>
      </c>
      <c r="H11" s="14" t="inlineStr">
        <is>
          <t>焼けた洛陽に一番乗りした孫堅は、宮中の井戸から皇帝の玉璽を拾い上げた。玉璽を隠したまま江東へ帰ろうとした孫堅は、袁紹・劉表と仇敵になった。</t>
        </is>
      </c>
      <c r="I11" s="14" t="inlineStr">
        <is>
          <t>井中玉璽</t>
        </is>
      </c>
      <c r="J11" s="14" t="inlineStr">
        <is>
          <t>從焚毀的洛陽井中撈起的傳國玉璽。</t>
        </is>
      </c>
      <c r="K11" s="14" t="inlineStr">
        <is>
          <t>孫堅率先進入焚毀的洛陽，在宮中井裡撈出了傳國玉璽。他藏起玉璽打算回江東，從此與袁紹、劉表結下了仇怨。</t>
        </is>
      </c>
      <c r="L11" s="14" t="inlineStr">
        <is>
          <t>井中玉玺</t>
        </is>
      </c>
      <c r="M11" s="14" t="inlineStr">
        <is>
          <t>从焚毁的洛阳井中捞起的传国玉玺。</t>
        </is>
      </c>
      <c r="N11" s="14" t="inlineStr">
        <is>
          <t>孙坚率先进入焚毁的洛阳，在宫中井里捞起了天子玉玺。他私藏玉玺欲回江东，从此与袁绍、刘表结下仇怨。</t>
        </is>
      </c>
      <c r="O11" s="14" t="inlineStr">
        <is>
          <t>O Selo no Fundo do Poço</t>
        </is>
      </c>
      <c r="P11" s="14" t="inlineStr">
        <is>
          <t>O selo imperial, retirado de um poço na Luoyang incendiada.</t>
        </is>
      </c>
      <c r="Q11" s="14" t="inlineStr">
        <is>
          <t>Primeiro a entrar na Luoyang em cinzas, Sun Jian tirou o selo imperial de um poço do palácio. Escondendo-o para voltar a Jiangdong, ele se tornou inimigo de Yuan Shao e Liu Biao.</t>
        </is>
      </c>
      <c r="R11" s="14" t="inlineStr">
        <is>
          <t>O Selo no Fundo do Poço</t>
        </is>
      </c>
      <c r="S11" s="14" t="inlineStr">
        <is>
          <t>O selo imperial, retirado de um poço da Luoyang incendiada.</t>
        </is>
      </c>
      <c r="T11" s="14" t="inlineStr">
        <is>
          <t>Primeiro a entrar na Luoyang queimada, Sun Jian tirou o selo imperial de um poço do palácio. Escondeu-o e quis regressar a Jiangdong, o que fez de Yuan Shao e de Liu Biao seus inimigos.</t>
        </is>
      </c>
      <c r="U11" s="14" t="inlineStr">
        <is>
          <t>Il sigillo nel pozzo</t>
        </is>
      </c>
      <c r="V11" s="14" t="inlineStr">
        <is>
          <t>Il sigillo imperiale ripescato da un pozzo di Luoyang in fiamme.</t>
        </is>
      </c>
      <c r="W11" s="14" t="inlineStr">
        <is>
          <t>Primo a entrare nella Luoyang bruciata, Sun Jian ripescò il sigillo imperiale da un pozzo del palazzo. Mentre cercava di tornare a Jiangdong tenendolo nascosto, si inimicò Yuan Shao e Liu Biao.</t>
        </is>
      </c>
      <c r="X11" s="14" t="inlineStr">
        <is>
          <t>El sello en el fondo del pozo</t>
        </is>
      </c>
      <c r="Y11" s="14" t="inlineStr">
        <is>
          <t>El sello imperial, rescatado de un pozo en la Luoyang incendiada.</t>
        </is>
      </c>
      <c r="Z11" s="14" t="inlineStr">
        <is>
          <t>El primero en entrar en la Luoyang incendiada fue Sun Jian, que sacó el sello imperial de un pozo del palacio. Por ocultarlo y querer volver con él a Jiangdong, se ganó la enemistad de Yuan Shao y Liu Biao.</t>
        </is>
      </c>
      <c r="AA11" s="14" t="inlineStr">
        <is>
          <t>Худгийн ёроол дахь тамга</t>
        </is>
      </c>
      <c r="AB11" s="14" t="inlineStr">
        <is>
          <t>Шатсан Лояны худгаас гаргаж авсан хааны хаш тамга.</t>
        </is>
      </c>
      <c r="AC11" s="14" t="inlineStr">
        <is>
          <t>Шатсан Лоянд түрүүлж орсон Сунь Цзянь ордны худгаас хааны хаш тамгыг олж гаргав. Тамгыг нууж Цзяндун руу буцахаар зэхсэн Сунь Цзянь Юань Шао, Лю Бяо хоёртой өстөн болжээ.</t>
        </is>
      </c>
      <c r="AD11" s="14" t="inlineStr">
        <is>
          <t>孙坚得玉玺</t>
        </is>
      </c>
    </row>
    <row r="12">
      <c r="A12" t="n">
        <v>11</v>
      </c>
      <c r="B12" t="inlineStr">
        <is>
          <t>현산의 손견</t>
        </is>
      </c>
      <c r="C12" s="14" t="inlineStr">
        <is>
          <t>The Tiger of Jiangdong Falls</t>
        </is>
      </c>
      <c r="D12" s="14" t="inlineStr">
        <is>
          <t>The Tiger of Jiangdong fell at Mount Xian, caught in Kuai Yue's ambush.</t>
        </is>
      </c>
      <c r="E12" s="14" t="inlineStr">
        <is>
          <t>Sent by Yuan Shu against Jing Province, Sun Jian drove hard against Liu Biao's general Huang Zu. But by Kuai Yue's plan, hidden troops on Mount Xian struck him with stones and arrows, and the Tiger of Jiangdong fell at thirty-seven.</t>
        </is>
      </c>
      <c r="F12" s="14" t="inlineStr">
        <is>
          <t>江東の虎、斃れる</t>
        </is>
      </c>
      <c r="G12" s="14" t="inlineStr">
        <is>
          <t>江東の虎は蒯越の伏兵にかかり、峴山に斃れた。</t>
        </is>
      </c>
      <c r="H12" s="14" t="inlineStr">
        <is>
          <t>袁術の命で荊州を攻めた孫堅は、劉表の将・黄祖を追い詰めた。だが蒯越の計で峴山に潜んだ伏兵から石と矢を浴び、江東の虎は三十七歳で斃れた。</t>
        </is>
      </c>
      <c r="I12" s="14" t="inlineStr">
        <is>
          <t>江東之虎殞落</t>
        </is>
      </c>
      <c r="J12" s="14" t="inlineStr">
        <is>
          <t>江東之虎中了蒯越的埋伏，倒在峴山。</t>
        </is>
      </c>
      <c r="K12" s="14" t="inlineStr">
        <is>
          <t>孫堅奉袁術之命攻打荊州，將劉表部將黃祖逼入絕境。然而蒯越設計，伏兵藏於峴山，以亂石箭矢擊中孫堅，江東之虎三十七歲便殞落了。</t>
        </is>
      </c>
      <c r="L12" s="14" t="inlineStr">
        <is>
          <t>江东猛虎陨落</t>
        </is>
      </c>
      <c r="M12" s="14" t="inlineStr">
        <is>
          <t>江东猛虎中了蒯越的埋伏，倒在岘山。</t>
        </is>
      </c>
      <c r="N12" s="14" t="inlineStr">
        <is>
          <t>孙坚奉袁术之命攻荆州，将刘表部将黄祖逼入绝境。但蒯越设计在岘山埋下伏兵，乱石与箭雨之下，江东猛虎陨落，年仅三十七。</t>
        </is>
      </c>
      <c r="O12" s="14" t="inlineStr">
        <is>
          <t>Cai o Tigre de Jiangdong</t>
        </is>
      </c>
      <c r="P12" s="14" t="inlineStr">
        <is>
          <t>O Tigre de Jiangdong caiu no monte Xian, na emboscada de Kuai Yue.</t>
        </is>
      </c>
      <c r="Q12" s="14" t="inlineStr">
        <is>
          <t>Por ordem de Yuan Shu, Sun Jian atacou Jing e encurralou Huang Zu, general de Liu Biao. Mas, pelo plano de Kuai Yue, tropas escondidas no monte Xian o cobriram de pedras e flechas, e o Tigre de Jiangdong caiu aos trinta e sete anos.</t>
        </is>
      </c>
      <c r="R12" s="14" t="inlineStr">
        <is>
          <t>Cai o Tigre de Jiangdong</t>
        </is>
      </c>
      <c r="S12" s="14" t="inlineStr">
        <is>
          <t>O Tigre de Jiangdong caiu no monte Xian, na emboscada de Kuai Yue.</t>
        </is>
      </c>
      <c r="T12" s="14" t="inlineStr">
        <is>
          <t>Por ordem de Yuan Shu, Sun Jian atacou Jingzhou e encurralou Huang Zu, general de Liu Biao. Mas, por um ardil de Kuai Yue, uma emboscada no monte Xian cobriu-o de pedras e flechas, e o Tigre de Jiangdong tombou aos trinta e sete anos.</t>
        </is>
      </c>
      <c r="U12" s="14" t="inlineStr">
        <is>
          <t>Cade la Tigre di Jiangdong</t>
        </is>
      </c>
      <c r="V12" s="14" t="inlineStr">
        <is>
          <t>La Tigre di Jiangdong cadde sul monte Xian nell'imboscata di Kuai Yue.</t>
        </is>
      </c>
      <c r="W12" s="14" t="inlineStr">
        <is>
          <t>Per ordine di Yuan Shu, Sun Jian attaccò Jingzhou e incalzò Huang Zu, generale di Liu Biao. Ma, secondo il piano di Kuai Yue, i soldati nascosti sul monte Xian lo colpirono con pietre e frecce, e la Tigre di Jiangdong cadde a trentasette anni.</t>
        </is>
      </c>
      <c r="X12" s="14" t="inlineStr">
        <is>
          <t>Cae el Tigre de Jiangdong</t>
        </is>
      </c>
      <c r="Y12" s="14" t="inlineStr">
        <is>
          <t>El Tigre de Jiangdong cayó en el monte Xian, en la emboscada de Kuai Yue.</t>
        </is>
      </c>
      <c r="Z12" s="14" t="inlineStr">
        <is>
          <t>Por orden de Yuan Shu, Sun Jian atacó Jing y acorraló a Huang Zu, general de Liu Biao. Pero, por el plan de Kuai Yue, una emboscada oculta en el monte Xian lo cubrió de piedras y flechas, y el Tigre de Jiangdong cayó a los treinta y siete años.</t>
        </is>
      </c>
      <c r="AA12" s="14" t="inlineStr">
        <is>
          <t>Цзяндуны бар унав</t>
        </is>
      </c>
      <c r="AB12" s="14" t="inlineStr">
        <is>
          <t>Цзяндуны бар Куай Юэгийн отолтод өртөж Сяньшаньд унав.</t>
        </is>
      </c>
      <c r="AC12" s="14" t="inlineStr">
        <is>
          <t>Юань Шугийн тушаалаар Цзинчжоуг довтолсон Сунь Цзянь Лю Бяогийн жанжин Хуан Цзуг шахаж байв. Гэвч Куай Юэгийн заль ёсоор Сяньшаньд нуугдсан отолтынхны чулуу, суманд өртөж, Цзяндуны бар гучин долоон насандаа унажээ.</t>
        </is>
      </c>
      <c r="AD12" s="14" t="inlineStr">
        <is>
          <t>岘山伏兵</t>
        </is>
      </c>
    </row>
    <row r="13">
      <c r="A13" t="n">
        <v>12</v>
      </c>
      <c r="B13" t="inlineStr">
        <is>
          <t>백마의종</t>
        </is>
      </c>
      <c r="C13" s="14" t="inlineStr">
        <is>
          <t>The White Horse Riders</t>
        </is>
      </c>
      <c r="D13" s="14" t="inlineStr">
        <is>
          <t>Gongsun Zan's cavalry rode only white horses, and even the frontier tribes feared them.</t>
        </is>
      </c>
      <c r="E13" s="14" t="inlineStr">
        <is>
          <t>Gongsun Zan chose thousands of expert mounted archers on white horses and called them the “White Horse Volunteers.” It is said the Wuhuan of the north fled at the mere sight of white horses, so the name alone guarded the frontier.</t>
        </is>
      </c>
      <c r="F13" s="14" t="inlineStr">
        <is>
          <t>白馬の騎兵隊</t>
        </is>
      </c>
      <c r="G13" s="14" t="inlineStr">
        <is>
          <t>白馬ばかりを選んで乗る公孫瓚の騎兵隊は、異民族にも恐れられた。</t>
        </is>
      </c>
      <c r="H13" s="14" t="inlineStr">
        <is>
          <t>公孫瓚は白馬に乗る弓の名手数千を選び、「白馬義従」と呼んだ。北方の烏桓は白馬を見ただけで逃げ出したといい、その名だけで辺境を守った。</t>
        </is>
      </c>
      <c r="I13" s="14" t="inlineStr">
        <is>
          <t>白馬騎兵</t>
        </is>
      </c>
      <c r="J13" s="14" t="inlineStr">
        <is>
          <t>公孫瓚專騎白馬的騎兵，連異族都為之畏懼。</t>
        </is>
      </c>
      <c r="K13" s="14" t="inlineStr">
        <is>
          <t>公孫瓚挑選數千名善射、騎白馬的騎兵，號為「白馬義從」。據說北方的烏桓一見白馬便逃，單憑這個名號就守住了邊境。</t>
        </is>
      </c>
      <c r="L13" s="14" t="inlineStr">
        <is>
          <t>白马骑兵</t>
        </is>
      </c>
      <c r="M13" s="14" t="inlineStr">
        <is>
          <t>专骑白马的公孙瓒骑兵，连异族也闻风丧胆。</t>
        </is>
      </c>
      <c r="N13" s="14" t="inlineStr">
        <is>
          <t>公孙瓒挑选骑白马、善骑射者数千人，号为「白马义从」。北方乌桓一见白马便逃，单凭这个名号就能守住边境。</t>
        </is>
      </c>
      <c r="O13" s="14" t="inlineStr">
        <is>
          <t>A Cavalaria dos Cavalos Brancos</t>
        </is>
      </c>
      <c r="P13" s="14" t="inlineStr">
        <is>
          <t>A cavalaria de Gongsun Zan, montada só em cavalos brancos, era temida até pelos povos do norte.</t>
        </is>
      </c>
      <c r="Q13" s="14" t="inlineStr">
        <is>
          <t>Gongsun Zan escolheu milhares de arqueiros montados em cavalos brancos e os chamou de “Cavaleiros Leais do Cavalo Branco”. Dizem que os Wuhuan do norte fugiam só de ver um cavalo branco — o nome bastava para guardar a fronteira.</t>
        </is>
      </c>
      <c r="R13" s="14" t="inlineStr">
        <is>
          <t>Os Cavaleiros dos Cavalos Brancos</t>
        </is>
      </c>
      <c r="S13" s="14" t="inlineStr">
        <is>
          <t>A cavalaria de Gongsun Zan, toda montada em cavalos brancos, era temida pelos povos da fronteira.</t>
        </is>
      </c>
      <c r="T13" s="14" t="inlineStr">
        <is>
          <t>Gongsun Zan escolheu milhares de arqueiros a cavalo montados em cavalos brancos e chamou-lhes os Leais dos Cavalos Brancos. Diz-se que os Wuhuan do norte fugiam só de ver um cavalo branco, e esse nome bastava para guardar a fronteira.</t>
        </is>
      </c>
      <c r="U13" s="14" t="inlineStr">
        <is>
          <t>La cavalleria dai cavalli bianchi</t>
        </is>
      </c>
      <c r="V13" s="14" t="inlineStr">
        <is>
          <t>Persino i barbari temevano la cavalleria di Gongsun Zan, che montava solo cavalli bianchi.</t>
        </is>
      </c>
      <c r="W13" s="14" t="inlineStr">
        <is>
          <t>Gongsun Zan scelse migliaia di abili arcieri a cavallo su destrieri bianchi e li chiamò «I Fedeli dai Cavalli Bianchi». Si dice che i Wuhuan del nord fuggissero alla sola vista di un cavallo bianco: quel nome bastava a difendere la frontiera.</t>
        </is>
      </c>
      <c r="X13" s="14" t="inlineStr">
        <is>
          <t>Los jinetes del caballo blanco</t>
        </is>
      </c>
      <c r="Y13" s="14" t="inlineStr">
        <is>
          <t>Hasta los pueblos bárbaros temían a los jinetes de Gongsun Zan, montados solo en caballos blancos.</t>
        </is>
      </c>
      <c r="Z13" s="14" t="inlineStr">
        <is>
          <t>Gongsun Zan escogió a miles de arqueros a caballo sobre monturas blancas y los llamó los «Jinetes Leales del Caballo Blanco». Se dice que los wuhuan del norte huían con solo ver un caballo blanco: aquel nombre bastaba para guardar la frontera.</t>
        </is>
      </c>
      <c r="AA13" s="14" t="inlineStr">
        <is>
          <t>Цагаан морьт хүлэг цэрэг</t>
        </is>
      </c>
      <c r="AB13" s="14" t="inlineStr">
        <is>
          <t>Зөвхөн цагаан морь унасан Гунсунь Цзаны хүлэг цэргээс харь үндэстэн хүртэл эмээдэг байв.</t>
        </is>
      </c>
      <c r="AC13" s="14" t="inlineStr">
        <is>
          <t>Гунсунь Цзань цагаан морь унасан мэргэн харваач хэдэн мянган хүлэг цэрэг шилж, «Цагаан морьт үнэнч дагалдагсад» хэмээн нэрлэв. Хойд зүгийн Ухуань цагаан морь харангуутаа зугтдаг байсан гэдэг тул тэр нэрээр л хил хязгаарыг сахиж байжээ.</t>
        </is>
      </c>
      <c r="AD13" s="14" t="inlineStr">
        <is>
          <t>白马义从</t>
        </is>
      </c>
    </row>
    <row r="14">
      <c r="A14" t="n">
        <v>13</v>
      </c>
      <c r="B14" t="inlineStr">
        <is>
          <t>계교 전투</t>
        </is>
      </c>
      <c r="C14" s="14" t="inlineStr">
        <is>
          <t>Crossbows Break the White Horses</t>
        </is>
      </c>
      <c r="D14" s="14" t="inlineStr">
        <is>
          <t>Qu Yi's crossbowmen shattered the White Horse Volunteers.</t>
        </is>
      </c>
      <c r="E14" s="14" t="inlineStr">
        <is>
          <t>Yuan Shao and Gongsun Zan met at Jieqiao in their struggle for Ji Province. Yuan Shao's general Qu Yi hid eight hundred crossbowmen behind their shields, then loosed all at once as the White Horse Volunteers came upon them, and broke them.</t>
        </is>
      </c>
      <c r="F14" s="14" t="inlineStr">
        <is>
          <t>白馬を砕いた弩</t>
        </is>
      </c>
      <c r="G14" s="14" t="inlineStr">
        <is>
          <t>麴義の強弩兵が白馬義従を打ち崩した。</t>
        </is>
      </c>
      <c r="H14" s="14" t="inlineStr">
        <is>
          <t>袁紹と公孫瓚が冀州をめぐって界橋で対峙した。袁紹の将・麴義は強弩兵八百を盾の陰に伏せ、白馬義従が目前に迫ると一斉に射て打ち崩した。</t>
        </is>
      </c>
      <c r="I14" s="14" t="inlineStr">
        <is>
          <t>折斷白馬的強弩</t>
        </is>
      </c>
      <c r="J14" s="14" t="inlineStr">
        <is>
          <t>麴義的強弩兵擊潰了白馬義從。</t>
        </is>
      </c>
      <c r="K14" s="14" t="inlineStr">
        <is>
          <t>袁紹與公孫瓚為爭冀州，在界橋對陣。袁紹部將麴義將八百強弩兵藏於盾後，待白馬義從衝到眼前時萬弩齊發，將其擊潰。</t>
        </is>
      </c>
      <c r="L14" s="14" t="inlineStr">
        <is>
          <t>折断白马的强弩</t>
        </is>
      </c>
      <c r="M14" s="14" t="inlineStr">
        <is>
          <t>麴义的强弩兵击溃了白马义从。</t>
        </is>
      </c>
      <c r="N14" s="14" t="inlineStr">
        <is>
          <t>袁绍与公孙瓒为争冀州在界桥对峙。袁绍部将麴义将八百强弩兵藏于盾后，待白马义从冲到眼前才万弩齐发，一举击溃。</t>
        </is>
      </c>
      <c r="O14" s="14" t="inlineStr">
        <is>
          <t>As Bestas que Quebraram o Branco</t>
        </is>
      </c>
      <c r="P14" s="14" t="inlineStr">
        <is>
          <t>Os besteiros de Qu Yi destroçaram os Cavaleiros do Cavalo Branco.</t>
        </is>
      </c>
      <c r="Q14" s="14" t="inlineStr">
        <is>
          <t>Yuan Shao e Gongsun Zan se enfrentaram em Jieqiao pela posse de Ji. Qu Yi, general de Yuan Shao, escondeu oitocentos besteiros atrás de escudos e, quando a cavalaria branca chegou bem perto, disparou de uma vez e a desbaratou.</t>
        </is>
      </c>
      <c r="R14" s="14" t="inlineStr">
        <is>
          <t>As Bestas que Venceram o Branco</t>
        </is>
      </c>
      <c r="S14" s="14" t="inlineStr">
        <is>
          <t>Os besteiros de Qu Yi desfizeram os Cavalos Brancos.</t>
        </is>
      </c>
      <c r="T14" s="14" t="inlineStr">
        <is>
          <t>Yuan Shao e Gongsun Zan enfrentaram-se em Jieqiao pela posse de Jizhou. Qu Yi, general de Yuan Shao, escondeu oitocentos besteiros atrás dos escudos e só disparou quando os Cavalos Brancos lhe estavam em cima, desbaratando-os de uma só vez.</t>
        </is>
      </c>
      <c r="U14" s="14" t="inlineStr">
        <is>
          <t>Le balestre e i cavalli bianchi</t>
        </is>
      </c>
      <c r="V14" s="14" t="inlineStr">
        <is>
          <t>I balestrieri di Qu Yi travolsero i Fedeli dai Cavalli Bianchi.</t>
        </is>
      </c>
      <c r="W14" s="14" t="inlineStr">
        <is>
          <t>Yuan Shao e Gongsun Zan si affrontarono a Jieqiao per il controllo di Ji. Qu Yi, generale di Yuan Shao, nascose ottocento balestrieri dietro gli scudi e, quando i cavalieri bianchi furono a un passo, li travolse con una sola salva.</t>
        </is>
      </c>
      <c r="X14" s="14" t="inlineStr">
        <is>
          <t>Ballestas contra el caballo blanco</t>
        </is>
      </c>
      <c r="Y14" s="14" t="inlineStr">
        <is>
          <t>Los ballesteros de Qu Yi deshicieron a los Jinetes del Caballo Blanco.</t>
        </is>
      </c>
      <c r="Z14" s="14" t="inlineStr">
        <is>
          <t>Yuan Shao y Gongsun Zan se enfrentaron en Jieqiao por la provincia de Ji. Qu Yi, general de Yuan Shao, ocultó ochocientos ballesteros tras los escudos y, cuando los jinetes blancos estuvieron encima, dispararon todos a la vez y los quebraron.</t>
        </is>
      </c>
      <c r="AA14" s="14" t="inlineStr">
        <is>
          <t>Цагаан морьтныг дарсан нум</t>
        </is>
      </c>
      <c r="AB14" s="14" t="inlineStr">
        <is>
          <t>Цюй Ийн хөндлөн нумт цэрэг Цагаан морьт хүлэг цэргийг бут цохив.</t>
        </is>
      </c>
      <c r="AC14" s="14" t="inlineStr">
        <is>
          <t>Юань Шао, Гунсунь Цзань хоёр Цзичжоугийн төлөө Цзецяод тулав. Юань Шаогийн жанжин Цюй И найман зуун хөндлөн нумчинг бамбайн цаана нууж, Цагаан морьтнууд хамар дор ирэхэд нэгэн зэрэг харваж бут цохижээ.</t>
        </is>
      </c>
      <c r="AD14" s="14" t="inlineStr">
        <is>
          <t>界桥之战</t>
        </is>
      </c>
    </row>
    <row r="15">
      <c r="A15" t="n">
        <v>14</v>
      </c>
      <c r="B15" t="inlineStr">
        <is>
          <t>이각과 곽사</t>
        </is>
      </c>
      <c r="C15" s="14" t="inlineStr">
        <is>
          <t>Two Generals at War</t>
        </is>
      </c>
      <c r="D15" s="14" t="inlineStr">
        <is>
          <t>After Dong Zhuo's death, the two generals who seized Chang'an soon turned on each other.</t>
        </is>
      </c>
      <c r="E15" s="14" t="inlineStr">
        <is>
          <t>When Wang Yun and Lü Bu killed Dong Zhuo, his lieutenants Li Jue and Guo Si stormed Chang'an and took the court. But they soon grew suspicious of one another and fought in the heart of the city, holding the emperor and his ministers hostage.</t>
        </is>
      </c>
      <c r="F15" s="14" t="inlineStr">
        <is>
          <t>噛み合う二将</t>
        </is>
      </c>
      <c r="G15" s="14" t="inlineStr">
        <is>
          <t>董卓の死後に長安を握った二人の将は、やがて互いに攻め合った。</t>
        </is>
      </c>
      <c r="H15" s="14" t="inlineStr">
        <is>
          <t>王允と呂布が董卓を討つと、その部将の李傕と郭汜は長安に攻め込み朝廷を手中に収めた。だが二人はほどなく互いを疑い、長安のただ中で争い、皇帝と大臣たちは人質となった。</t>
        </is>
      </c>
      <c r="I15" s="14" t="inlineStr">
        <is>
          <t>相互撕咬的二將</t>
        </is>
      </c>
      <c r="J15" s="14" t="inlineStr">
        <is>
          <t>董卓死後佔據長安的兩員將領，很快便自相攻伐。</t>
        </is>
      </c>
      <c r="K15" s="14" t="inlineStr">
        <is>
          <t>王允與呂布誅殺董卓後，其部將李傕、郭汜攻入長安，掌握了朝廷。但二人旋即互相猜忌，在長安城中廝殺，天子與大臣都成了人質。</t>
        </is>
      </c>
      <c r="L15" s="14" t="inlineStr">
        <is>
          <t>互相撕咬的两将</t>
        </is>
      </c>
      <c r="M15" s="14" t="inlineStr">
        <is>
          <t>董卓死后占据长安的两员将领，不久便互相攻杀。</t>
        </is>
      </c>
      <c r="N15" s="14" t="inlineStr">
        <is>
          <t>王允与吕布诛杀董卓后，其部将李傕、郭汜攻入长安，夺取朝政。可二人很快互相猜忌，在长安城中厮杀，天子与百官都成了人质。</t>
        </is>
      </c>
      <c r="O15" s="14" t="inlineStr">
        <is>
          <t>Dois Generais que se Devoraram</t>
        </is>
      </c>
      <c r="P15" s="14" t="inlineStr">
        <is>
          <t>Senhores de Chang'an após a morte de Dong Zhuo, os dois logo se atacaram.</t>
        </is>
      </c>
      <c r="Q15" s="14" t="inlineStr">
        <is>
          <t>Quando Wang Yun e Lü Bu mataram Dong Zhuo, seus oficiais Li Jue e Guo Si invadiram Chang'an e tomaram a corte. Mas logo desconfiaram um do outro e lutaram no meio da cidade, fazendo do imperador e dos ministros seus reféns.</t>
        </is>
      </c>
      <c r="R15" s="14" t="inlineStr">
        <is>
          <t>Dois Generais a Devorar-se</t>
        </is>
      </c>
      <c r="S15" s="14" t="inlineStr">
        <is>
          <t>Depois da morte de Dong Zhuo, os dois generais que tomaram Chang'an voltaram-se um contra o outro.</t>
        </is>
      </c>
      <c r="T15" s="14" t="inlineStr">
        <is>
          <t>Quando Wang Yun e Lü Bu mataram Dong Zhuo, os seus oficiais Li Jue e Guo Si assaltaram Chang'an e apoderaram-se da corte. Mas logo desconfiaram um do outro e lutaram no coração da cidade, enquanto o imperador e os ministros ficavam reféns.</t>
        </is>
      </c>
      <c r="U15" s="14" t="inlineStr">
        <is>
          <t>Due generali che si sbranarono</t>
        </is>
      </c>
      <c r="V15" s="14" t="inlineStr">
        <is>
          <t>Morto Dong Zhuo, i due generali che presero Chang'an presto si azzannarono a vicenda.</t>
        </is>
      </c>
      <c r="W15" s="14" t="inlineStr">
        <is>
          <t>Quando Wang Yun e Lü Bu uccisero Dong Zhuo, i suoi luogotenenti Li Jue e Guo Si assalirono Chang'an e si impadronirono della corte. Ma presto i due, sospettosi l'uno dell'altro, si combatterono nel cuore della città, e l'imperatore e i ministri divennero ostaggi.</t>
        </is>
      </c>
      <c r="X15" s="14" t="inlineStr">
        <is>
          <t>Dos generales que se devoraron</t>
        </is>
      </c>
      <c r="Y15" s="14" t="inlineStr">
        <is>
          <t>Tras la muerte de Dong Zhuo, los dos generales que tomaron Chang'an pronto se atacaron entre sí.</t>
        </is>
      </c>
      <c r="Z15" s="14" t="inlineStr">
        <is>
          <t>Cuando Wang Yun y Lü Bu mataron a Dong Zhuo, sus lugartenientes Li Jue y Guo Si asaltaron Chang'an y se adueñaron de la corte. Pero pronto desconfiaron el uno del otro y combatieron en plena ciudad, con el emperador y sus ministros como rehenes.</t>
        </is>
      </c>
      <c r="AA15" s="14" t="inlineStr">
        <is>
          <t>Бие биенээ зуусан хоёр жанжин</t>
        </is>
      </c>
      <c r="AB15" s="14" t="inlineStr">
        <is>
          <t>Дун Чжо үхсэний дараа Чанъаныг эзэлсэн хоёр жанжин удалгүй бие бие рүүгээ дайрав.</t>
        </is>
      </c>
      <c r="AC15" s="14" t="inlineStr">
        <is>
          <t>Ван Юнь, Люй Бу хоёр Дун Чжог хөнөөхөд түүний туслах жанжин Ли Цзюэ, Го Сы хоёр Чанъань руу дайран орж, ордныг гартаа оруулав. Гэвч тэр хоёр удалгүй бие биенээ сэжиглэн Чанъаны төвд тулалдаж, хаан болон түшмэдүүд барьцаанд оржээ.</t>
        </is>
      </c>
      <c r="AD15" s="14" t="inlineStr">
        <is>
          <t>李傕郭汜</t>
        </is>
      </c>
    </row>
    <row r="16">
      <c r="A16" t="n">
        <v>15</v>
      </c>
      <c r="B16" t="inlineStr">
        <is>
          <t>헌제의 동귀</t>
        </is>
      </c>
      <c r="C16" s="14" t="inlineStr">
        <is>
          <t>Welcoming the Emperor</t>
        </is>
      </c>
      <c r="D16" s="14" t="inlineStr">
        <is>
          <t>Following Xun Yu's counsel to “serve the Son of Heaven,” Cao Cao received the emperor fleeing Li Jue and Guo Si at Xu.</t>
        </is>
      </c>
      <c r="E16" s="14" t="inlineStr">
        <is>
          <t>Hunted by Li Jue and Guo Si, Emperor Xian returned to ruined Luoyang under the guard of Han Xian and Xu Huang. Xun Yu urged Cao Cao to “uphold the Son of Heaven and command the realm,” and Cao Cao welcomed the emperor to Xu.</t>
        </is>
      </c>
      <c r="F16" s="14" t="inlineStr">
        <is>
          <t>天子を迎える</t>
        </is>
      </c>
      <c r="G16" s="14" t="inlineStr">
        <is>
          <t>李傕・郭汜に追われた皇帝を、荀彧の「奉天子」の計どおり曹操が許都に迎えた。</t>
        </is>
      </c>
      <c r="H16" s="14" t="inlineStr">
        <is>
          <t>李傕と郭汜に追われた献帝は、韓暹・徐晃に守られて廃墟の洛陽へ戻った。荀彧は「天子を奉じて天下に号令せよ」と説き、曹操は皇帝を許都に迎えた。</t>
        </is>
      </c>
      <c r="I16" s="14" t="inlineStr">
        <is>
          <t>迎奉天子</t>
        </is>
      </c>
      <c r="J16" s="14" t="inlineStr">
        <is>
          <t>被李傕、郭汜追趕的天子，依荀彧「奉天子」之策，由曹操迎至許都。</t>
        </is>
      </c>
      <c r="K16" s="14" t="inlineStr">
        <is>
          <t>為李傕、郭汜所逼的獻帝，在韓暹、徐晃護衛下回到已成廢墟的洛陽。荀彧勸曹操「奉天子以令不臣」，曹操於是將天子迎往許都。</t>
        </is>
      </c>
      <c r="L16" s="14" t="inlineStr">
        <is>
          <t>迎奉天子</t>
        </is>
      </c>
      <c r="M16" s="14" t="inlineStr">
        <is>
          <t>被李傕、郭汜追逐的天子，照荀彧「奉天子」之计被曹操迎往许都。</t>
        </is>
      </c>
      <c r="N16" s="14" t="inlineStr">
        <is>
          <t>被李傕、郭汜追逐的献帝在韩暹、徐晃护卫下回到已成废墟的洛阳。荀彧劝曹操「奉天子以令不臣」，曹操遂将天子迎至许都。</t>
        </is>
      </c>
      <c r="O16" s="14" t="inlineStr">
        <is>
          <t>Acolhendo o Imperador</t>
        </is>
      </c>
      <c r="P16" s="14" t="inlineStr">
        <is>
          <t>Perseguido por Li Jue e Guo Si, o imperador foi acolhido por Cao Cao em Xu, como aconselhara Xun Yu.</t>
        </is>
      </c>
      <c r="Q16" s="14" t="inlineStr">
        <is>
          <t>Fugindo de Li Jue e Guo Si, o Imperador Xian voltou à Luoyang em ruínas, escoltado por Han Xian e Xu Huang. Xun Yu aconselhou “servir o Filho do Céu para comandar o império”, e Cao Cao levou o imperador para Xu.</t>
        </is>
      </c>
      <c r="R16" s="14" t="inlineStr">
        <is>
          <t>Acolher o Imperador</t>
        </is>
      </c>
      <c r="S16" s="14" t="inlineStr">
        <is>
          <t>Seguindo o conselho de Xun Yu, Cao Cao acolheu em Xudu o imperador perseguido por Li Jue e Guo Si.</t>
        </is>
      </c>
      <c r="T16" s="14" t="inlineStr">
        <is>
          <t>Perseguido por Li Jue e Guo Si, o Imperador Xian regressou à Luoyang em ruínas sob a escolta de Han Xian e Xu Huang. Xun Yu aconselhou «servir o Filho do Céu para comandar o império», e Cao Cao levou o imperador para Xudu.</t>
        </is>
      </c>
      <c r="U16" s="14" t="inlineStr">
        <is>
          <t>Accogliere l'imperatore</t>
        </is>
      </c>
      <c r="V16" s="14" t="inlineStr">
        <is>
          <t>Seguendo il consiglio di Xun Yu di «servire il Figlio del Cielo», Cao Cao accolse a Xu l'imperatore braccato da Li Jue e Guo Si.</t>
        </is>
      </c>
      <c r="W16" s="14" t="inlineStr">
        <is>
          <t>Inseguito da Li Jue e Guo Si, l'Imperatore Xian tornò nella Luoyang in rovina sotto la scorta di Han Xian e Xu Huang. Xun Yu consigliò di «servire il Figlio del Cielo per comandare l'impero», e Cao Cao accolse l'imperatore a Xu.</t>
        </is>
      </c>
      <c r="X16" s="14" t="inlineStr">
        <is>
          <t>Acoger al emperador</t>
        </is>
      </c>
      <c r="Y16" s="14" t="inlineStr">
        <is>
          <t>Perseguido por Li Jue y Guo Si, el emperador fue acogido por Cao Cao en Xu, según el consejo de Xun Yu.</t>
        </is>
      </c>
      <c r="Z16" s="14" t="inlineStr">
        <is>
          <t>Huyendo de Li Jue y Guo Si, el Emperador Xian volvió a la arruinada Luoyang escoltado por Han Xian y Xu Huang. Xun Yu aconsejó «servir al Hijo del Cielo para mandar sobre el reino», y Cao Cao llevó al emperador a Xu.</t>
        </is>
      </c>
      <c r="AA16" s="14" t="inlineStr">
        <is>
          <t>Хааныг угтан авав</t>
        </is>
      </c>
      <c r="AB16" s="14" t="inlineStr">
        <is>
          <t>Ли Цзюэ, Го Сы хоёрт хөөгдөж явсан хааныг Сюнь Юйн «Тэнгэрийн хүүг өргө» хэмээх зөвлөгөөгөөр Цао Цао Сюйд угтав.</t>
        </is>
      </c>
      <c r="AC16" s="14" t="inlineStr">
        <is>
          <t>Ли Цзюэ, Го Сы хоёрт хөөгдсөн Сянь-ди хаан Хань Сянь, Сюй Хуан хоёрын хамгаалалтаар балгас болсон Лоянд буцаж ирэв. Сюнь Юй «Тэнгэрийн хүүг өргөж, тэнгэрийн дорыг захир» хэмээн зөвлөж, Цао Цао хааныг Сюйд угтан авчээ.</t>
        </is>
      </c>
      <c r="AD16" s="14" t="inlineStr">
        <is>
          <t>献帝东归</t>
        </is>
      </c>
    </row>
    <row r="17">
      <c r="A17" t="n">
        <v>16</v>
      </c>
      <c r="B17" t="inlineStr">
        <is>
          <t>둔전제</t>
        </is>
      </c>
      <c r="C17" s="14" t="inlineStr">
        <is>
          <t>Tilling the Land for Grain</t>
        </is>
      </c>
      <c r="D17" s="14" t="inlineStr">
        <is>
          <t>He gave land and oxen to the displaced and filled the granaries. The cornerstone of Cao Cao's rise.</t>
        </is>
      </c>
      <c r="E17" s="14" t="inlineStr">
        <is>
          <t>When starving refugees overflowed the land, Cao Cao opened military farms at the urging of Han Hao and Zao Zhi. Soldiers and commoners were given land and oxen to farm, and a million measures of grain were stored in a single year.</t>
        </is>
      </c>
      <c r="F17" s="14" t="inlineStr">
        <is>
          <t>地を拓き、兵糧を積む</t>
        </is>
      </c>
      <c r="G17" s="14" t="inlineStr">
        <is>
          <t>流民に土地と牛を与えて兵糧を蓄えた。曹操の覇業の礎である。</t>
        </is>
      </c>
      <c r="H17" s="14" t="inlineStr">
        <is>
          <t>戦乱で飢えた流民があふれると、曹操は韓浩・棗祗の進言で屯田を開いた。民と兵に土地と牛を分けて耕させると、一年で百万石が積み上がった。</t>
        </is>
      </c>
      <c r="I17" s="14" t="inlineStr">
        <is>
          <t>開墾屯糧</t>
        </is>
      </c>
      <c r="J17" s="14" t="inlineStr">
        <is>
          <t>給流民田地與耕牛，積蓄軍糧。這是曹操霸業的基石。</t>
        </is>
      </c>
      <c r="K17" s="14" t="inlineStr">
        <is>
          <t>戰亂中饑民遍地，曹操採納韓浩、棗祗的建議推行屯田。分給百姓與士兵田地和耕牛耕作，一年便積下百萬斛糧。</t>
        </is>
      </c>
      <c r="L17" s="14" t="inlineStr">
        <is>
          <t>垦田积粮</t>
        </is>
      </c>
      <c r="M17" s="14" t="inlineStr">
        <is>
          <t>给流民土地与耕牛，积下军粮。这是曹操霸业的基石。</t>
        </is>
      </c>
      <c r="N17" s="14" t="inlineStr">
        <is>
          <t>战乱中饥民遍野，曹操采纳韩浩、枣祗的建议开设屯田。分给百姓与士兵田地和耕牛，一年便积粮百万斛。</t>
        </is>
      </c>
      <c r="O17" s="14" t="inlineStr">
        <is>
          <t>Arar a Terra, Encher os Celeiros</t>
        </is>
      </c>
      <c r="P17" s="14" t="inlineStr">
        <is>
          <t>Terra e bois aos refugiados, e os celeiros se encheram. A base da hegemonia de Cao Cao.</t>
        </is>
      </c>
      <c r="Q17" s="14" t="inlineStr">
        <is>
          <t>Com a guerra, os refugiados famintos se multiplicavam, e Cao Cao, a conselho de Han Hao e Zao Zhi, criou as colônias agrícolas. Deu terra e bois a camponeses e soldados para cultivar, e num só ano acumulou um milhão de medidas de grãos.</t>
        </is>
      </c>
      <c r="R17" s="14" t="inlineStr">
        <is>
          <t>Lavrar a Terra, Juntar Cereais</t>
        </is>
      </c>
      <c r="S17" s="14" t="inlineStr">
        <is>
          <t>Terra e bois para os refugiados, cereais para o exército: o alicerce da hegemonia de Cao Cao.</t>
        </is>
      </c>
      <c r="T17" s="14" t="inlineStr">
        <is>
          <t>Com a terra cheia de refugiados famintos, Cao Cao abriu colónias agrícolas a conselho de Han Hao e Zao Zhi. Distribuiu terra e bois a camponeses e soldados, e num só ano juntou um milhão de medidas de cereal.</t>
        </is>
      </c>
      <c r="U17" s="14" t="inlineStr">
        <is>
          <t>Arare la terra, ammassare grano</t>
        </is>
      </c>
      <c r="V17" s="14" t="inlineStr">
        <is>
          <t>Diede terre e buoi agli sfollati e accumulò grano: fu la pietra angolare dell'egemonia di Cao Cao.</t>
        </is>
      </c>
      <c r="W17" s="14" t="inlineStr">
        <is>
          <t>Quando la guerra riempì il paese di profughi affamati, Cao Cao, su proposta di Han Hao e Zao Zhi, istituì le colonie agricole. Distribuite terre e buoi a contadini e soldati perché le coltivassero, in un solo anno si accumularono un milione di staia di grano.</t>
        </is>
      </c>
      <c r="X17" s="14" t="inlineStr">
        <is>
          <t>Labrar la tierra, llenar graneros</t>
        </is>
      </c>
      <c r="Y17" s="14" t="inlineStr">
        <is>
          <t>Dio tierra y bueyes a los refugiados para llenar los graneros. Fue el cimiento del poder de Cao Cao.</t>
        </is>
      </c>
      <c r="Z17" s="14" t="inlineStr">
        <is>
          <t>Con la guerra, los refugiados hambrientos llenaban los caminos, y Cao Cao, a propuesta de Han Hao y Zao Zhi, abrió colonias agrícolas. Repartió tierras y bueyes a campesinos y soldados, y en un solo año se juntó un millón de fanegas de grano.</t>
        </is>
      </c>
      <c r="AA17" s="14" t="inlineStr">
        <is>
          <t>Газар хагалж тэжээл хураах</t>
        </is>
      </c>
      <c r="AB17" s="14" t="inlineStr">
        <is>
          <t>Дүрвэгсдэд газар, үхэр өгч тэжээл хураав. Цао Цаогийн их үйлсийн тулгуур чулуу.</t>
        </is>
      </c>
      <c r="AC17" s="14" t="inlineStr">
        <is>
          <t>Дайн самуунд өлсгөлөн дүрвэгсэд дүүрэхэд Цао Цао Хань Хао, Цзао Чжи нарын саналаар цэргийн тариалан эхлүүлэв. Ард иргэн, цэрэгт газар, үхэр хувааж тариа тариулахад нэг жилд сая шуудай хуримтлагджээ.</t>
        </is>
      </c>
      <c r="AD17" s="14" t="inlineStr">
        <is>
          <t>屯田制</t>
        </is>
      </c>
    </row>
    <row r="18">
      <c r="A18" t="n">
        <v>17</v>
      </c>
      <c r="B18" t="inlineStr">
        <is>
          <t>서주 양도</t>
        </is>
      </c>
      <c r="C18" s="14" t="inlineStr">
        <is>
          <t>Xuzhou, Thrice Declined</t>
        </is>
      </c>
      <c r="D18" s="14" t="inlineStr">
        <is>
          <t>Three times Tao Qian offered Xuzhou, and three times Liu Bei declined.</t>
        </is>
      </c>
      <c r="E18" s="14" t="inlineStr">
        <is>
          <t>Worn down by Cao Cao's attacks and near death, Tao Qian, Governor of Xuzhou, wished to entrust the province to Liu Bei. Liu Bei declined three times, and accepted only at the earnest pleading of Mi Zhu and Sun Qian.</t>
        </is>
      </c>
      <c r="F18" s="14" t="inlineStr">
        <is>
          <t>三たび譲られた徐州</t>
        </is>
      </c>
      <c r="G18" s="14" t="inlineStr">
        <is>
          <t>陶謙は三たび徐州を差し出し、劉備は三たび辞退した。</t>
        </is>
      </c>
      <c r="H18" s="14" t="inlineStr">
        <is>
          <t>曹操の攻撃に苦しんだ徐州牧・陶謙は、死を前にして劉備に徐州を託そうとした。劉備は三度辞退したが、糜竺・孫乾の懇願に折れて受け入れた。</t>
        </is>
      </c>
      <c r="I18" s="14" t="inlineStr">
        <is>
          <t>三讓徐州</t>
        </is>
      </c>
      <c r="J18" s="14" t="inlineStr">
        <is>
          <t>陶謙三次讓出徐州，劉備三次推辭。</t>
        </is>
      </c>
      <c r="K18" s="14" t="inlineStr">
        <is>
          <t>飽受曹操攻擊的徐州牧陶謙臨終前想把徐州託付給劉備。劉備再三推辭，最後在糜竺、孫乾的懇求下才接受。</t>
        </is>
      </c>
      <c r="L18" s="14" t="inlineStr">
        <is>
          <t>三让徐州</t>
        </is>
      </c>
      <c r="M18" s="14" t="inlineStr">
        <is>
          <t>陶谦三次奉上徐州，刘备三次推辞。</t>
        </is>
      </c>
      <c r="N18" s="14" t="inlineStr">
        <is>
          <t>饱受曹操攻伐的徐州牧陶谦临终前想把徐州托付刘备。刘备推辞再三，终在糜竺、孙乾恳求下接受。</t>
        </is>
      </c>
      <c r="O18" s="14" t="inlineStr">
        <is>
          <t>Xu Recusada Três Vezes</t>
        </is>
      </c>
      <c r="P18" s="14" t="inlineStr">
        <is>
          <t>Tao Qian ofereceu Xu três vezes, e três vezes Liu Bei recusou.</t>
        </is>
      </c>
      <c r="Q18" s="14" t="inlineStr">
        <is>
          <t>Acossado por Cao Cao e à beira da morte, Tao Qian, governador de Xu, quis confiar a província a Liu Bei. Liu Bei recusou três vezes e só aceitou diante das súplicas de Mi Zhu e Sun Qian.</t>
        </is>
      </c>
      <c r="R18" s="14" t="inlineStr">
        <is>
          <t>Xuzhou Três Vezes Recusada</t>
        </is>
      </c>
      <c r="S18" s="14" t="inlineStr">
        <is>
          <t>Tao Qian ofereceu Xuzhou três vezes, e três vezes Liu Bei recusou.</t>
        </is>
      </c>
      <c r="T18" s="14" t="inlineStr">
        <is>
          <t>Fustigado pelos ataques de Cao Cao e às portas da morte, Tao Qian, governador de Xuzhou, quis confiar a província a Liu Bei. Liu Bei recusou três vezes e só aceitou perante as súplicas de Mi Zhu e Sun Qian.</t>
        </is>
      </c>
      <c r="U18" s="14" t="inlineStr">
        <is>
          <t>Xuzhou, tre volte rifiutata</t>
        </is>
      </c>
      <c r="V18" s="14" t="inlineStr">
        <is>
          <t>Tao Qian offrì Xuzhou tre volte, e tre volte Liu Bei rifiutò.</t>
        </is>
      </c>
      <c r="W18" s="14" t="inlineStr">
        <is>
          <t>Tormentato dagli attacchi di Cao Cao, il governatore di Xuzhou Tao Qian, in punto di morte, volle affidare la provincia a Liu Bei. Liu Bei rifiutò tre volte e accettò solo alle suppliche di Mi Zhu e Sun Qian.</t>
        </is>
      </c>
      <c r="X18" s="14" t="inlineStr">
        <is>
          <t>Tres veces rechazó Xu</t>
        </is>
      </c>
      <c r="Y18" s="14" t="inlineStr">
        <is>
          <t>Tao Qian le ofreció Xu tres veces, y tres veces Liu Bei lo rechazó.</t>
        </is>
      </c>
      <c r="Z18" s="14" t="inlineStr">
        <is>
          <t>Acosado por los ataques de Cao Cao y cerca de la muerte, Tao Qian, gobernador de Xu, quiso confiarle la provincia a Liu Bei. Liu Bei la rechazó tres veces, hasta que aceptó ante los ruegos de Mi Zhu y Sun Qian.</t>
        </is>
      </c>
      <c r="AA18" s="14" t="inlineStr">
        <is>
          <t>Гурван удаа татгалзсан Сюйчжоу</t>
        </is>
      </c>
      <c r="AB18" s="14" t="inlineStr">
        <is>
          <t>Тао Цянь гурван удаа Сюйчжоуг өгөхөөр санал болгож, Лю Бэй гурвантаа татгалзав.</t>
        </is>
      </c>
      <c r="AC18" s="14" t="inlineStr">
        <is>
          <t>Цао Цаогийн довтолгоонд зовсон Сюйчжоугийн захирагч Тао Цянь үхлийнхээ өмнө Сюйчжоуг Лю Бэйд даатгахыг хүсэв. Лю Бэй гурван удаа татгалзсаар Ми Чжу, Сунь Цянь нарын гуйлтаар эцэст нь хүлээн авчээ.</t>
        </is>
      </c>
      <c r="AD18" s="14" t="inlineStr">
        <is>
          <t>三让徐州</t>
        </is>
      </c>
    </row>
    <row r="19">
      <c r="A19" t="n">
        <v>18</v>
      </c>
      <c r="B19" t="inlineStr">
        <is>
          <t>술 취한 장비</t>
        </is>
      </c>
      <c r="C19" s="14" t="inlineStr">
        <is>
          <t>Zhang Fei in His Cups</t>
        </is>
      </c>
      <c r="D19" s="14" t="inlineStr">
        <is>
          <t>Cao Bao, flogged by a drunken Zhang Fei, opened the gates to Lü Bu that night.</t>
        </is>
      </c>
      <c r="E19" s="14" t="inlineStr">
        <is>
          <t>Guarding Xuzhou, Zhang Fei flogged Cao Bao at a drinking party. Nursing a grudge, Cao Bao opened the city gates at night to his son-in-law Lü Bu, and Zhang Fei lost Xuzhou and could not face his brother.</t>
        </is>
      </c>
      <c r="F19" s="14" t="inlineStr">
        <is>
          <t>酔いどれ張飛</t>
        </is>
      </c>
      <c r="G19" s="14" t="inlineStr">
        <is>
          <t>張飛が酔って鞭打った曹豹は、その夜、呂布に城門を開いた。</t>
        </is>
      </c>
      <c r="H19" s="14" t="inlineStr">
        <is>
          <t>徐州を守る張飛は酒宴の席で曹豹を鞭打った。恨みを抱いた曹豹が婿の呂布に夜半城門を開いたため、張飛は徐州を失い、兄に合わせる顔もなかった。</t>
        </is>
      </c>
      <c r="I19" s="14" t="inlineStr">
        <is>
          <t>醉酒的張飛</t>
        </is>
      </c>
      <c r="J19" s="14" t="inlineStr">
        <is>
          <t>被醉酒的張飛鞭打的曹豹，當夜向呂布打開了城門。</t>
        </is>
      </c>
      <c r="K19" s="14" t="inlineStr">
        <is>
          <t>留守徐州的張飛在酒席上鞭打了曹豹。懷恨在心的曹豹趁夜為女婿呂布打開城門，張飛丟了徐州，無顏面見兄長。</t>
        </is>
      </c>
      <c r="L19" s="14" t="inlineStr">
        <is>
          <t>醉酒的张飞</t>
        </is>
      </c>
      <c r="M19" s="14" t="inlineStr">
        <is>
          <t>被醉酒的张飞鞭打的曹豹，当夜为吕布打开了城门。</t>
        </is>
      </c>
      <c r="N19" s="14" t="inlineStr">
        <is>
          <t>镇守徐州的张飞在酒席上鞭打曹豹。怀恨的曹豹夜里为女婿吕布打开城门，张飞丢了徐州，无颜再见兄长。</t>
        </is>
      </c>
      <c r="O19" s="14" t="inlineStr">
        <is>
          <t>Zhang Fei Embriagado</t>
        </is>
      </c>
      <c r="P19" s="14" t="inlineStr">
        <is>
          <t>Cao Bao, açoitado por um Zhang Fei bêbado, abriu os portões a Lü Bu naquela noite.</t>
        </is>
      </c>
      <c r="Q19" s="14" t="inlineStr">
        <is>
          <t>Guardando Xu, Zhang Fei açoitou Cao Bao durante uma bebedeira. Ressentido, Cao Bao abriu de noite os portões a seu genro Lü Bu, e Zhang Fei perdeu Xu sem ter como encarar o irmão.</t>
        </is>
      </c>
      <c r="R19" s="14" t="inlineStr">
        <is>
          <t>Zhang Fei Embriagado</t>
        </is>
      </c>
      <c r="S19" s="14" t="inlineStr">
        <is>
          <t>Cao Bao, açoitado por um Zhang Fei bêbedo, abriu as portas a Lü Bu nessa noite.</t>
        </is>
      </c>
      <c r="T19" s="14" t="inlineStr">
        <is>
          <t>De guarda a Xuzhou, Zhang Fei mandou açoitar Cao Bao durante um banquete. Rancoroso, Cao Bao abriu de noite as portas ao genro, Lü Bu, e Zhang Fei perdeu Xuzhou sem coragem para encarar o irmão.</t>
        </is>
      </c>
      <c r="U19" s="14" t="inlineStr">
        <is>
          <t>Zhang Fei ubriaco</t>
        </is>
      </c>
      <c r="V19" s="14" t="inlineStr">
        <is>
          <t>Cao Bao, frustato da uno Zhang Fei ubriaco, quella notte aprì le porte a Lü Bu.</t>
        </is>
      </c>
      <c r="W19" s="14" t="inlineStr">
        <is>
          <t>Di guardia a Xuzhou, Zhang Fei frustò Cao Bao durante un banchetto. Covando rancore, Cao Bao aprì di notte le porte della città al genero Lü Bu, e Zhang Fei, persa Xuzhou, non ebbe più il coraggio di guardare in faccia il fratello maggiore.</t>
        </is>
      </c>
      <c r="X19" s="14" t="inlineStr">
        <is>
          <t>Zhang Fei, borracho</t>
        </is>
      </c>
      <c r="Y19" s="14" t="inlineStr">
        <is>
          <t>Cao Bao, azotado por un Zhang Fei ebrio, abrió esa noche las puertas a Lü Bu.</t>
        </is>
      </c>
      <c r="Z19" s="14" t="inlineStr">
        <is>
          <t>Mientras guardaba Xu, Zhang Fei azotó a Cao Bao en pleno banquete. Rencoroso, Cao Bao abrió de noche las puertas a su yerno Lü Bu, y Zhang Fei perdió la ciudad sin cara para mirar a su hermano.</t>
        </is>
      </c>
      <c r="AA19" s="14" t="inlineStr">
        <is>
          <t>Согтуу Чжан Фэй</t>
        </is>
      </c>
      <c r="AB19" s="14" t="inlineStr">
        <is>
          <t>Чжан Фэйгийн согтуудаа ташуурдсан Цао Бао тэр шөнө Люй Буд хотын хаалгаа нээж өгөв.</t>
        </is>
      </c>
      <c r="AC19" s="14" t="inlineStr">
        <is>
          <t>Сюйчжоуг сахиж байсан Чжан Фэй найрын үеэр Цао Баог ташуурдав. Өшөө хорсол тээсэн Цао Бао хүргэн Люй Буд шөнө дунд хотын хаалгыг нээж өгснөөр Чжан Фэй Сюйчжоугаа алдаж, ахынхаа нүүрийг харах аргагүй болжээ.</t>
        </is>
      </c>
      <c r="AD19" s="14" t="inlineStr">
        <is>
          <t>张飞醉失徐州</t>
        </is>
      </c>
    </row>
    <row r="20">
      <c r="A20" t="n">
        <v>19</v>
      </c>
      <c r="B20" t="inlineStr">
        <is>
          <t>원문사극</t>
        </is>
      </c>
      <c r="C20" s="14" t="inlineStr">
        <is>
          <t>The Arrow at 150 Paces</t>
        </is>
      </c>
      <c r="D20" s="14" t="inlineStr">
        <is>
          <t>Hit the halberd 150 paces beyond the camp gate, and there will be no battle.</t>
        </is>
      </c>
      <c r="E20" s="14" t="inlineStr">
        <is>
          <t>When Yuan Shu's general Ji Ling came to attack Liu Bei, Lü Bu summoned them both. He set his halberd upright 150 paces beyond the camp gate and said, “If I hit it with one arrow, you will not fight” — and the arrow struck its side blade true.</t>
        </is>
      </c>
      <c r="F20" s="14" t="inlineStr">
        <is>
          <t>百五十歩の矢</t>
        </is>
      </c>
      <c r="G20" s="14" t="inlineStr">
        <is>
          <t>軍門の外百五十歩の戟を射抜いたなら、戦うな。</t>
        </is>
      </c>
      <c r="H20" s="14" t="inlineStr">
        <is>
          <t>袁術の将・紀霊が劉備を攻めに来ると、呂布は両者を呼び寄せた。軍門の外百五十歩に画戟を立て「一矢で当てたら戦うな」と言うや、矢は見事に戟の小枝を射抜いた。</t>
        </is>
      </c>
      <c r="I20" s="14" t="inlineStr">
        <is>
          <t>一百五十步的箭</t>
        </is>
      </c>
      <c r="J20" s="14" t="inlineStr">
        <is>
          <t>射中轅門外一百五十步的畫戟，兩家便罷兵。</t>
        </is>
      </c>
      <c r="K20" s="14" t="inlineStr">
        <is>
          <t>袁術部將紀靈前來攻打劉備，呂布將兩人請來。他在轅門外一百五十步立起畫戟，說「一箭射中便罷兵」，箭矢正中戟上小枝。</t>
        </is>
      </c>
      <c r="L20" s="14" t="inlineStr">
        <is>
          <t>一百五十步的一箭</t>
        </is>
      </c>
      <c r="M20" s="14" t="inlineStr">
        <is>
          <t>射中辕门外一百五十步的画戟，两家便罢兵。</t>
        </is>
      </c>
      <c r="N20" s="14" t="inlineStr">
        <is>
          <t>袁术部将纪灵来攻刘备，吕布把两人都请来。他在辕门外一百五十步立起画戟，说「一箭射中便罢兵」，箭矢正中戟上小枝。</t>
        </is>
      </c>
      <c r="O20" s="14" t="inlineStr">
        <is>
          <t>Flecha a Cento e Cinquenta Passos</t>
        </is>
      </c>
      <c r="P20" s="14" t="inlineStr">
        <is>
          <t>Se a flecha acertar a alabarda a cento e cinquenta passos, não haverá batalha.</t>
        </is>
      </c>
      <c r="Q20" s="14" t="inlineStr">
        <is>
          <t>Quando Ji Ling, general de Yuan Shu, veio atacar Liu Bei, Lü Bu chamou os dois. Fincou a alabarda a cento e cinquenta passos do portão e disse: “Se eu acertar com uma flecha, não lutem” — e a flecha cravou-se bem na lâmina lateral.</t>
        </is>
      </c>
      <c r="R20" s="14" t="inlineStr">
        <is>
          <t>Uma Flecha a 150 Passos</t>
        </is>
      </c>
      <c r="S20" s="14" t="inlineStr">
        <is>
          <t>Se eu acertar na alabarda a cento e cinquenta passos, não haverá batalha.</t>
        </is>
      </c>
      <c r="T20" s="14" t="inlineStr">
        <is>
          <t>Quando Ji Ling, general de Yuan Shu, marchou contra Liu Bei, Lü Bu chamou os dois. Mandou erguer uma alabarda a cento e cinquenta passos da porta do acampamento — «se eu acertar à primeira, não lutam» — e a flecha cravou-se mesmo no braço lateral da alabarda.</t>
        </is>
      </c>
      <c r="U20" s="14" t="inlineStr">
        <is>
          <t>La freccia a centocinquanta passi</t>
        </is>
      </c>
      <c r="V20" s="14" t="inlineStr">
        <is>
          <t>Se colpisco l'alabarda a centocinquanta passi dalla porta, non combatterete.</t>
        </is>
      </c>
      <c r="W20" s="14" t="inlineStr">
        <is>
          <t>Quando Ji Ling, generale di Yuan Shu, venne ad attaccare Liu Bei, Lü Bu convocò entrambi. Piantata un'alabarda a centocinquanta passi fuori dalla porta del campo, disse: «Se la colpisco con un solo tiro, non combatterete». La freccia si conficcò esattamente nella lama laterale.</t>
        </is>
      </c>
      <c r="X20" s="14" t="inlineStr">
        <is>
          <t>La flecha de los 150 pasos</t>
        </is>
      </c>
      <c r="Y20" s="14" t="inlineStr">
        <is>
          <t>Si la flecha acierta a la alabarda a ciento cincuenta pasos, no habrá batalla.</t>
        </is>
      </c>
      <c r="Z20" s="14" t="inlineStr">
        <is>
          <t>Cuando Ji Ling, general de Yuan Shu, vino contra Liu Bei, Lü Bu llamó a ambos. Plantó su alabarda a ciento cincuenta pasos de la puerta del campamento y dijo: «Si acierto de un solo tiro, no peleen». La flecha se clavó justo en la hoja lateral.</t>
        </is>
      </c>
      <c r="AA20" s="14" t="inlineStr">
        <is>
          <t>Зуун тавин алхмын сум</t>
        </is>
      </c>
      <c r="AB20" s="14" t="inlineStr">
        <is>
          <t>Хуарангийн хаалганы гадна зуун тавин алхамд буй жийдийг онох юм бол бүү тулалд.</t>
        </is>
      </c>
      <c r="AC20" s="14" t="inlineStr">
        <is>
          <t>Юань Шугийн жанжин Цзи Лин Лю Бэйг довтлохоор ирэхэд Люй Бу хоёуланг нь дуудав. Хуарангийн хаалганаас зуун тавин алхамд жийд босгоод «Нэг сумаар онох юм бол бүү тулалд» гэтэл сум яг жийдийн хажуу ирэнд зоогджээ.</t>
        </is>
      </c>
      <c r="AD20" s="14" t="inlineStr">
        <is>
          <t>辕门射戟</t>
        </is>
      </c>
    </row>
    <row r="21">
      <c r="A21" t="n">
        <v>20</v>
      </c>
      <c r="B21" t="inlineStr">
        <is>
          <t>공융과 태사자</t>
        </is>
      </c>
      <c r="C21" s="14" t="inlineStr">
        <is>
          <t>Through the Siege Alone</t>
        </is>
      </c>
      <c r="D21" s="14" t="inlineStr">
        <is>
          <t>To save besieged Beihai, Taishi Ci broke through the enemy lines alone.</t>
        </is>
      </c>
      <c r="E21" s="14" t="inlineStr">
        <is>
          <t>When Kong Rong of Beihai was surrounded by remnants of the Yellow Turbans, Taishi Ci, who owed him a debt, broke through the siege alone to beg Liu Bei for help. “Kong of Beihai knows of me?” Liu Bei said with delight, and sent troops at once.</t>
        </is>
      </c>
      <c r="F21" s="14" t="inlineStr">
        <is>
          <t>単騎、囲みを破る</t>
        </is>
      </c>
      <c r="G21" s="14" t="inlineStr">
        <is>
          <t>包囲された北海を救うため、太史慈はただ一騎で敵陣を突破した。</t>
        </is>
      </c>
      <c r="H21" s="14" t="inlineStr">
        <is>
          <t>黄巾の残党に囲まれた北海の孔融のため、恩を受けた太史慈は単騎で包囲を破り、劉備に救援を求めた。劉備は「孔北海がこの劉備を知っていたとは」と喜んで兵を出した。</t>
        </is>
      </c>
      <c r="I21" s="14" t="inlineStr">
        <is>
          <t>單騎突圍</t>
        </is>
      </c>
      <c r="J21" s="14" t="inlineStr">
        <is>
          <t>為救被圍的北海，太史慈獨自殺出敵陣。</t>
        </is>
      </c>
      <c r="K21" s="14" t="inlineStr">
        <is>
          <t>北海孔融被黃巾餘黨圍困，曾受其恩的太史慈獨自突圍，向劉備求援。劉備欣然說道「孔北海也知世間有劉備嗎」，隨即發兵。</t>
        </is>
      </c>
      <c r="L21" s="14" t="inlineStr">
        <is>
          <t>单骑突围</t>
        </is>
      </c>
      <c r="M21" s="14" t="inlineStr">
        <is>
          <t>为救被围的北海，太史慈独自杀穿敌阵。</t>
        </is>
      </c>
      <c r="N21" s="14" t="inlineStr">
        <is>
          <t>北海孔融被黄巾余党围困，受过恩惠的太史慈单骑突围，向刘备求援。刘备喜道「孔北海竟知世间有刘备」，当即发兵。</t>
        </is>
      </c>
      <c r="O21" s="14" t="inlineStr">
        <is>
          <t>Sozinho Através do Cerco</t>
        </is>
      </c>
      <c r="P21" s="14" t="inlineStr">
        <is>
          <t>Para salvar Beihai sitiada, Taishi Ci rompeu sozinho as linhas inimigas.</t>
        </is>
      </c>
      <c r="Q21" s="14" t="inlineStr">
        <is>
          <t>Kong Rong estava cercado em Beihai pelos restos dos Turbantes Amarelos, e Taishi Ci, que lhe devia favores, atravessou sozinho o cerco para pedir socorro a Liu Bei. “Kong de Beihai sabe quem é Liu Bei?”, alegrou-se este, e enviou tropas.</t>
        </is>
      </c>
      <c r="R21" s="14" t="inlineStr">
        <is>
          <t>Sozinho Através do Cerco</t>
        </is>
      </c>
      <c r="S21" s="14" t="inlineStr">
        <is>
          <t>Para salvar Beihai, Taishi Ci rompeu sozinho as linhas inimigas.</t>
        </is>
      </c>
      <c r="T21" s="14" t="inlineStr">
        <is>
          <t>Kong Rong estava cercado em Beihai por restos dos Turbantes Amarelos, e Taishi Ci, que lhe devia favores, rompeu sozinho o cerco para pedir socorro a Liu Bei. «Kong Beihai conhece este Liu Bei?», exclamou Liu Bei, satisfeito, antes de enviar tropas.</t>
        </is>
      </c>
      <c r="U21" s="14" t="inlineStr">
        <is>
          <t>Da solo attraverso l'assedio</t>
        </is>
      </c>
      <c r="V21" s="14" t="inlineStr">
        <is>
          <t>Per salvare Beihai assediata, Taishi Ci attraversò da solo le linee nemiche.</t>
        </is>
      </c>
      <c r="W21" s="14" t="inlineStr">
        <is>
          <t>Per Kong Rong, assediato a Beihai dai resti dei Turbanti Gialli, Taishi Ci, che gli doveva un favore, sfondò da solo l'assedio e chiese aiuto a Liu Bei. «Kong di Beihai conosce dunque Liu Bei?», esclamò questi lieto, e mandò le sue truppe.</t>
        </is>
      </c>
      <c r="X21" s="14" t="inlineStr">
        <is>
          <t>Solo a través del cerco</t>
        </is>
      </c>
      <c r="Y21" s="14" t="inlineStr">
        <is>
          <t>Para salvar a Beihai sitiada, Taishi Ci atravesó solo las líneas enemigas.</t>
        </is>
      </c>
      <c r="Z21" s="14" t="inlineStr">
        <is>
          <t>Por Kong Rong, sitiado en Beihai por restos de los Turbantes Amarillos, Taishi Ci, que le debía un favor, cruzó solo el cerco y fue a pedir ayuda a Liu Bei. «¿Kong de Beihai sabe quién es Liu Bei?», dijo este con alegría, y envió tropas.</t>
        </is>
      </c>
      <c r="AA21" s="14" t="inlineStr">
        <is>
          <t>Ганцаараа бүслэлтийг нэвтлэв</t>
        </is>
      </c>
      <c r="AB21" s="14" t="inlineStr">
        <is>
          <t>Бүслэгдсэн Бэйхайг аврахаар Тайши Цы ганцаараа дайсны эгнээг нэвтлэв.</t>
        </is>
      </c>
      <c r="AC21" s="14" t="inlineStr">
        <is>
          <t>Шар алчууртны үлдэгдэлд бүслэгдсэн Бэйхайн Кун Жунгийн төлөө, ачийг нь хүртсэн Тайши Цы ганцаараа бүслэлтийг нэвтлэн Лю Бэйгээс тусламж гуйв. Лю Бэй «Кун Бэйхай энэ Лю Бэйг мэддэг байх нь ээ» хэмээн баярлаж цэрэг гаргажээ.</t>
        </is>
      </c>
      <c r="AD21" s="14" t="inlineStr">
        <is>
          <t>太史慈救北海</t>
        </is>
      </c>
    </row>
    <row r="22">
      <c r="A22" t="n">
        <v>21</v>
      </c>
      <c r="B22" t="inlineStr">
        <is>
          <t>인중여포 마중적토</t>
        </is>
      </c>
      <c r="C22" s="14" t="inlineStr">
        <is>
          <t>Lü Bu and Red Hare</t>
        </is>
      </c>
      <c r="D22" s="14" t="inlineStr">
        <is>
          <t>The mightiest man of the age. Among men, Lü Bu; among horses, Red Hare.</t>
        </is>
      </c>
      <c r="E22" s="14" t="inlineStr">
        <is>
          <t>“Among men, Lü Bu; among horses, Red Hare.” With his sky-piercing halberd and Red Hare beneath him, Lü Bu was a warrior no one of his day could beat face to face. Yet he never heeded the counsel of Chen Gong, Gao Shun and Zhang Liao at his side.</t>
        </is>
      </c>
      <c r="F22" s="14" t="inlineStr">
        <is>
          <t>人中の呂布、馬中の赤兎</t>
        </is>
      </c>
      <c r="G22" s="14" t="inlineStr">
        <is>
          <t>三国志史上最強の男。人の中には呂布、馬の中には赤兎。</t>
        </is>
      </c>
      <c r="H22" s="14" t="inlineStr">
        <is>
          <t>「人中に呂布あり、馬中に赤兎あり」。方天画戟を手に赤兎馬にまたがる呂布は、当代の誰も正面からは勝てぬ武人であった。ただ、そばにいた陳宮・高順・張遼の言葉には最後まで耳を貸さなかった。</t>
        </is>
      </c>
      <c r="I22" s="14" t="inlineStr">
        <is>
          <t>人中呂布，馬中赤兔</t>
        </is>
      </c>
      <c r="J22" s="14" t="inlineStr">
        <is>
          <t>三國史上最強的男人。人中有呂布，馬中有赤兔。</t>
        </is>
      </c>
      <c r="K22" s="14" t="inlineStr">
        <is>
          <t>「人中呂布，馬中赤兔。」手持方天畫戟、胯下赤兔馬的呂布，是當世無人能正面擊敗的武人。只是他始終聽不進身邊陳宮、高順、張遼的話。</t>
        </is>
      </c>
      <c r="L22" s="14" t="inlineStr">
        <is>
          <t>人中吕布，马中赤兔</t>
        </is>
      </c>
      <c r="M22" s="14" t="inlineStr">
        <is>
          <t>三国史上最强的男人。人中吕布，马中赤兔。</t>
        </is>
      </c>
      <c r="N22" s="14" t="inlineStr">
        <is>
          <t>「人中吕布，马中赤兔。」手持方天画戟、跨骑赤兔马的吕布，当世无人能正面胜之。只是身边陈宫、高顺、张辽的话，他终究没有听。</t>
        </is>
      </c>
      <c r="O22" s="14" t="inlineStr">
        <is>
          <t>Lü Bu e o Lebre Vermelha</t>
        </is>
      </c>
      <c r="P22" s="14" t="inlineStr">
        <is>
          <t>O homem mais forte da história dos Três Reinos. Entre os homens, Lü Bu; entre os cavalos, Lebre Vermelha.</t>
        </is>
      </c>
      <c r="Q22" s="14" t="inlineStr">
        <is>
          <t>“Entre os homens, Lü Bu; entre os cavalos, Lebre Vermelha.” Com a alabarda celeste e montado no Lebre Vermelha, ninguém de sua época o venceu de frente. Mas nunca deu ouvidos a Chen Gong, Gao Shun e Zhang Liao, que estavam a seu lado.</t>
        </is>
      </c>
      <c r="R22" s="14" t="inlineStr">
        <is>
          <t>Entre os Homens, Lü Bu</t>
        </is>
      </c>
      <c r="S22" s="14" t="inlineStr">
        <is>
          <t>O homem mais forte da história dos Três Reinos. Entre os homens, Lü Bu; entre os cavalos, Lebre Vermelha.</t>
        </is>
      </c>
      <c r="T22" s="14" t="inlineStr">
        <is>
          <t>«Entre os homens, Lü Bu; entre os cavalos, Lebre Vermelha.» De alabarda celeste na mão e montado na Lebre Vermelha, Lü Bu foi um guerreiro que ninguém do seu tempo venceu frente a frente. Mas nunca escutou Chen Gong, Gao Shun nem Zhang Liao, que tinha ao seu lado.</t>
        </is>
      </c>
      <c r="U22" s="14" t="inlineStr">
        <is>
          <t>Lü Bu e Lepre Rossa</t>
        </is>
      </c>
      <c r="V22" s="14" t="inlineStr">
        <is>
          <t>L'uomo più forte della storia dei Tre Regni. Tra gli uomini Lü Bu, tra i cavalli Lepre Rossa.</t>
        </is>
      </c>
      <c r="W22" s="14" t="inlineStr">
        <is>
          <t>«Tra gli uomini, Lü Bu; tra i cavalli, Lepre Rossa.» Con l'alabarda celeste in pugno e in sella a Lepre Rossa, Lü Bu era un guerriero che nessuno del suo tempo poteva battere a viso aperto. Eppure non diede mai ascolto a chi gli stava accanto: Chen Gong, Gao Shun e Zhang Liao.</t>
        </is>
      </c>
      <c r="X22" s="14" t="inlineStr">
        <is>
          <t>Lü Bu y Liebre Roja, sin igual</t>
        </is>
      </c>
      <c r="Y22" s="14" t="inlineStr">
        <is>
          <t>El hombre más fuerte de la historia de los Tres Reinos. Entre los hombres, Lü Bu; entre los caballos, Liebre Roja.</t>
        </is>
      </c>
      <c r="Z22" s="14" t="inlineStr">
        <is>
          <t>«Entre los hombres, Lü Bu; entre los caballos, Liebre Roja.» Con su alabarda y a lomos de Liebre Roja, nadie de su tiempo lo venció cara a cara. Pero nunca escuchó a quienes tenía al lado: Chen Gong, Gao Shun y Zhang Liao.</t>
        </is>
      </c>
      <c r="AA22" s="14" t="inlineStr">
        <is>
          <t>Хүнд Люй Бу, морьд Читу</t>
        </is>
      </c>
      <c r="AB22" s="14" t="inlineStr">
        <is>
          <t>Гурван улсын түүхэн дэх хамгийн хүчит эр. Хүмүүсийн дунд Люй Бу, морьдын дунд Читу.</t>
        </is>
      </c>
      <c r="AC22" s="14" t="inlineStr">
        <is>
          <t>«Хүмүүсийн дунд Люй Бу, морьдын дунд Читу.» Сарвуу жийд барьж Читу морь унасан Люй Бу тухайн үед хэнд ч нүүр тулан ялагдаагүй дайчин байв. Гэвч хажууд нь байсан Чэнь Гун, Гао Шунь, Чжан Ляо нарын үгийг эцсээ хүртэл сонссонгүй.</t>
        </is>
      </c>
      <c r="AD22" s="14" t="inlineStr">
        <is>
          <t>人中吕布马中赤兔</t>
        </is>
      </c>
    </row>
    <row r="23">
      <c r="A23" t="n">
        <v>22</v>
      </c>
      <c r="B23" t="inlineStr">
        <is>
          <t>함진영</t>
        </is>
      </c>
      <c r="C23" s="14" t="inlineStr">
        <is>
          <t>No Line It Could Not Break</t>
        </is>
      </c>
      <c r="D23" s="14" t="inlineStr">
        <is>
          <t>Gao Shun's elite seven hundred, said to break every line they attacked.</t>
        </is>
      </c>
      <c r="E23" s="14" t="inlineStr">
        <is>
          <t>Lü Bu's general Gao Shun led seven hundred men so finely armed and armored that they were called the “Formation Breakers.” Whenever they attacked, the enemy line gave way — yet Lü Bu, though he trusted Gao Shun, never gave him real command.</t>
        </is>
      </c>
      <c r="F23" s="14" t="inlineStr">
        <is>
          <t>破れぬ陣はなし</t>
        </is>
      </c>
      <c r="G23" s="14" t="inlineStr">
        <is>
          <t>七百で攻めれば必ず打ち破ったという、高順の精鋭。</t>
        </is>
      </c>
      <c r="H23" s="14" t="inlineStr">
        <is>
          <t>呂布の将・高順は七百の兵を率い、鎧も武器も精鋭ぞろいで「陥陣営」と呼ばれた。攻めれば必ず敵陣を破ったが、呂布は彼を信じながらも、ついに重く用いることはなかった。</t>
        </is>
      </c>
      <c r="I23" s="14" t="inlineStr">
        <is>
          <t>無陣不破</t>
        </is>
      </c>
      <c r="J23" s="14" t="inlineStr">
        <is>
          <t>高順的精銳，以七百人攻擊必能破陣。</t>
        </is>
      </c>
      <c r="K23" s="14" t="inlineStr">
        <is>
          <t>呂布部將高順統領七百人，鎧甲兵器精良，號為「陷陣營」。所攻必破，但呂布雖然信任他，卻始終未加重用。</t>
        </is>
      </c>
      <c r="L23" s="14" t="inlineStr">
        <is>
          <t>无坚不摧</t>
        </is>
      </c>
      <c r="M23" s="14" t="inlineStr">
        <is>
          <t>高顺麾下七百精兵，凡攻必破。</t>
        </is>
      </c>
      <c r="N23" s="14" t="inlineStr">
        <is>
          <t>吕布部将高顺统兵七百，铠甲兵器精良，号为「陷阵营」。所攻无不破者，然而吕布虽信他，终究未加重用。</t>
        </is>
      </c>
      <c r="O23" s="14" t="inlineStr">
        <is>
          <t>Nenhuma Linha Resistiu</t>
        </is>
      </c>
      <c r="P23" s="14" t="inlineStr">
        <is>
          <t>Os setecentos de elite de Gao Shun, que rompiam qualquer linha que atacassem.</t>
        </is>
      </c>
      <c r="Q23" s="14" t="inlineStr">
        <is>
          <t>Gao Shun, general de Lü Bu, comandava setecentos homens de armas e armaduras tão finas que os chamavam de “Rompe-Fileiras”. Sempre que atacavam, rompiam o inimigo, mas Lü Bu, embora confiasse nele, nunca lhe deu o devido lugar.</t>
        </is>
      </c>
      <c r="R23" s="14" t="inlineStr">
        <is>
          <t>Nenhuma Formação Lhe Resistiu</t>
        </is>
      </c>
      <c r="S23" s="14" t="inlineStr">
        <is>
          <t>A elite de Gao Shun: setecentos homens que rompiam sempre as linhas inimigas.</t>
        </is>
      </c>
      <c r="T23" s="14" t="inlineStr">
        <is>
          <t>Gao Shun, general de Lü Bu, comandava setecentos homens tão bem armados e equipados que lhes chamavam o Batalhão que Rompe Fileiras. Sempre que atacavam, rompiam o inimigo; e no entanto Lü Bu, confiando nele, nunca lhe deu o lugar que merecia.</t>
        </is>
      </c>
      <c r="U23" s="14" t="inlineStr">
        <is>
          <t>Nessuna linea resiste</t>
        </is>
      </c>
      <c r="V23" s="14" t="inlineStr">
        <is>
          <t>I settecento scelti di Gao Shun, che spezzavano ogni schieramento che attaccavano.</t>
        </is>
      </c>
      <c r="W23" s="14" t="inlineStr">
        <is>
          <t>Gao Shun, generale di Lü Bu, guidava settecento uomini dalle armi e corazze eccellenti, detti «il Battaglione Sfondalinee». Ogni loro assalto spezzava le file nemiche, ma Lü Bu, pur fidandosi di lui, non gli diede mai il peso che meritava.</t>
        </is>
      </c>
      <c r="X23" s="14" t="inlineStr">
        <is>
          <t>No hubo línea que no rompieran</t>
        </is>
      </c>
      <c r="Y23" s="14" t="inlineStr">
        <is>
          <t>La élite de Gao Shun: con setecientos hombres, rompía cualquier línea que atacara.</t>
        </is>
      </c>
      <c r="Z23" s="14" t="inlineStr">
        <is>
          <t>Gao Shun, general de Lü Bu, mandaba a setecientos hombres tan bien armados que los llamaban «los Rompefilas». Cada vez que atacaban, deshacían al enemigo; sin embargo, Lü Bu confiaba en él y nunca le dio el lugar que merecía.</t>
        </is>
      </c>
      <c r="AA23" s="14" t="inlineStr">
        <is>
          <t>Эвдэж чадаагүй эгнээ гэж үгүй</t>
        </is>
      </c>
      <c r="AB23" s="14" t="inlineStr">
        <is>
          <t>Долоон зуулаа довтолбол заавал эвддэг байсан Гао Шунийн шилдэг цэрэг.</t>
        </is>
      </c>
      <c r="AC23" s="14" t="inlineStr">
        <is>
          <t>Люй Бугийн жанжин Гао Шунь долоон зуун цэрэг захирдаг байсан бөгөөд хуяг зэвсэг нь шилдэг тул «Эгнээ эвдэгч хуаран» хэмээн нэрлэгджээ. Довтолбол заавал дайсны эгнээг эвддэг байсан ч Люй Бу түүнд итгэсээр байж эцсээ хүртэл чухал үүрэг өгсөнгүй.</t>
        </is>
      </c>
      <c r="AD23" s="14" t="inlineStr">
        <is>
          <t>陷阵营</t>
        </is>
      </c>
    </row>
    <row r="24">
      <c r="A24" t="n">
        <v>23</v>
      </c>
      <c r="B24" t="inlineStr">
        <is>
          <t>하비성 백문루</t>
        </is>
      </c>
      <c r="C24" s="14" t="inlineStr">
        <is>
          <t>Lü Bu Bound at White Gate</t>
        </is>
      </c>
      <c r="D24" s="14" t="inlineStr">
        <is>
          <t>His men turned against him, and Lü Bu was bound at the White Gate Tower.</t>
        </is>
      </c>
      <c r="E24" s="14" t="inlineStr">
        <is>
          <t>When Cao Cao breached the Si and Yi rivers to flood Xiapi, Lü Bu's officers turned on him. Hou Cheng, Song Xian and Wei Xu bound Chen Gong and handed him over, and Lü Bu was captured at the White Gate Tower and put to death.</t>
        </is>
      </c>
      <c r="F24" s="14" t="inlineStr">
        <is>
          <t>呂布、白門楼に縛らる</t>
        </is>
      </c>
      <c r="G24" s="14" t="inlineStr">
        <is>
          <t>部下に背かれ、呂布は白門楼で縛られた。</t>
        </is>
      </c>
      <c r="H24" s="14" t="inlineStr">
        <is>
          <t>曹操が泗水と沂水を切って下邳城を水攻めにすると、呂布の部下たちは背を向けた。侯成・宋憲・魏続が陳宮を縛って差し出し、呂布は白門楼で捕らえられ命を落とした。</t>
        </is>
      </c>
      <c r="I24" s="14" t="inlineStr">
        <is>
          <t>呂布受縛白門樓</t>
        </is>
      </c>
      <c r="J24" s="14" t="inlineStr">
        <is>
          <t>部下紛紛倒戈，呂布在白門樓被縛。</t>
        </is>
      </c>
      <c r="K24" s="14" t="inlineStr">
        <is>
          <t>曹操決泗水、沂水灌下邳城，呂布的部下紛紛倒戈。侯成、宋憲、魏續綁了陳宮獻上，呂布在白門樓被擒，終於喪命。</t>
        </is>
      </c>
      <c r="L24" s="14" t="inlineStr">
        <is>
          <t>吕布被缚白门楼</t>
        </is>
      </c>
      <c r="M24" s="14" t="inlineStr">
        <is>
          <t>部下纷纷倒戈，吕布被缚于白门楼。</t>
        </is>
      </c>
      <c r="N24" s="14" t="inlineStr">
        <is>
          <t>曹操决泗水、沂水淹灌下邳，吕布部下纷纷倒戈。侯成、宋宪、魏续绑了陈宫献出，吕布在白门楼被擒，丢了性命。</t>
        </is>
      </c>
      <c r="O24" s="14" t="inlineStr">
        <is>
          <t>Lü Bu Amarrado em Baimen</t>
        </is>
      </c>
      <c r="P24" s="14" t="inlineStr">
        <is>
          <t>Seus homens se voltaram contra ele, e Lü Bu foi amarrado na Torre Baimen.</t>
        </is>
      </c>
      <c r="Q24" s="14" t="inlineStr">
        <is>
          <t>Cao Cao rompeu os rios Si e Yi e inundou Xiapi, e os homens de Lü Bu se voltaram contra ele. Hou Cheng, Song Xian e Wei Xu amarraram Chen Gong e o entregaram, e Lü Bu, capturado na Torre Baimen, perdeu a vida.</t>
        </is>
      </c>
      <c r="R24" s="14" t="inlineStr">
        <is>
          <t>Lü Bu Amarrado na Torre Branca</t>
        </is>
      </c>
      <c r="S24" s="14" t="inlineStr">
        <is>
          <t>Os seus homens viraram-lhe as costas, e Lü Bu foi amarrado na Torre da Porta Branca.</t>
        </is>
      </c>
      <c r="T24" s="14" t="inlineStr">
        <is>
          <t>Quando Cao Cao rompeu os diques dos rios Si e Yi e inundou Xiapi, os homens de Lü Bu viraram-lhe as costas. Hou Cheng, Song Xian e Wei Xu entregaram Chen Gong amarrado, e Lü Bu, capturado na Torre da Porta Branca, perdeu a vida.</t>
        </is>
      </c>
      <c r="U24" s="14" t="inlineStr">
        <is>
          <t>Lü Bu legato alla Porta Bianca</t>
        </is>
      </c>
      <c r="V24" s="14" t="inlineStr">
        <is>
          <t>I suoi uomini gli voltarono le spalle, e Lü Bu fu legato alla Torre della Porta Bianca.</t>
        </is>
      </c>
      <c r="W24" s="14" t="inlineStr">
        <is>
          <t>Quando Cao Cao ruppe gli argini dei fiumi Si e Yi e allagò Xiapi, gli uomini di Lü Bu gli voltarono le spalle. Hou Cheng, Song Xian e Wei Xu consegnarono Chen Gong legato, e Lü Bu, catturato alla Torre della Porta Bianca, perse la vita.</t>
        </is>
      </c>
      <c r="X24" s="14" t="inlineStr">
        <is>
          <t>Lü Bu, atado en la Puerta Blanca</t>
        </is>
      </c>
      <c r="Y24" s="14" t="inlineStr">
        <is>
          <t>Sus hombres le dieron la espalda, y Lü Bu acabó atado en la Torre de la Puerta Blanca.</t>
        </is>
      </c>
      <c r="Z24" s="14" t="inlineStr">
        <is>
          <t>Cao Cao desvió los ríos Si e Yi para inundar Xiapi, y los hombres de Lü Bu le dieron la espalda. Hou Cheng, Song Xian y Wei Xu ataron a Chen Gong y lo entregaron; Lü Bu fue capturado en la Torre de la Puerta Blanca y perdió la vida.</t>
        </is>
      </c>
      <c r="AA24" s="14" t="inlineStr">
        <is>
          <t>Люй Бу Байменьлоуд хүлэгдэв</t>
        </is>
      </c>
      <c r="AB24" s="14" t="inlineStr">
        <is>
          <t>Хүмүүс нь нүүр буруулж, Люй Бу Байменьлоуд хүлэгдэв.</t>
        </is>
      </c>
      <c r="AC24" s="14" t="inlineStr">
        <is>
          <t>Цао Цао Сы, И голуудын далан нурааж Сяпи хотыг усанд живүүлэхэд Люй Бугийн хүмүүс нүүр буруулав. Хоу Чэн, Сун Сянь, Вэй Сюй нар Чэнь Гуныг хүлж барьж өгч, Люй Бу Байменьлоуд баригдан амиа алджээ.</t>
        </is>
      </c>
      <c r="AD24" s="14" t="inlineStr">
        <is>
          <t>白门楼</t>
        </is>
      </c>
    </row>
    <row r="25">
      <c r="A25" t="n">
        <v>24</v>
      </c>
      <c r="B25" t="inlineStr">
        <is>
          <t>진등 부자</t>
        </is>
      </c>
      <c r="C25" s="14" t="inlineStr">
        <is>
          <t>Father and Son of Two Faces</t>
        </is>
      </c>
      <c r="D25" s="14" t="inlineStr">
        <is>
          <t>Outwardly Chen Deng served Lü Bu; inwardly he was in league with Cao Cao.</t>
        </is>
      </c>
      <c r="E25" s="14" t="inlineStr">
        <is>
          <t>Chen Gui and his son Chen Deng of Xuzhou served Lü Bu in public while secretly working with Cao Cao. The seal of Grand Administrator of Guangling that Chen Deng received from Cao Cao became the last link in Lü Bu's downfall.</t>
        </is>
      </c>
      <c r="F25" s="14" t="inlineStr">
        <is>
          <t>二つの顔の父子</t>
        </is>
      </c>
      <c r="G25" s="14" t="inlineStr">
        <is>
          <t>陳登は表向き呂布に仕え、裏では曹操と手を結んでいた。</t>
        </is>
      </c>
      <c r="H25" s="14" t="inlineStr">
        <is>
          <t>徐州の陳珪・陳登父子は、表では呂布に仕えながら裏で曹操と通じていた。陳登が曹操から受けた広陵太守の印綬が、呂布を倒す最後の鎖となった。</t>
        </is>
      </c>
      <c r="I25" s="14" t="inlineStr">
        <is>
          <t>兩面的父子</t>
        </is>
      </c>
      <c r="J25" s="14" t="inlineStr">
        <is>
          <t>陳登表面事奉呂布，暗中與曹操聯手。</t>
        </is>
      </c>
      <c r="K25" s="14" t="inlineStr">
        <is>
          <t>徐州的陳珪、陳登父子表面事奉呂布，暗中與曹操相通。陳登從曹操手中接過的廣陵太守印綬，成了擊垮呂布的最後一環。</t>
        </is>
      </c>
      <c r="L25" s="14" t="inlineStr">
        <is>
          <t>两副面孔的父子</t>
        </is>
      </c>
      <c r="M25" s="14" t="inlineStr">
        <is>
          <t>陈登表面侍奉吕布，暗中与曹操联手。</t>
        </is>
      </c>
      <c r="N25" s="14" t="inlineStr">
        <is>
          <t>徐州的陈珪、陈登父子表面侍奉吕布，暗中与曹操相通。陈登从曹操手中接过的广陵太守印绶，成了扳倒吕布的最后一环。</t>
        </is>
      </c>
      <c r="O25" s="14" t="inlineStr">
        <is>
          <t>Pai e Filho de Duas Caras</t>
        </is>
      </c>
      <c r="P25" s="14" t="inlineStr">
        <is>
          <t>Por fora, Chen Deng servia Lü Bu; por dentro, aliava-se a Cao Cao.</t>
        </is>
      </c>
      <c r="Q25" s="14" t="inlineStr">
        <is>
          <t>Em Xu, Chen Gui e seu filho Chen Deng serviam Lü Bu por fora e tramavam com Cao Cao por dentro. O selo de governador de Guangling que Chen Deng recebeu de Cao Cao foi o último elo da queda de Lü Bu.</t>
        </is>
      </c>
      <c r="R25" s="14" t="inlineStr">
        <is>
          <t>Pai e Filho de Duas Caras</t>
        </is>
      </c>
      <c r="S25" s="14" t="inlineStr">
        <is>
          <t>Por fora, Chen Deng servia Lü Bu; por dentro, estava com Cao Cao.</t>
        </is>
      </c>
      <c r="T25" s="14" t="inlineStr">
        <is>
          <t>Chen Gui e o filho Chen Deng, de Xuzhou, serviam Lü Bu em aparência e entendiam-se em segredo com Cao Cao. O selo de governador de Guangling que Chen Deng recebeu de Cao Cao foi o último elo que derrubou Lü Bu.</t>
        </is>
      </c>
      <c r="U25" s="14" t="inlineStr">
        <is>
          <t>Padre e figlio dalla doppia faccia</t>
        </is>
      </c>
      <c r="V25" s="14" t="inlineStr">
        <is>
          <t>In apparenza Chen Deng serviva Lü Bu, in segreto si era alleato con Cao Cao.</t>
        </is>
      </c>
      <c r="W25" s="14" t="inlineStr">
        <is>
          <t>Chen Gui e Chen Deng, padre e figlio di Xuzhou, servivano in apparenza Lü Bu ma tramavano con Cao Cao. Il sigillo di governatore di Guangling che Chen Deng ricevette da Cao Cao fu l'ultimo anello della caduta di Lü Bu.</t>
        </is>
      </c>
      <c r="X25" s="14" t="inlineStr">
        <is>
          <t>Padre e hijo de dos caras</t>
        </is>
      </c>
      <c r="Y25" s="14" t="inlineStr">
        <is>
          <t>Chen Deng servía a Lü Bu por fuera y por dentro se aliaba con Cao Cao.</t>
        </is>
      </c>
      <c r="Z25" s="14" t="inlineStr">
        <is>
          <t>Chen Gui y su hijo Chen Deng, de Xu, servían en apariencia a Lü Bu mientras se entendían en secreto con Cao Cao. El sello de gobernador de Guangling que Chen Deng recibió de Cao Cao fue el último eslabón de la caída de Lü Bu.</t>
        </is>
      </c>
      <c r="AA25" s="14" t="inlineStr">
        <is>
          <t>Хоёр нүүртэй эцэг хүү</t>
        </is>
      </c>
      <c r="AB25" s="14" t="inlineStr">
        <is>
          <t>Чэнь Дэн гаднаа Люй Буд зүтгэж, дотроо Цао Цаотой гар нийлэв.</t>
        </is>
      </c>
      <c r="AC25" s="14" t="inlineStr">
        <is>
          <t>Сюйчжоугийн Чэнь Гуй, Чэнь Дэн эцэг хүү гаднаа Люй Буд зүтгэж, дотроо Цао Цаотой холбоотой байв. Чэнь Дэнгийн Цао Цаогоос авсан Гуанлины захирагчийн тамга Люй Буг унагасан сүүлчийн гинж болжээ.</t>
        </is>
      </c>
      <c r="AD25" s="14" t="inlineStr">
        <is>
          <t>陈登父子</t>
        </is>
      </c>
    </row>
    <row r="26">
      <c r="A26" t="n">
        <v>25</v>
      </c>
      <c r="B26" t="inlineStr">
        <is>
          <t>원술 칭제</t>
        </is>
      </c>
      <c r="C26" s="14" t="inlineStr">
        <is>
          <t>A Bowl of Honey Water</t>
        </is>
      </c>
      <c r="D26" s="14" t="inlineStr">
        <is>
          <t>He clutched the seal and called himself emperor, but in the end begged for a bowl of honey water.</t>
        </is>
      </c>
      <c r="E26" s="14" t="inlineStr">
        <is>
          <t>Having seized the seal Sun Jian left behind, Yuan Shu proclaimed himself emperor at Shouchun. But his extravagance and misrule turned people and officers against him, and at the last he died vomiting blood, asking for a bowl of honey water.</t>
        </is>
      </c>
      <c r="F26" s="14" t="inlineStr">
        <is>
          <t>一杯の蜜水</t>
        </is>
      </c>
      <c r="G26" s="14" t="inlineStr">
        <is>
          <t>玉璽を抱いて帝を称したが、最期には一杯の蜜水を求めた。</t>
        </is>
      </c>
      <c r="H26" s="14" t="inlineStr">
        <is>
          <t>孫堅の遺した玉璽を手に入れた袁術は、寿春で自ら皇帝を称した。だが奢侈と失政に民も将も背を向け、最期には一杯の蜜水を求めて血を吐き死んだ。</t>
        </is>
      </c>
      <c r="I26" s="14" t="inlineStr">
        <is>
          <t>一碗蜜水</t>
        </is>
      </c>
      <c r="J26" s="14" t="inlineStr">
        <is>
          <t>懷揣玉璽自稱天子，臨終卻只求一碗蜜水。</t>
        </is>
      </c>
      <c r="K26" s="14" t="inlineStr">
        <is>
          <t>得到孫堅遺下玉璽的袁術，在壽春自立為帝。然而奢侈失政，百姓與將領紛紛離心，最後他想要一碗蜜水而不可得，吐血而死。</t>
        </is>
      </c>
      <c r="L26" s="14" t="inlineStr">
        <is>
          <t>一碗蜜水</t>
        </is>
      </c>
      <c r="M26" s="14" t="inlineStr">
        <is>
          <t>怀揣玉玺称帝，临终却只想要一碗蜜水。</t>
        </is>
      </c>
      <c r="N26" s="14" t="inlineStr">
        <is>
          <t>得到孙坚留下玉玺的袁术，在寿春自立为帝。然而奢靡失政，百姓与将领离心，最后他求一碗蜜水而不得，吐血而亡。</t>
        </is>
      </c>
      <c r="O26" s="14" t="inlineStr">
        <is>
          <t>Uma Tigela de Água com Mel</t>
        </is>
      </c>
      <c r="P26" s="14" t="inlineStr">
        <is>
          <t>Com o selo nas mãos, proclamou-se imperador, mas no fim só pedia uma tigela de água com mel.</t>
        </is>
      </c>
      <c r="Q26" s="14" t="inlineStr">
        <is>
          <t>De posse do selo deixado por Sun Jian, Yuan Shu proclamou-se imperador em Shouchun. Mas seu luxo e desgoverno afastaram povo e generais, e no fim morreu cuspindo sangue, pedindo uma tigela de água com mel.</t>
        </is>
      </c>
      <c r="R26" s="14" t="inlineStr">
        <is>
          <t>Uma Taça de Água com Mel</t>
        </is>
      </c>
      <c r="S26" s="14" t="inlineStr">
        <is>
          <t>Proclamou-se imperador com o selo ao peito, mas no fim só pedia uma taça de água com mel.</t>
        </is>
      </c>
      <c r="T26" s="14" t="inlineStr">
        <is>
          <t>Na posse do selo deixado por Sun Jian, Yuan Shu proclamou-se imperador em Shouchun. Mas o luxo e o mau governo afastaram dele o povo e os generais, e no fim morreu a cuspir sangue, a pedir uma taça de água com mel.</t>
        </is>
      </c>
      <c r="U26" s="14" t="inlineStr">
        <is>
          <t>Una ciotola d'acqua e miele</t>
        </is>
      </c>
      <c r="V26" s="14" t="inlineStr">
        <is>
          <t>Si proclamò imperatore stringendo il sigillo, ma alla fine chiedeva solo una ciotola d'acqua e miele.</t>
        </is>
      </c>
      <c r="W26" s="14" t="inlineStr">
        <is>
          <t>Impadronitosi del sigillo lasciato da Sun Jian, Yuan Shu si proclamò imperatore a Shouchun. Ma il lusso e il malgoverno gli alienarono popolo e generali, e alla fine morì vomitando sangue mentre chiedeva una ciotola d'acqua e miele.</t>
        </is>
      </c>
      <c r="X26" s="14" t="inlineStr">
        <is>
          <t>Un cuenco de agua con miel</t>
        </is>
      </c>
      <c r="Y26" s="14" t="inlineStr">
        <is>
          <t>Se proclamó emperador con el sello en el pecho, y al final solo pidió un cuenco de agua con miel.</t>
        </is>
      </c>
      <c r="Z26" s="14" t="inlineStr">
        <is>
          <t>Con el sello que dejó Sun Jian en su poder, Yuan Shu se proclamó emperador en Shouchun. Pero su lujo y su mal gobierno le pusieron en contra al pueblo y a sus generales, y al final murió vomitando sangre mientras pedía un cuenco de agua con miel.</t>
        </is>
      </c>
      <c r="AA26" s="14" t="inlineStr">
        <is>
          <t>Нэг аяга балны ус</t>
        </is>
      </c>
      <c r="AB26" s="14" t="inlineStr">
        <is>
          <t>Тамгыг тэвэрч хаан хэмээн өргөмжилсөн ч эцэст нь нэг аяга балны ус гуйв.</t>
        </is>
      </c>
      <c r="AC26" s="14" t="inlineStr">
        <is>
          <t>Сунь Цзяний үлдээсэн хаш тамгыг олж авсан Юань Шу Шоучуньд өөрийгөө хаан хэмээн зарлав. Гэвч тансаглал, муу засаглалаас болж ард түмэн, жанжид нь нүүр буруулж, эцэст нь нэг аяга балны ус гуйсаар цус бөөлжин нас баржээ.</t>
        </is>
      </c>
      <c r="AD26" s="14" t="inlineStr">
        <is>
          <t>袁术称帝</t>
        </is>
      </c>
    </row>
    <row r="27">
      <c r="A27" t="n">
        <v>26</v>
      </c>
      <c r="B27" t="inlineStr">
        <is>
          <t>역경 함락</t>
        </is>
      </c>
      <c r="C27" s="14" t="inlineStr">
        <is>
          <t>The Burning Tower</t>
        </is>
      </c>
      <c r="D27" s="14" t="inlineStr">
        <is>
          <t>Hiding in his high tower, Gongsun Zan set it ablaze as Yuan Shao's men tunneled in.</t>
        </is>
      </c>
      <c r="E27" s="14" t="inlineStr">
        <is>
          <t>Driven back by Yuan Shao, Gongsun Zan built towers dozens of yards high at Yijing and shut himself away. When Yuan Shao's army tunneled beneath and brought the towers down, Gongsun Zan killed his wife and children and set himself on fire.</t>
        </is>
      </c>
      <c r="F27" s="14" t="inlineStr">
        <is>
          <t>燃える楼台</t>
        </is>
      </c>
      <c r="G27" s="14" t="inlineStr">
        <is>
          <t>高楼にこもった公孫瓚は、地下道を掘った袁紹軍を前に自ら火を放った。</t>
        </is>
      </c>
      <c r="H27" s="14" t="inlineStr">
        <is>
          <t>袁紹に押された公孫瓚は易京に高さ数十丈の楼台を築いて立てこもった。袁紹軍が地下道を掘って楼台を崩すと、公孫瓚は妻子を殺し、自ら火を放った。</t>
        </is>
      </c>
      <c r="I27" s="14" t="inlineStr">
        <is>
          <t>燃燒的高樓</t>
        </is>
      </c>
      <c r="J27" s="14" t="inlineStr">
        <is>
          <t>藏身高樓的公孫瓚，在挖地道而來的袁紹軍面前自焚。</t>
        </is>
      </c>
      <c r="K27" s="14" t="inlineStr">
        <is>
          <t>被袁紹逼退的公孫瓚在易京築起數十丈高樓，閉門不出。袁紹軍挖地道攻入、弄塌高樓，公孫瓚殺了妻兒，引火自焚。</t>
        </is>
      </c>
      <c r="L27" s="14" t="inlineStr">
        <is>
          <t>燃烧的高楼</t>
        </is>
      </c>
      <c r="M27" s="14" t="inlineStr">
        <is>
          <t>躲在高楼中的公孙瓒，面对挖来地道的袁绍军，亲手放了火。</t>
        </is>
      </c>
      <c r="N27" s="14" t="inlineStr">
        <is>
          <t>被袁绍击败的公孙瓒在易京筑起数十丈高楼，闭门固守。袁绍军挖地道攻入，推倒楼台，公孙瓒杀死妻儿，引火自焚。</t>
        </is>
      </c>
      <c r="O27" s="14" t="inlineStr">
        <is>
          <t>A Torre em Chamas</t>
        </is>
      </c>
      <c r="P27" s="14" t="inlineStr">
        <is>
          <t>Gongsun Zan, refugiado numa torre alta, ateou fogo a si mesmo diante dos túneis de Yuan Shao.</t>
        </is>
      </c>
      <c r="Q27" s="14" t="inlineStr">
        <is>
          <t>Acuado por Yuan Shao, Gongsun Zan ergueu em Yijing torres de dezenas de metros e se trancou nelas. Quando os soldados de Yuan Shao cavaram túneis e derrubaram as torres, Gongsun Zan matou a família e ateou fogo a si mesmo.</t>
        </is>
      </c>
      <c r="R27" s="14" t="inlineStr">
        <is>
          <t>A Torre em Chamas</t>
        </is>
      </c>
      <c r="S27" s="14" t="inlineStr">
        <is>
          <t>Escondido numa alta torre, Gongsun Zan pegou-lhe fogo quando o exército de Yuan Shao chegou pelos túneis.</t>
        </is>
      </c>
      <c r="T27" s="14" t="inlineStr">
        <is>
          <t>Encurralado por Yuan Shao, Gongsun Zan fechou-se em Yijing, numa torre com dezenas de braças de altura. Quando os soldados de Yuan Shao cavaram túneis e a fizeram ruir, Gongsun Zan matou a mulher e os filhos e pegou fogo a si próprio.</t>
        </is>
      </c>
      <c r="U27" s="14" t="inlineStr">
        <is>
          <t>La torre in fiamme</t>
        </is>
      </c>
      <c r="V27" s="14" t="inlineStr">
        <is>
          <t>Nascosto nella sua alta torre, Gongsun Zan si diede fuoco davanti ai cunicoli di Yuan Shao.</t>
        </is>
      </c>
      <c r="W27" s="14" t="inlineStr">
        <is>
          <t>Incalzato da Yuan Shao, Gongsun Zan si rinchiuse a Yijing in torri alte decine di braccia. Quando le truppe di Yuan Shao scavarono cunicoli e fecero crollare le torri, Gongsun Zan uccise moglie e figli e si diede fuoco.</t>
        </is>
      </c>
      <c r="X27" s="14" t="inlineStr">
        <is>
          <t>La torre en llamas</t>
        </is>
      </c>
      <c r="Y27" s="14" t="inlineStr">
        <is>
          <t>Encerrado en su alta torre, Gongsun Zan se prendió fuego ante los túneles de Yuan Shao.</t>
        </is>
      </c>
      <c r="Z27" s="14" t="inlineStr">
        <is>
          <t>Acosado por Yuan Shao, Gongsun Zan se encerró en Yijing tras torres de decenas de metros. Cuando las tropas de Yuan Shao cavaron túneles y derribaron las torres, mató a su familia y se prendió fuego.</t>
        </is>
      </c>
      <c r="AA27" s="14" t="inlineStr">
        <is>
          <t>Шатаж буй цамхаг</t>
        </is>
      </c>
      <c r="AB27" s="14" t="inlineStr">
        <is>
          <t>Өндөр цамхагт нуугдсан Гунсунь Цзань хонгил ухсан Юань Шаогийн цэргийн өмнө өөрөө гал тавив.</t>
        </is>
      </c>
      <c r="AC27" s="14" t="inlineStr">
        <is>
          <t>Юань Шаод шахагдсан Гунсунь Цзань Ицзинд хэдэн арван чжан өндөр цамхаг босгож түгжигдэв. Юань Шаогийн цэрэг хонгил ухаж орж цамхгийг нураахад Гунсунь Цзань эхнэр хүүхдээ хөнөөж, өөрөө гал тавьжээ.</t>
        </is>
      </c>
      <c r="AD27" s="14" t="inlineStr">
        <is>
          <t>易京陷落</t>
        </is>
      </c>
    </row>
    <row r="28">
      <c r="A28" t="n">
        <v>27</v>
      </c>
      <c r="B28" t="inlineStr">
        <is>
          <t>신정산의 일기토</t>
        </is>
      </c>
      <c r="C28" s="14" t="inlineStr">
        <is>
          <t>Sun Ce Meets Taishi Ci</t>
        </is>
      </c>
      <c r="D28" s="14" t="inlineStr">
        <is>
          <t>Taishi Ci took up his twin halberds and clashed with the Little Conqueror.</t>
        </is>
      </c>
      <c r="E28" s="14" t="inlineStr">
        <is>
          <t>Running into Sun Ce scouting at Mount Shenting, Taishi Ci charged him alone. The two tumbled from their horses and grappled — Sun Ce seized Taishi Ci's short halberd, Taishi Ci seized Sun Ce's helmet. Taishi Ci later became Sun Ce's officer.</t>
        </is>
      </c>
      <c r="F28" s="14" t="inlineStr">
        <is>
          <t>孫策と太史慈、相打つ</t>
        </is>
      </c>
      <c r="G28" s="14" t="inlineStr">
        <is>
          <t>太史慈は二本の戟を手に、小覇王と渡り合った。</t>
        </is>
      </c>
      <c r="H28" s="14" t="inlineStr">
        <is>
          <t>神亭山で偵察中の孫策と出くわした太史慈は、ただ一人で打ちかかった。二人は落馬して組み合い、孫策は太史慈の短戟を、太史慈は孫策の兜を奪った。のちに太史慈は孫策の将となった。</t>
        </is>
      </c>
      <c r="I28" s="14" t="inlineStr">
        <is>
          <t>孫策對決太史慈</t>
        </is>
      </c>
      <c r="J28" s="14" t="inlineStr">
        <is>
          <t>太史慈手持雙戟，與小霸王正面交鋒。</t>
        </is>
      </c>
      <c r="K28" s="14" t="inlineStr">
        <is>
          <t>在神亭山偵察的孫策與太史慈不期而遇，太史慈獨自衝了上去。兩人雙雙墜馬扭打，孫策奪下太史慈的短戟，太史慈搶走孫策的頭盔。後來太史慈成了孫策的部將。</t>
        </is>
      </c>
      <c r="L28" s="14" t="inlineStr">
        <is>
          <t>孙策与太史慈交锋</t>
        </is>
      </c>
      <c r="M28" s="14" t="inlineStr">
        <is>
          <t>太史慈手持双戟，与小霸王正面交锋。</t>
        </is>
      </c>
      <c r="N28" s="14" t="inlineStr">
        <is>
          <t>在神亭山遇上侦察中的孙策，太史慈单身冲了上去。二人跌下马扭打在一起，孙策夺了太史慈的短戟，太史慈抢了孙策的头盔。此后太史慈成了孙策的部将。</t>
        </is>
      </c>
      <c r="O28" s="14" t="inlineStr">
        <is>
          <t>Sun Ce e Taishi Ci se Enfrentam</t>
        </is>
      </c>
      <c r="P28" s="14" t="inlineStr">
        <is>
          <t>Com duas lanças curtas, Taishi Ci enfrentou o Pequeno Conquistador.</t>
        </is>
      </c>
      <c r="Q28" s="14" t="inlineStr">
        <is>
          <t>No monte Shenting, Taishi Ci deu de frente com Sun Ce em reconhecimento e investiu sozinho. Os dois caíram dos cavalos e rolaram engalfinhados; Sun Ce tomou a lança curta de Taishi Ci, e este, o elmo de Sun Ce. Depois, Taishi Ci tornou-se general de Sun Ce.</t>
        </is>
      </c>
      <c r="R28" s="14" t="inlineStr">
        <is>
          <t>Sun Ce e Taishi Ci Frente a Frente</t>
        </is>
      </c>
      <c r="S28" s="14" t="inlineStr">
        <is>
          <t>De duas alabardas curtas na mão, Taishi Ci enfrentou o Pequeno Conquistador.</t>
        </is>
      </c>
      <c r="T28" s="14" t="inlineStr">
        <is>
          <t>Ao dar com Sun Ce em reconhecimento no monte Shenting, Taishi Ci atirou-se sozinho a ele. Os dois caíram dos cavalos engalfinhados; Sun Ce arrancou-lhe a alabarda curta e Taishi Ci arrancou-lhe o elmo. Mais tarde, Taishi Ci tornou-se general de Sun Ce.</t>
        </is>
      </c>
      <c r="U28" s="14" t="inlineStr">
        <is>
          <t>Sun Ce contro Taishi Ci</t>
        </is>
      </c>
      <c r="V28" s="14" t="inlineStr">
        <is>
          <t>Taishi Ci affrontò il Piccolo Conquistatore con due alabarde in pugno.</t>
        </is>
      </c>
      <c r="W28" s="14" t="inlineStr">
        <is>
          <t>Sul monte Shenting, Taishi Ci si imbatté in Sun Ce in ricognizione e lo attaccò da solo. I due caddero da cavallo avvinghiati: Sun Ce gli strappò l'alabarda corta, Taishi Ci l'elmo di Sun Ce. In seguito Taishi Ci divenne un generale di Sun Ce.</t>
        </is>
      </c>
      <c r="X28" s="14" t="inlineStr">
        <is>
          <t>Sun Ce contra Taishi Ci</t>
        </is>
      </c>
      <c r="Y28" s="14" t="inlineStr">
        <is>
          <t>Con dos alabardas cortas, Taishi Ci se batió con el Pequeño Conquistador.</t>
        </is>
      </c>
      <c r="Z28" s="14" t="inlineStr">
        <is>
          <t>En el monte Shenting, Taishi Ci se topó con Sun Ce, que estaba de reconocimiento, y lo atacó solo. Cayeron del caballo enzarzados: Sun Ce le arrancó la alabarda corta y Taishi Ci, el yelmo. Después, Taishi Ci se hizo general de Sun Ce.</t>
        </is>
      </c>
      <c r="AA28" s="14" t="inlineStr">
        <is>
          <t>Сунь Цэ, Тайши Цы тулав</t>
        </is>
      </c>
      <c r="AB28" s="14" t="inlineStr">
        <is>
          <t>Тайши Цы хоёр жийд барьж Бага хаантай тулав.</t>
        </is>
      </c>
      <c r="AC28" s="14" t="inlineStr">
        <is>
          <t>Шэньтин уулд тагнуул хийж явсан Сунь Цэтэй тааралдсан Тайши Цы ганцаараа дайрав. Хоёул мориноосоо унаж ноцолдон, Сунь Цэ Тайши Цыгийн богино жийдийг, Тайши Цы Сунь Цэгийн дуулгыг булаав. Түүнээс хойш Тайши Цы Сунь Цэгийн жанжин болжээ.</t>
        </is>
      </c>
      <c r="AD28" s="14" t="inlineStr">
        <is>
          <t>神亭山一骑讨</t>
        </is>
      </c>
    </row>
    <row r="29">
      <c r="A29" t="n">
        <v>28</v>
      </c>
      <c r="B29" t="inlineStr">
        <is>
          <t>내사는 장소에게</t>
        </is>
      </c>
      <c r="C29" s="14" t="inlineStr">
        <is>
          <t>Ask Zhang Zhao, Ask Zhou Yu</t>
        </is>
      </c>
      <c r="D29" s="14" t="inlineStr">
        <is>
          <t>“For matters within, ask Zhang Zhao; for matters without, ask Zhou Yu.” — Sun Ce's last words.</t>
        </is>
      </c>
      <c r="E29" s="14" t="inlineStr">
        <is>
          <t>Struck down by an assassin's arrow, Sun Ce passed his seal to his eighteen-year-old brother Sun Quan. “For matters within, ask Zhang Zhao; for matters without, ask Zhou Yu” — and with those two, Sun Quan held Jiangdong.</t>
        </is>
      </c>
      <c r="F29" s="14" t="inlineStr">
        <is>
          <t>内は張昭、外は周瑜</t>
        </is>
      </c>
      <c r="G29" s="14" t="inlineStr">
        <is>
          <t>「内のことは張昭に、外のことは周瑜に問え」――孫策の遺言。</t>
        </is>
      </c>
      <c r="H29" s="14" t="inlineStr">
        <is>
          <t>刺客の矢に倒れた孫策は、十八歳の弟・孫権に印綬を譲った。「内のことは張昭に、外のことは周瑜に問え」――孫権はその二人とともに江東を守り抜いた。</t>
        </is>
      </c>
      <c r="I29" s="14" t="inlineStr">
        <is>
          <t>內問張昭，外問周瑜</t>
        </is>
      </c>
      <c r="J29" s="14" t="inlineStr">
        <is>
          <t>「內事不決問張昭，外事不決問周瑜。」——孫策的遺言。</t>
        </is>
      </c>
      <c r="K29" s="14" t="inlineStr">
        <is>
          <t>遭刺客暗箭倒下的孫策，將印綬交給十八歲的弟弟孫權。「內事不決問張昭，外事不決問周瑜」——孫權與這兩人一同守住了江東。</t>
        </is>
      </c>
      <c r="L29" s="14" t="inlineStr">
        <is>
          <t>内事问张昭，外事问周瑜</t>
        </is>
      </c>
      <c r="M29" s="14" t="inlineStr">
        <is>
          <t>「内事不决问张昭，外事不决问周瑜。」——孙策的遗言。</t>
        </is>
      </c>
      <c r="N29" s="14" t="inlineStr">
        <is>
          <t>倒在刺客箭下的孙策，把印绶交给十八岁的弟弟孙权。「内事不决问张昭，外事不决问周瑜」——孙权与这两人一同守住了江东。</t>
        </is>
      </c>
      <c r="O29" s="14" t="inlineStr">
        <is>
          <t>Zhang Zhao Dentro, Zhou Yu Fora</t>
        </is>
      </c>
      <c r="P29" s="14" t="inlineStr">
        <is>
          <t>“Nos assuntos internos, consulte Zhang Zhao; nos externos, Zhou Yu.” — as últimas palavras de Sun Ce.</t>
        </is>
      </c>
      <c r="Q29" s="14" t="inlineStr">
        <is>
          <t>Ferido pela flecha de um assassino, Sun Ce entregou o selo ao irmão Sun Quan, de dezoito anos. “Nos assuntos internos, consulte Zhang Zhao; nos externos, Zhou Yu” — e com esses dois Sun Quan defendeu Jiangdong.</t>
        </is>
      </c>
      <c r="R29" s="14" t="inlineStr">
        <is>
          <t>Dentro, Zhang Zhao; Fora, Zhou Yu</t>
        </is>
      </c>
      <c r="S29" s="14" t="inlineStr">
        <is>
          <t>«Para os assuntos de dentro, pergunta a Zhang Zhao; para os de fora, a Zhou Yu.» — as últimas palavras de Sun Ce.</t>
        </is>
      </c>
      <c r="T29" s="14" t="inlineStr">
        <is>
          <t>Ferido de morte pela flecha de um assassino, Sun Ce entregou o selo ao irmão Sun Quan, de dezoito anos. «Para os assuntos de dentro, pergunta a Zhang Zhao; para os de fora, a Zhou Yu» — e com esses dois Sun Quan defendeu Jiangdong.</t>
        </is>
      </c>
      <c r="U29" s="14" t="inlineStr">
        <is>
          <t>Dentro Zhang Zhao, fuori Zhou Yu</t>
        </is>
      </c>
      <c r="V29" s="14" t="inlineStr">
        <is>
          <t>«Per gli affari interni chiedi a Zhang Zhao, per quelli esterni a Zhou Yu.» Le ultime parole di Sun Ce.</t>
        </is>
      </c>
      <c r="W29" s="14" t="inlineStr">
        <is>
          <t>Caduto per la freccia di un sicario, Sun Ce consegnò il sigillo al fratello diciottenne Sun Quan. «Per gli affari interni chiedi a Zhang Zhao, per quelli esterni a Zhou Yu»: con quei due al fianco, Sun Quan difese Jiangdong.</t>
        </is>
      </c>
      <c r="X29" s="14" t="inlineStr">
        <is>
          <t>Dentro, Zhang Zhao; fuera, Zhou Yu</t>
        </is>
      </c>
      <c r="Y29" s="14" t="inlineStr">
        <is>
          <t>«Lo de dentro, pregúntalo a Zhang Zhao; lo de fuera, a Zhou Yu.» Últimas palabras de Sun Ce.</t>
        </is>
      </c>
      <c r="Z29" s="14" t="inlineStr">
        <is>
          <t>Herido por la flecha de un asesino, Sun Ce entregó el sello a su hermano Sun Quan, de dieciocho años. «Lo de dentro, pregúntalo a Zhang Zhao; lo de fuera, a Zhou Yu»: con ellos dos, Sun Quan defendió Jiangdong.</t>
        </is>
      </c>
      <c r="AA29" s="14" t="inlineStr">
        <is>
          <t>Чжан Чжао ба Чжоу Юй</t>
        </is>
      </c>
      <c r="AB29" s="14" t="inlineStr">
        <is>
          <t>«Дотоод хэргийг Чжан Чжаогаас, гадаад хэргийг Чжоу Юйгээс асуу.» — Сунь Цэгийн гэрээс.</t>
        </is>
      </c>
      <c r="AC29" s="14" t="inlineStr">
        <is>
          <t>Алуурчны суманд унасан Сунь Цэ арван найман настай дүү Сунь Цюаньдаа тамгаа шилжүүлэв. «Дотоод хэргийг Чжан Чжаогаас, гадаад хэргийг Чжоу Юйгээс асуу» — Сунь Цюань тэр хоёртой хамт Цзяндуныг сахин хамгаалжээ.</t>
        </is>
      </c>
      <c r="AD29" s="14" t="inlineStr">
        <is>
          <t>内事问张昭</t>
        </is>
      </c>
    </row>
    <row r="30">
      <c r="A30" t="n">
        <v>29</v>
      </c>
      <c r="B30" t="inlineStr">
        <is>
          <t>완성의 밤</t>
        </is>
      </c>
      <c r="C30" s="14" t="inlineStr">
        <is>
          <t>The Night at Wancheng</t>
        </is>
      </c>
      <c r="D30" s="14" t="inlineStr">
        <is>
          <t>That night Cao Cao lost his eldest son, his nephew and his steed Jueying.</t>
        </is>
      </c>
      <c r="E30" s="14" t="inlineStr">
        <is>
          <t>Having accepted Zhang Xiu's surrender, Cao Cao took Zhang Xiu's widowed aunt at Wancheng. Enraged, Zhang Xiu struck at night on Jia Xu's plan, and Cao Cao barely escaped, losing his eldest son Cao Ang, his nephew, his champion Dian Wei and his steed Jueying.</t>
        </is>
      </c>
      <c r="F30" s="14" t="inlineStr">
        <is>
          <t>子と名馬を失った夜</t>
        </is>
      </c>
      <c r="G30" s="14" t="inlineStr">
        <is>
          <t>曹操はこの夜、長子と甥、そして名馬・絶影を失った。</t>
        </is>
      </c>
      <c r="H30" s="14" t="inlineStr">
        <is>
          <t>張繡の降伏を受けた曹操は、宛城でその叔母をわがものにした。怒った張繡が賈詡の計で夜襲をかけると、曹操は長子・曹昂と甥、猛将・典韋、名馬・絶影を失い、かろうじて生き延びた。</t>
        </is>
      </c>
      <c r="I30" s="14" t="inlineStr">
        <is>
          <t>失去愛子與名馬之夜</t>
        </is>
      </c>
      <c r="J30" s="14" t="inlineStr">
        <is>
          <t>這一夜，曹操失去了長子、姪子與名馬絕影。</t>
        </is>
      </c>
      <c r="K30" s="14" t="inlineStr">
        <is>
          <t>曹操接受張繡投降後，在宛城納了張繡的嬸娘。憤怒的張繡依賈詡之計夜襲，曹操失去長子曹昂、姪子、猛將典韋與名馬絕影，僅以身免。</t>
        </is>
      </c>
      <c r="L30" s="14" t="inlineStr">
        <is>
          <t>失子丧马之夜</t>
        </is>
      </c>
      <c r="M30" s="14" t="inlineStr">
        <is>
          <t>这一夜，曹操失去了长子、侄子与名马绝影。</t>
        </is>
      </c>
      <c r="N30" s="14" t="inlineStr">
        <is>
          <t>曹操受降张绣后，在宛城纳了张绣的婶母。张绣大怒，用贾诩之计夜袭，曹操折了长子曹昂、侄子与猛将典韦，连名马绝影也死了，自己仅以身免。</t>
        </is>
      </c>
      <c r="O30" s="14" t="inlineStr">
        <is>
          <t>Perdeu Filho e Cavalo numa Noite</t>
        </is>
      </c>
      <c r="P30" s="14" t="inlineStr">
        <is>
          <t>Nesta noite, Cao Cao perdeu o primogênito, o sobrinho e o célebre cavalo Jueying.</t>
        </is>
      </c>
      <c r="Q30" s="14" t="inlineStr">
        <is>
          <t>Aceita a rendição de Zhang Xiu, Cao Cao tomou para si a tia dele em Wancheng. Furioso, Zhang Xiu atacou de noite seguindo o plano de Jia Xu, e Cao Cao, perdendo o primogênito Cao Ang, o sobrinho, o bravo Dian Wei e o cavalo Jueying, mal escapou com vida.</t>
        </is>
      </c>
      <c r="R30" s="14" t="inlineStr">
        <is>
          <t>Perdeu o Filho e o Cavalo</t>
        </is>
      </c>
      <c r="S30" s="14" t="inlineStr">
        <is>
          <t>Nessa noite, Cao Cao perdeu o filho mais velho, um sobrinho e o seu cavalo Jueying.</t>
        </is>
      </c>
      <c r="T30" s="14" t="inlineStr">
        <is>
          <t>Depois de aceitar a rendição de Zhang Xiu, Cao Cao tomou-lhe a tia em Wancheng. Furioso, Zhang Xiu atacou de noite seguindo um plano de Jia Xu, e Cao Cao perdeu o primogénito Cao Ang, um sobrinho, o bravo Dian Wei e o cavalo Jueying, escapando por um triz.</t>
        </is>
      </c>
      <c r="U30" s="14" t="inlineStr">
        <is>
          <t>Notte di un figlio e un destriero</t>
        </is>
      </c>
      <c r="V30" s="14" t="inlineStr">
        <is>
          <t>Quella notte Cao Cao perse il primogenito, il nipote e il celebre destriero Jueying.</t>
        </is>
      </c>
      <c r="W30" s="14" t="inlineStr">
        <is>
          <t>Accettata la resa di Zhang Xiu, a Wancheng Cao Cao si prese la zia di lui. Furioso, Zhang Xiu attaccò di notte su consiglio di Jia Xu: Cao Cao perse il primogenito Cao Ang, il nipote, il prode Dian Wei e il destriero Jueying, salvandosi a stento.</t>
        </is>
      </c>
      <c r="X30" s="14" t="inlineStr">
        <is>
          <t>La noche que perdió hijo y caballo</t>
        </is>
      </c>
      <c r="Y30" s="14" t="inlineStr">
        <is>
          <t>Esa noche, Cao Cao perdió a su primogénito, a su sobrino y a su corcel Jueying.</t>
        </is>
      </c>
      <c r="Z30" s="14" t="inlineStr">
        <is>
          <t>Tras aceptar la rendición de Zhang Xiu, Cao Cao tomó a la tía de este en Wancheng. Furioso, Zhang Xiu atacó de noche con un plan de Jia Xu, y Cao Cao escapó a duras penas tras perder a su primogénito Cao Ang, a su sobrino, al valiente Dian Wei y a su corcel Jueying.</t>
        </is>
      </c>
      <c r="AA30" s="14" t="inlineStr">
        <is>
          <t>Хүү, хүлгээ алдсан шөнө</t>
        </is>
      </c>
      <c r="AB30" s="14" t="inlineStr">
        <is>
          <t>Цао Цао энэ шөнө ууган хүү, зээ хүү болон нэрт хүлэг Цзюэинээ алдав.</t>
        </is>
      </c>
      <c r="AC30" s="14" t="inlineStr">
        <is>
          <t>Чжан Сюгийн бууж өгөхийг хүлээн авсан Цао Цао Ваньчэнд түүний авга бэргэнийг өөртөө авав. Хилэгнэсэн Чжан Сю Цзя Сюйн заль ёсоор шөнө дайрахад Цао Цао ууган хүү Цао Ан, зээ хүү, баатар Дянь Вэй, нэрт хүлэг Цзюэинээ алдаж арай гэж амьд үлджээ.</t>
        </is>
      </c>
      <c r="AD30" s="14" t="inlineStr">
        <is>
          <t>宛城之夜</t>
        </is>
      </c>
    </row>
    <row r="31">
      <c r="A31" t="n">
        <v>30</v>
      </c>
      <c r="B31" t="inlineStr">
        <is>
          <t>가후의 계책</t>
        </is>
      </c>
      <c r="C31" s="14" t="inlineStr">
        <is>
          <t>Pursue When Told Not To</t>
        </is>
      </c>
      <c r="D31" s="14" t="inlineStr">
        <is>
          <t>Pursue when told not to; withdraw when told to pursue.</t>
        </is>
      </c>
      <c r="E31" s="14" t="inlineStr">
        <is>
          <t>When Zhang Xiu wanted to chase the retreating Cao Cao, Jia Xu told him not to. Zhang Xiu went anyway and came back beaten — then Jia Xu said, “Now pursue again,” and this time he won a great victory. It was a plan built on reading the enemy's mind.</t>
        </is>
      </c>
      <c r="F31" s="14" t="inlineStr">
        <is>
          <t>追うなと言う時に追え</t>
        </is>
      </c>
      <c r="G31" s="14" t="inlineStr">
        <is>
          <t>追うなと言う時に追わせ、追えと言う時に退かせた。</t>
        </is>
      </c>
      <c r="H31" s="14" t="inlineStr">
        <is>
          <t>退く曹操を張繡が追おうとすると、賈詡は止めた。張繡が聞かずに追って敗れて戻ると、賈詡は「今こそ追え」と言い、今度は大勝した――敵の心を読んだ計略であった。</t>
        </is>
      </c>
      <c r="I31" s="14" t="inlineStr">
        <is>
          <t>說別追時偏要追</t>
        </is>
      </c>
      <c r="J31" s="14" t="inlineStr">
        <is>
          <t>說別追時追擊，說該追時卻令其退下。</t>
        </is>
      </c>
      <c r="K31" s="14" t="inlineStr">
        <is>
          <t>曹操撤退，張繡想要追擊，賈詡出言勸阻。張繡不聽，追擊失敗而回，賈詡卻說「現在再追」，這次大獲全勝——這是看透敵人心思的計謀。</t>
        </is>
      </c>
      <c r="L31" s="14" t="inlineStr">
        <is>
          <t>说别追时偏要追</t>
        </is>
      </c>
      <c r="M31" s="14" t="inlineStr">
        <is>
          <t>劝阻追击时追击，劝其追击时退兵。</t>
        </is>
      </c>
      <c r="N31" s="14" t="inlineStr">
        <is>
          <t>曹操撤退，张绣欲追，贾诩劝阻。张绣不听，追击而败，贾诩却说「现在再追」，这次果然大胜——这是看透敌人心思的计谋。</t>
        </is>
      </c>
      <c r="O31" s="14" t="inlineStr">
        <is>
          <t>Persiga Quando Dizem Para Não</t>
        </is>
      </c>
      <c r="P31" s="14" t="inlineStr">
        <is>
          <t>Persiga quando dizem para não perseguir; recue quando dizem para perseguir.</t>
        </is>
      </c>
      <c r="Q31" s="14" t="inlineStr">
        <is>
          <t>Quando Zhang Xiu quis perseguir Cao Cao em retirada, Jia Xu o deteve. Zhang Xiu não ouviu e voltou derrotado; Jia Xu então disse “agora persiga de novo”, e desta vez a vitória foi grande — um plano que lia o coração do inimigo.</t>
        </is>
      </c>
      <c r="R31" s="14" t="inlineStr">
        <is>
          <t>Persegue Quando Dizem Para Parar</t>
        </is>
      </c>
      <c r="S31" s="14" t="inlineStr">
        <is>
          <t>Fê-lo perseguir quando lhe diziam para parar, e recuar quando lhe diziam para perseguir.</t>
        </is>
      </c>
      <c r="T31" s="14" t="inlineStr">
        <is>
          <t>Quando Zhang Xiu quis perseguir Cao Cao em retirada, Jia Xu desaconselhou-o. Zhang Xiu não ouviu, perseguiu e foi vencido; então Jia Xu disse «agora persegue outra vez», e desta vez a vitória foi grande — um plano que lia o coração do inimigo.</t>
        </is>
      </c>
      <c r="U31" s="14" t="inlineStr">
        <is>
          <t>Inseguire quando ti dicono di no</t>
        </is>
      </c>
      <c r="V31" s="14" t="inlineStr">
        <is>
          <t>Vietò l'inseguimento quando sembrava ovvio, e lo ordinò quando sembrava folle.</t>
        </is>
      </c>
      <c r="W31" s="14" t="inlineStr">
        <is>
          <t>Quando Zhang Xiu volle inseguire Cao Cao in ritirata, Jia Xu lo trattenne. Zhang Xiu non lo ascoltò e tornò sconfitto; allora Jia Xu disse «ora inseguilo di nuovo», e quella volta vinse alla grande: un piano nato dalla lettura del cuore del nemico.</t>
        </is>
      </c>
      <c r="X31" s="14" t="inlineStr">
        <is>
          <t>Persigue cuando te digan que no</t>
        </is>
      </c>
      <c r="Y31" s="14" t="inlineStr">
        <is>
          <t>Persigue cuando te dicen que no lo hagas; retírate cuando te dicen que persigas.</t>
        </is>
      </c>
      <c r="Z31" s="14" t="inlineStr">
        <is>
          <t>Cuando Zhang Xiu quiso perseguir a Cao Cao en retirada, Jia Xu lo disuadió. Zhang Xiu no escuchó, persiguió y perdió; entonces Jia Xu dijo «ahora persigue otra vez», y esta vez obtuvo una gran victoria. Era un plan que leía el corazón del enemigo.</t>
        </is>
      </c>
      <c r="AA31" s="14" t="inlineStr">
        <is>
          <t>Бүү мөрд гэхэд мөрд</t>
        </is>
      </c>
      <c r="AB31" s="14" t="inlineStr">
        <is>
          <t>Мөрдөхгүй гэхэд мөрдүүлж, мөрд гэхэд ухраав.</t>
        </is>
      </c>
      <c r="AC31" s="14" t="inlineStr">
        <is>
          <t>Ухарч буй Цао Цаог Чжан Сю мөрдөх гэхэд Цзя Сюй хориглов. Чжан Сю сонсолгүй мөрдөөд ялагдаж ирэхэд Цзя Сюй «Одоо дахин мөрд» гэсэн бөгөөд энэ удаа их ялалт байгуулав — дайсны сэтгэлийг уншсан заль байжээ.</t>
        </is>
      </c>
      <c r="AD31" s="14" t="inlineStr">
        <is>
          <t>贾诩之计</t>
        </is>
      </c>
    </row>
    <row r="32">
      <c r="A32" t="n">
        <v>31</v>
      </c>
      <c r="B32" t="inlineStr">
        <is>
          <t>청매자주 영웅론</t>
        </is>
      </c>
      <c r="C32" s="14" t="inlineStr">
        <is>
          <t>Only You and I Are Heroes</t>
        </is>
      </c>
      <c r="D32" s="14" t="inlineStr">
        <is>
          <t>“The only heroes in the realm are you and I” — and Liu Bei dropped his chopsticks.</t>
        </is>
      </c>
      <c r="E32" s="14" t="inlineStr">
        <is>
          <t>Over green plums and warmed wine, Cao Cao invited Liu Bei to discuss the heroes of the realm. When Cao Cao said, “The only heroes in the realm are you and I,” Liu Bei dropped his chopsticks — and passed it off as fright at a clap of thunder that came just then.</t>
        </is>
      </c>
      <c r="F32" s="14" t="inlineStr">
        <is>
          <t>天下の英雄は君と我のみ</t>
        </is>
      </c>
      <c r="G32" s="14" t="inlineStr">
        <is>
          <t>「天下の英雄は君と我のみ」――劉備は箸を取り落とした。</t>
        </is>
      </c>
      <c r="H32" s="14" t="inlineStr">
        <is>
          <t>曹操は劉備を招き、青梅を肴に酒を温めて天下の英雄を論じた。「天下の英雄は君と我のみ」という言葉に劉備が箸を落とすと、折しも鳴った雷鳴に驚いたふりをして取り繕った。</t>
        </is>
      </c>
      <c r="I32" s="14" t="inlineStr">
        <is>
          <t>天下英雄唯你我</t>
        </is>
      </c>
      <c r="J32" s="14" t="inlineStr">
        <is>
          <t>「天下英雄，唯使君與操耳」——劉備手中的筷子掉了下來。</t>
        </is>
      </c>
      <c r="K32" s="14" t="inlineStr">
        <is>
          <t>曹操請來劉備，以青梅佐酒，煮酒論天下英雄。聽到「天下英雄唯你我二人」，劉備手中筷子落地，恰逢雷聲大作，便推說是被雷聲嚇到。</t>
        </is>
      </c>
      <c r="L32" s="14" t="inlineStr">
        <is>
          <t>天下英雄，唯君与操</t>
        </is>
      </c>
      <c r="M32" s="14" t="inlineStr">
        <is>
          <t>「天下英雄，唯使君与操耳」——刘备手中的筷子掉了。</t>
        </is>
      </c>
      <c r="N32" s="14" t="inlineStr">
        <is>
          <t>曹操请来刘备，以青梅佐酒、温酒论天下英雄。听到「天下英雄唯你我二人」，刘备失手掉了筷子，恰逢一声惊雷，他便推说是被雷声吓着了。</t>
        </is>
      </c>
      <c r="O32" s="14" t="inlineStr">
        <is>
          <t>Só Você e Eu Somos Heróis</t>
        </is>
      </c>
      <c r="P32" s="14" t="inlineStr">
        <is>
          <t>“Os heróis do mundo são só você e eu” — Liu Bei deixou cair os pauzinhos.</t>
        </is>
      </c>
      <c r="Q32" s="14" t="inlineStr">
        <is>
          <t>Cao Cao convidou Liu Bei para aquecer vinho com ameixas verdes e discutir quem eram os heróis do mundo. Ao ouvir “os heróis do mundo são só você e eu”, Liu Bei deixou cair os pauzinhos e, aproveitando um trovão, fingiu ter se assustado com ele.</t>
        </is>
      </c>
      <c r="R32" s="14" t="inlineStr">
        <is>
          <t>Os Únicos Heróis: Tu e Eu</t>
        </is>
      </c>
      <c r="S32" s="14" t="inlineStr">
        <is>
          <t>«Os únicos heróis do mundo sois vós e eu» — e Liu Bei deixou cair os pauzinhos.</t>
        </is>
      </c>
      <c r="T32" s="14" t="inlineStr">
        <is>
          <t>Cao Cao convidou Liu Bei para beber vinho aquecido com ameixas verdes e falar dos heróis do mundo. Ao ouvir «os únicos heróis do mundo sois vós e eu», Liu Bei deixou cair os pauzinhos, e disfarçou fingindo-se assustado com um trovão que ribombou nesse instante.</t>
        </is>
      </c>
      <c r="U32" s="14" t="inlineStr">
        <is>
          <t>Gli unici eroi siamo voi e io</t>
        </is>
      </c>
      <c r="V32" s="14" t="inlineStr">
        <is>
          <t>«Gli unici eroi dell'impero siamo voi e io.» E a Liu Bei caddero le bacchette.</t>
        </is>
      </c>
      <c r="W32" s="14" t="inlineStr">
        <is>
          <t>Cao Cao invitò Liu Bei e, scaldando il vino con prugne verdi, discusse degli eroi dell'impero. Alle parole «gli unici eroi siamo voi e io» a Liu Bei caddero le bacchette, ma un tuono provvidenziale gli permise di fingersi spaventato.</t>
        </is>
      </c>
      <c r="X32" s="14" t="inlineStr">
        <is>
          <t>Los únicos héroes: tú y yo</t>
        </is>
      </c>
      <c r="Y32" s="14" t="inlineStr">
        <is>
          <t>«Los únicos héroes del mundo somos usted y yo» — y a Liu Bei se le cayeron los palillos.</t>
        </is>
      </c>
      <c r="Z32" s="14" t="inlineStr">
        <is>
          <t>Cao Cao invitó a Liu Bei y, calentando vino con ciruelas verdes, hablaron de los héroes del mundo. Cuando Cao Cao dijo «los únicos héroes del mundo somos usted y yo», a Liu Bei se le cayeron los palillos, y lo disimuló fingiendo que lo había asustado un trueno.</t>
        </is>
      </c>
      <c r="AA32" s="14" t="inlineStr">
        <is>
          <t>Баатар гэвэл чи бид хоёр</t>
        </is>
      </c>
      <c r="AB32" s="14" t="inlineStr">
        <is>
          <t>«Тэнгэрийн дор баатар гэвэл чи бид хоёр л» — Лю Бэй савхаа унагав.</t>
        </is>
      </c>
      <c r="AC32" s="14" t="inlineStr">
        <is>
          <t>Цао Цао Лю Бэйг дуудаж, ногоон чавганы зуушаар дарс халаан тэнгэрийн дорын баатруудын тухай ярилцав. «Тэнгэрийн дор баатар гэвэл чи бид хоёр л» гэхэд Лю Бэй савхаа унагаж, яг тэр үед нижигнэсэн аянганд цочсон дүр үзүүлэн аргалав.</t>
        </is>
      </c>
      <c r="AD32" s="14" t="inlineStr">
        <is>
          <t>青梅煮酒论英雄</t>
        </is>
      </c>
    </row>
    <row r="33">
      <c r="A33" t="n">
        <v>32</v>
      </c>
      <c r="B33" t="inlineStr">
        <is>
          <t>의대조</t>
        </is>
      </c>
      <c r="C33" s="14" t="inlineStr">
        <is>
          <t>The Secret Edict in the Sash</t>
        </is>
      </c>
      <c r="D33" s="14" t="inlineStr">
        <is>
          <t>Sewn into the emperor's sash was a decree in blood, ordering Cao Cao's destruction.</t>
        </is>
      </c>
      <c r="E33" s="14" t="inlineStr">
        <is>
          <t>Chafing under Cao Cao's tyranny, Emperor Xian sewed a secret edict written in blood into a sash and gave it to Dong Cheng. Liu Bei and Ma Teng signed their names, but the plot was exposed — Dong Cheng's clan was wiped out and Liu Bei fled to Xuzhou.</t>
        </is>
      </c>
      <c r="F33" s="14" t="inlineStr">
        <is>
          <t>衣帯の密書</t>
        </is>
      </c>
      <c r="G33" s="14" t="inlineStr">
        <is>
          <t>皇帝の衣帯の中に、曹操を討てという血の密書が縫い込まれていた。</t>
        </is>
      </c>
      <c r="H33" s="14" t="inlineStr">
        <is>
          <t>曹操の専横に、献帝は血で書いた密詔を衣帯に縫い込んで董承に下した。劉備・馬騰も名を連ねたが計画は露見し、董承の一族は皆殺しにされ、劉備は徐州へ逃れた。</t>
        </is>
      </c>
      <c r="I33" s="14" t="inlineStr">
        <is>
          <t>衣帶中的密詔</t>
        </is>
      </c>
      <c r="J33" s="14" t="inlineStr">
        <is>
          <t>天子的衣帶裡，縫著一封討伐曹操的血書密詔。</t>
        </is>
      </c>
      <c r="K33" s="14" t="inlineStr">
        <is>
          <t>獻帝不堪曹操專權，以血寫下密詔縫入衣帶，賜給董承。劉備、馬騰都簽下了名字，但計畫敗露，董承一族遭滅門，劉備逃往徐州。</t>
        </is>
      </c>
      <c r="L33" s="14" t="inlineStr">
        <is>
          <t>衣带中的密诏</t>
        </is>
      </c>
      <c r="M33" s="14" t="inlineStr">
        <is>
          <t>天子的衣带里，缝着一封讨伐曹操的血书。</t>
        </is>
      </c>
      <c r="N33" s="14" t="inlineStr">
        <is>
          <t>不堪曹操专横，献帝以血写下密诏，缝入衣带赐给董承。刘备、马腾都签了名，但计划败露，董承满门被杀，刘备逃往徐州。</t>
        </is>
      </c>
      <c r="O33" s="14" t="inlineStr">
        <is>
          <t>O Decreto no Cinturão</t>
        </is>
      </c>
      <c r="P33" s="14" t="inlineStr">
        <is>
          <t>No cinturão do imperador vinha costurado um decreto de sangue: derrubar Cao Cao.</t>
        </is>
      </c>
      <c r="Q33" s="14" t="inlineStr">
        <is>
          <t>Diante da tirania de Cao Cao, o Imperador Xian escreveu um decreto secreto com sangue, costurou-o num cinturão e o deu a Dong Cheng. Liu Bei e Ma Teng assinaram, mas o plano foi descoberto: o clã de Dong Cheng foi exterminado e Liu Bei fugiu para Xu.</t>
        </is>
      </c>
      <c r="R33" s="14" t="inlineStr">
        <is>
          <t>O Édito Escondido no Cinto</t>
        </is>
      </c>
      <c r="S33" s="14" t="inlineStr">
        <is>
          <t>No cinto do imperador vinha cosido um édito secreto, escrito a sangue, para abater Cao Cao.</t>
        </is>
      </c>
      <c r="T33" s="14" t="inlineStr">
        <is>
          <t>Farto da tirania de Cao Cao, o Imperador Xian coseu no cinto um édito escrito com o próprio sangue e entregou-o a Dong Cheng. Liu Bei e Ma Teng juntaram os seus nomes, mas o plano foi descoberto: o clã de Dong Cheng foi exterminado e Liu Bei fugiu para Xuzhou.</t>
        </is>
      </c>
      <c r="U33" s="14" t="inlineStr">
        <is>
          <t>Il decreto nella cintura</t>
        </is>
      </c>
      <c r="V33" s="14" t="inlineStr">
        <is>
          <t>Nella cintura dell'imperatore era cucito un decreto segreto scritto col sangue: colpire Cao Cao.</t>
        </is>
      </c>
      <c r="W33" s="14" t="inlineStr">
        <is>
          <t>Esasperato dalla tirannia di Cao Cao, l'Imperatore Xian cucì nella cintura un decreto scritto col proprio sangue e lo consegnò a Dong Cheng. Liu Bei e Ma Teng vi apposero il nome, ma la congiura fu scoperta: la famiglia di Dong Cheng fu sterminata e Liu Bei fuggì a Xuzhou.</t>
        </is>
      </c>
      <c r="X33" s="14" t="inlineStr">
        <is>
          <t>El edicto en el cinturón</t>
        </is>
      </c>
      <c r="Y33" s="14" t="inlineStr">
        <is>
          <t>En el cinturón del emperador iba cosido un edicto escrito con sangre: había que acabar con Cao Cao.</t>
        </is>
      </c>
      <c r="Z33" s="14" t="inlineStr">
        <is>
          <t>Harto de la tiranía de Cao Cao, el Emperador Xian cosió en un cinturón un edicto secreto escrito con su sangre y se lo dio a Dong Cheng. Liu Bei y Ma Teng firmaron, pero el complot se descubrió: el clan de Dong Cheng fue exterminado y Liu Bei huyó a Xu.</t>
        </is>
      </c>
      <c r="AA33" s="14" t="inlineStr">
        <is>
          <t>Бүсэн доторх нууц зарлиг</t>
        </is>
      </c>
      <c r="AB33" s="14" t="inlineStr">
        <is>
          <t>Хааны хувцасны бүсэнд Цао Цаог дайл гэсэн цусан нууц зарлиг оёгдсон байв.</t>
        </is>
      </c>
      <c r="AC33" s="14" t="inlineStr">
        <is>
          <t>Цао Цаогийн дур зоргыг тэвчихгүй болсон Сянь-ди хаан цусаар бичсэн нууц зарлигаа бүсэндээ оёж Дун Чэнд өгөв. Лю Бэй, Ма Тэн нар нэрээ бичсэн ч төлөвлөгөө илэрч, Дун Чэнгийн овог бүхэлдээ устгагдаж, Лю Бэй Сюйчжоу руу зугтав.</t>
        </is>
      </c>
      <c r="AD33" s="14" t="inlineStr">
        <is>
          <t>衣带诏</t>
        </is>
      </c>
    </row>
    <row r="34">
      <c r="A34" t="n">
        <v>33</v>
      </c>
      <c r="B34" t="inlineStr">
        <is>
          <t>토산의 세 가지 약속</t>
        </is>
      </c>
      <c r="C34" s="14" t="inlineStr">
        <is>
          <t>Guan Yu's Three Conditions</t>
        </is>
      </c>
      <c r="D34" s="14" t="inlineStr">
        <is>
          <t>Persuaded by Zhang Liao, Guan Yu surrendered only once three promises were made.</t>
        </is>
      </c>
      <c r="E34" s="14" t="inlineStr">
        <is>
          <t>When Guan Yu was surrounded at Xiapi, Zhang Liao came to persuade him. He would surrender to the Han, not to Cao Cao; he would care for his two sisters-in-law; and he would leave the moment he heard where Liu Bei was — only with those three promises did Guan Yu lay down his blade.</t>
        </is>
      </c>
      <c r="F34" s="14" t="inlineStr">
        <is>
          <t>関羽の三つの約束</t>
        </is>
      </c>
      <c r="G34" s="14" t="inlineStr">
        <is>
          <t>張遼の説得に、関羽は三つの約束を取りつけてはじめて降った。</t>
        </is>
      </c>
      <c r="H34" s="14" t="inlineStr">
        <is>
          <t>下邳で包囲された関羽のもとへ張遼が説得に訪れた。漢に降っても曹操には降らない、二人の兄嫁を守る、劉備の消息を聞けば去る――関羽はこの三つの約束を取りつけて、ようやく刀を置いた。</t>
        </is>
      </c>
      <c r="I34" s="14" t="inlineStr">
        <is>
          <t>關羽的三個約定</t>
        </is>
      </c>
      <c r="J34" s="14" t="inlineStr">
        <is>
          <t>在張遼勸說下，關羽得到三項承諾後才肯投降。</t>
        </is>
      </c>
      <c r="K34" s="14" t="inlineStr">
        <is>
          <t>張遼前來勸說被困於下邳的關羽。降漢不降曹、奉養兩位嫂嫂、一得劉備消息便離去——關羽得到這三項承諾後，才放下了刀。</t>
        </is>
      </c>
      <c r="L34" s="14" t="inlineStr">
        <is>
          <t>关羽的三个约定</t>
        </is>
      </c>
      <c r="M34" s="14" t="inlineStr">
        <is>
          <t>张辽前来劝说，关羽得到三项承诺后才肯归降。</t>
        </is>
      </c>
      <c r="N34" s="14" t="inlineStr">
        <is>
          <t>张辽来到下邳劝说被围的关羽。降汉不降曹、奉养二位嫂嫂、一闻刘备下落便即离去——得到这三项承诺，关羽才放下了刀。</t>
        </is>
      </c>
      <c r="O34" s="14" t="inlineStr">
        <is>
          <t>As Três Condições de Guan Yu</t>
        </is>
      </c>
      <c r="P34" s="14" t="inlineStr">
        <is>
          <t>Persuadido por Zhang Liao, Guan Yu só se rendeu após três promessas.</t>
        </is>
      </c>
      <c r="Q34" s="14" t="inlineStr">
        <is>
          <t>Cercado em Xiapi, Guan Yu recebeu Zhang Liao, que veio convencê-lo. Render-se à dinastia Han e não a Cao Cao, proteger as duas cunhadas, partir assim que soubesse de Liu Bei — só com essas três promessas ele baixou a espada.</t>
        </is>
      </c>
      <c r="R34" s="14" t="inlineStr">
        <is>
          <t>As Três Condições de Guan Yu</t>
        </is>
      </c>
      <c r="S34" s="14" t="inlineStr">
        <is>
          <t>Persuadido por Zhang Liao, Guan Yu só se rendeu depois de lhe prometerem três coisas.</t>
        </is>
      </c>
      <c r="T34" s="14" t="inlineStr">
        <is>
          <t>Zhang Liao foi ao encontro de Guan Yu, cercado em Xiapi, para o convencer. Rendia-se aos Han e não a Cao Cao, cuidaria das duas cunhadas e partiria assim que soubesse de Liu Bei — só com essas três promessas Guan Yu pousou a espada.</t>
        </is>
      </c>
      <c r="U34" s="14" t="inlineStr">
        <is>
          <t>Le tre condizioni di Guan Yu</t>
        </is>
      </c>
      <c r="V34" s="14" t="inlineStr">
        <is>
          <t>Persuaso da Zhang Liao, Guan Yu si arrese solo dopo aver ottenuto tre promesse.</t>
        </is>
      </c>
      <c r="W34" s="14" t="inlineStr">
        <is>
          <t>A Xiapi Zhang Liao venne a convincere Guan Yu assediato. Arrendersi agli Han ma non a Cao Cao, proteggere le due cognate, partire appena avesse avuto notizie di Liu Bei: solo ottenute queste tre promesse Guan Yu depose la spada.</t>
        </is>
      </c>
      <c r="X34" s="14" t="inlineStr">
        <is>
          <t>Las tres condiciones de Guan Yu</t>
        </is>
      </c>
      <c r="Y34" s="14" t="inlineStr">
        <is>
          <t>Persuadido por Zhang Liao, Guan Yu se rindió solo después de obtener tres promesas.</t>
        </is>
      </c>
      <c r="Z34" s="14" t="inlineStr">
        <is>
          <t>Cercado en Xiapi, Guan Yu recibió la visita de Zhang Liao, que vino a convencerlo. Se rendiría a los Han y no a Cao Cao, protegería a sus dos cuñadas y partiría en cuanto supiera de Liu Bei: solo con esas tres promesas dejó la espada.</t>
        </is>
      </c>
      <c r="AA34" s="14" t="inlineStr">
        <is>
          <t>Гуань Юйн гурван болзол</t>
        </is>
      </c>
      <c r="AB34" s="14" t="inlineStr">
        <is>
          <t>Чжан Ляогийн ятгалгаар Гуань Юй гурван болзол тавьж байж бууж өгөв.</t>
        </is>
      </c>
      <c r="AC34" s="14" t="inlineStr">
        <is>
          <t>Сяпид бүслэгдсэн Гуань Юйд Чжан Ляо ирж ятгав. Хань улсад бууж өгөх боловч Цао Цаод бууж өгөхгүй, хоёр бэргэнээ асрах, Лю Бэйн сураг сонсвол явах — энэ гурван болзлыг амлуулж байж Гуань Юй илдээ тавьжээ.</t>
        </is>
      </c>
      <c r="AD34" s="14" t="inlineStr">
        <is>
          <t>土山约三事</t>
        </is>
      </c>
    </row>
    <row r="35">
      <c r="A35" t="n">
        <v>34</v>
      </c>
      <c r="B35" t="inlineStr">
        <is>
          <t>십승십패론</t>
        </is>
      </c>
      <c r="C35" s="14" t="inlineStr">
        <is>
          <t>Ten Reasons to Win</t>
        </is>
      </c>
      <c r="D35" s="14" t="inlineStr">
        <is>
          <t>Guo Jia named ten reasons Cao Cao would defeat Yuan Shao.</t>
        </is>
      </c>
      <c r="E35" s="14" t="inlineStr">
        <is>
          <t>When Yuan Shao's arrogant letter troubled Cao Cao, Guo Jia listed ten ways Cao Cao would win and ten ways Yuan Shao would lose (from the Fuzi). Magnanimity, decisiveness, generalship, virtue — his words became the prophecy of Guandu.</t>
        </is>
      </c>
      <c r="F35" s="14" t="inlineStr">
        <is>
          <t>勝つ理由は十</t>
        </is>
      </c>
      <c r="G35" s="14" t="inlineStr">
        <is>
          <t>郭嘉は、曹操が袁紹に勝つ十の理由を挙げた。</t>
        </is>
      </c>
      <c r="H35" s="14" t="inlineStr">
        <is>
          <t>袁紹の傲慢な書簡に曹操が憂えると、郭嘉は曹操が勝つ十の理由と袁紹が負ける十の理由を挙げた（『傅子』）。度量・決断・用兵・徳――その言葉は官渡の戦いの予言となった。</t>
        </is>
      </c>
      <c r="I35" s="14" t="inlineStr">
        <is>
          <t>十個必勝的理由</t>
        </is>
      </c>
      <c r="J35" s="14" t="inlineStr">
        <is>
          <t>郭嘉列出了曹操勝過袁紹的十個理由。</t>
        </is>
      </c>
      <c r="K35" s="14" t="inlineStr">
        <is>
          <t>袁紹送來傲慢的書信，曹操為此憂慮，郭嘉便列出曹操必勝、袁紹必敗的十個理由（《傅子》）。度量、決斷、用兵、德行——這番話成了官渡之戰的預言。</t>
        </is>
      </c>
      <c r="L35" s="14" t="inlineStr">
        <is>
          <t>十个必胜的理由</t>
        </is>
      </c>
      <c r="M35" s="14" t="inlineStr">
        <is>
          <t>郭嘉列举了曹操胜过袁绍的十个理由。</t>
        </is>
      </c>
      <c r="N35" s="14" t="inlineStr">
        <is>
          <t>袁绍送来傲慢书信，曹操忧心忡忡，郭嘉便列出曹操必胜的十条与袁绍必败的十条（《傅子》）。度量、决断、用兵、德行——这番话成了官渡之战的预言。</t>
        </is>
      </c>
      <c r="O35" s="14" t="inlineStr">
        <is>
          <t>Dez Razões para Vencer</t>
        </is>
      </c>
      <c r="P35" s="14" t="inlineStr">
        <is>
          <t>Guo Jia apontou dez razões pelas quais Cao Cao venceria Yuan Shao.</t>
        </is>
      </c>
      <c r="Q35" s="14" t="inlineStr">
        <is>
          <t>Quando a carta arrogante de Yuan Shao preocupou Cao Cao, Guo Jia listou dez razões pelas quais Cao Cao venceria e dez pelas quais Yuan Shao perderia. Magnanimidade, decisão, comando, virtude — suas palavras se tornaram a profecia de Guandu.</t>
        </is>
      </c>
      <c r="R35" s="14" t="inlineStr">
        <is>
          <t>Dez Razões para Vencer</t>
        </is>
      </c>
      <c r="S35" s="14" t="inlineStr">
        <is>
          <t>Guo Jia apontou dez razões pelas quais Cao Cao venceria Yuan Shao.</t>
        </is>
      </c>
      <c r="T35" s="14" t="inlineStr">
        <is>
          <t>Quando a carta arrogante de Yuan Shao inquietou Cao Cao, Guo Jia enumerou dez razões para Cao Cao vencer e dez para Yuan Shao perder (segundo o Fuzi). Generosidade, decisão, arte da guerra, virtude — as suas palavras tornaram-se a profecia de Guandu.</t>
        </is>
      </c>
      <c r="U35" s="14" t="inlineStr">
        <is>
          <t>Dieci ragioni per vincere</t>
        </is>
      </c>
      <c r="V35" s="14" t="inlineStr">
        <is>
          <t>Guo Jia elencò dieci ragioni per cui Cao Cao avrebbe sconfitto Yuan Shao.</t>
        </is>
      </c>
      <c r="W35" s="14" t="inlineStr">
        <is>
          <t>Quando la lettera arrogante di Yuan Shao turbò Cao Cao, Guo Jia elencò dieci ragioni per cui Cao Cao avrebbe vinto e dieci per cui Yuan Shao avrebbe perso. Magnanimità, risolutezza, arte della guerra, virtù: quelle parole divennero la profezia di Guandu.</t>
        </is>
      </c>
      <c r="X35" s="14" t="inlineStr">
        <is>
          <t>Diez razones para vencer</t>
        </is>
      </c>
      <c r="Y35" s="14" t="inlineStr">
        <is>
          <t>Guo Jia enumeró diez razones por las que Cao Cao vencería a Yuan Shao.</t>
        </is>
      </c>
      <c r="Z35" s="14" t="inlineStr">
        <is>
          <t>Cuando una carta arrogante de Yuan Shao inquietó a Cao Cao, Guo Jia enumeró diez razones por las que Cao Cao ganaría y diez por las que Yuan Shao perdería. Magnanimidad, decisión, estrategia, virtud: aquellas palabras fueron la profecía de Guandu.</t>
        </is>
      </c>
      <c r="AA35" s="14" t="inlineStr">
        <is>
          <t>Ялах арван шалтгаан</t>
        </is>
      </c>
      <c r="AB35" s="14" t="inlineStr">
        <is>
          <t>Го Цзя Цао Цао Юань Шаог ялах арван шалтгааныг тоочив.</t>
        </is>
      </c>
      <c r="AC35" s="14" t="inlineStr">
        <is>
          <t>Юань Шаогийн бардам захидалд Цао Цао санаа зовоход Го Цзя Цао Цаогийн ялах арван шалтгаан, Юань Шаогийн ялагдах арван шалтгааныг тоочив («Фу Цзы»). Өгөөмөр сэтгэл, шийдэмгий зан, цэрэг захирах ур, буян — тэр үг Гуаньдугийн их тулааны зөгнөл болжээ.</t>
        </is>
      </c>
      <c r="AD35" s="14" t="inlineStr">
        <is>
          <t>十胜十败论</t>
        </is>
      </c>
    </row>
    <row r="36">
      <c r="A36" t="n">
        <v>35</v>
      </c>
      <c r="B36" t="inlineStr">
        <is>
          <t>왕좌지재</t>
        </is>
      </c>
      <c r="C36" s="14" t="inlineStr">
        <is>
          <t>Cao Cao's Zhang Liang</t>
        </is>
      </c>
      <c r="D36" s="14" t="inlineStr">
        <is>
          <t>Cao Cao called Xun Yu “my Zifang.”</t>
        </is>
      </c>
      <c r="E36" s="14" t="inlineStr">
        <is>
          <t>When Xun Yu left Yuan Shao to join him, Cao Cao rejoiced: “My Zifang has come.” With his nephew Xun You, Xun Yu shared in every great decision Cao Cao made, holding Xu and governing the realm.</t>
        </is>
      </c>
      <c r="F36" s="14" t="inlineStr">
        <is>
          <t>曹操の子房</t>
        </is>
      </c>
      <c r="G36" s="14" t="inlineStr">
        <is>
          <t>曹操は荀彧を「我が子房」と呼んだ。</t>
        </is>
      </c>
      <c r="H36" s="14" t="inlineStr">
        <is>
          <t>袁紹のもとを去って訪れた荀彧を見て、曹操は「我が子房が来た」と喜んだ。荀彧は甥の荀攸とともに曹操のあらゆる大きな決断に関わり、許都を守って天下を経営した。</t>
        </is>
      </c>
      <c r="I36" s="14" t="inlineStr">
        <is>
          <t>曹操的張子房</t>
        </is>
      </c>
      <c r="J36" s="14" t="inlineStr">
        <is>
          <t>曹操稱荀彧為「吾之子房」。</t>
        </is>
      </c>
      <c r="K36" s="14" t="inlineStr">
        <is>
          <t>荀彧離開袁紹前來投奔，曹操大喜道「吾之子房也」。荀彧與姪子荀攸參與了曹操的每一項重大決策，鎮守許都，經營天下。</t>
        </is>
      </c>
      <c r="L36" s="14" t="inlineStr">
        <is>
          <t>曹操的子房</t>
        </is>
      </c>
      <c r="M36" s="14" t="inlineStr">
        <is>
          <t>曹操称荀彧为「吾之子房」。</t>
        </is>
      </c>
      <c r="N36" s="14" t="inlineStr">
        <is>
          <t>荀彧离开袁绍前来投奔，曹操大喜道「吾之子房也」。荀彧与侄子荀攸参与了曹操每一个重大决策，坐镇许都经营天下。</t>
        </is>
      </c>
      <c r="O36" s="14" t="inlineStr">
        <is>
          <t>O Zhang Liang de Cao Cao</t>
        </is>
      </c>
      <c r="P36" s="14" t="inlineStr">
        <is>
          <t>Cao Cao chamava Xun Yu de “meu Zhang Liang”.</t>
        </is>
      </c>
      <c r="Q36" s="14" t="inlineStr">
        <is>
          <t>Ao ver Xun Yu, que deixara Yuan Shao para servi-lo, Cao Cao exclamou com alegria: “Chegou o meu Zhang Liang!” Ao lado do sobrinho Xun You, Xun Yu participou de todas as grandes decisões de Cao Cao e governou o império guardando Xu.</t>
        </is>
      </c>
      <c r="R36" s="14" t="inlineStr">
        <is>
          <t>O Zifang de Cao Cao</t>
        </is>
      </c>
      <c r="S36" s="14" t="inlineStr">
        <is>
          <t>Cao Cao chamava a Xun Yu «o meu Zifang».</t>
        </is>
      </c>
      <c r="T36" s="14" t="inlineStr">
        <is>
          <t>Quando Xun Yu deixou Yuan Shao e o procurou, Cao Cao exultou: «Chegou o meu Zifang!» Com o sobrinho Xun You, Xun Yu esteve em todas as grandes decisões de Cao Cao, e governou o império a partir de Xudu.</t>
        </is>
      </c>
      <c r="U36" s="14" t="inlineStr">
        <is>
          <t>Lo Zhang Liang di Cao Cao</t>
        </is>
      </c>
      <c r="V36" s="14" t="inlineStr">
        <is>
          <t>Cao Cao chiamava Xun Yu «il mio Zifang».</t>
        </is>
      </c>
      <c r="W36" s="14" t="inlineStr">
        <is>
          <t>Quando Xun Yu lasciò Yuan Shao per venire da lui, Cao Cao esultò: «È arrivato il mio Zifang!». Insieme al nipote Xun You, Xun Yu prese parte a ogni grande decisione di Cao Cao e, custodendo Xu, governò l'impero.</t>
        </is>
      </c>
      <c r="X36" s="14" t="inlineStr">
        <is>
          <t>El Zhang Liang de Cao Cao</t>
        </is>
      </c>
      <c r="Y36" s="14" t="inlineStr">
        <is>
          <t>Cao Cao llamaba a Xun Yu «mi Zifang».</t>
        </is>
      </c>
      <c r="Z36" s="14" t="inlineStr">
        <is>
          <t>Cuando Xun Yu dejó a Yuan Shao para unirse a él, Cao Cao exclamó con alegría: «¡Ha llegado mi Zifang!». Junto a su sobrino Xun You, Xun Yu participó en todas las grandes decisiones de Cao Cao y gobernó el reino desde Xu.</t>
        </is>
      </c>
      <c r="AA36" s="14" t="inlineStr">
        <is>
          <t>Цао Цаогийн Чжан Лян</t>
        </is>
      </c>
      <c r="AB36" s="14" t="inlineStr">
        <is>
          <t>Цао Цао Сюнь Юйг «Миний Цзыфан» хэмээн дууддаг байв.</t>
        </is>
      </c>
      <c r="AC36" s="14" t="inlineStr">
        <is>
          <t>Юань Шаог орхиж ирсэн Сюнь Юйг хараад Цао Цао «Миний Цзыфан ирлээ» хэмээн баясав. Сюнь Юй зээ хүү Сюнь Ю-гийн хамт Цао Цаогийн бүх том шийдвэрт оролцож, Сюйг сахин тэнгэрийн дорыг удирдав.</t>
        </is>
      </c>
      <c r="AD36" s="14" t="inlineStr">
        <is>
          <t>王佐之才</t>
        </is>
      </c>
    </row>
    <row r="37">
      <c r="A37" t="n">
        <v>36</v>
      </c>
      <c r="B37" t="inlineStr">
        <is>
          <t>원소의 모사들</t>
        </is>
      </c>
      <c r="C37" s="14" t="inlineStr">
        <is>
          <t>The Lord Who Would Not Listen</t>
        </is>
      </c>
      <c r="D37" s="14" t="inlineStr">
        <is>
          <t>His advisors were many, but their lord never heeded a single word.</t>
        </is>
      </c>
      <c r="E37" s="14" t="inlineStr">
        <is>
          <t>Yuan Shao's staff held Tian Feng, Ju Shou, Shen Pei, Feng Ji, Guo Tu and Xu You, yet they slandered one another. Yuan Shao jailed those who spoke truly and listened only to what pleased him — many advisors, and no plan.</t>
        </is>
      </c>
      <c r="F37" s="14" t="inlineStr">
        <is>
          <t>耳を貸さぬ主君</t>
        </is>
      </c>
      <c r="G37" s="14" t="inlineStr">
        <is>
          <t>策士はあふれていたが、主君はついにどの言葉にも耳を貸さなかった。</t>
        </is>
      </c>
      <c r="H37" s="14" t="inlineStr">
        <is>
          <t>袁紹の幕下には田豊・沮授・審配・逢紀・郭図・許攸がいたが、互いに誹り合った。袁紹は正しい言葉を言う者を獄に入れ、耳に心地よい言葉ばかりを聞いた。策士は多くとも、策はなかった。</t>
        </is>
      </c>
      <c r="I37" s="14" t="inlineStr">
        <is>
          <t>不肯聽的主公</t>
        </is>
      </c>
      <c r="J37" s="14" t="inlineStr">
        <is>
          <t>謀士濟濟，主公卻始終一句也聽不進。</t>
        </is>
      </c>
      <c r="K37" s="14" t="inlineStr">
        <is>
          <t>袁紹帳下有田豐、沮授、審配、逢紀、郭圖、許攸，卻彼此詆毀。袁紹把直言之人關進牢裡，只聽順耳之言，謀士雖多卻無計可施。</t>
        </is>
      </c>
      <c r="L37" s="14" t="inlineStr">
        <is>
          <t>不肯听的主公</t>
        </is>
      </c>
      <c r="M37" s="14" t="inlineStr">
        <is>
          <t>谋士济济，主公却终究一句也不肯听。</t>
        </is>
      </c>
      <c r="N37" s="14" t="inlineStr">
        <is>
          <t>袁绍帐下有田丰、沮授、审配、逢纪、郭图、许攸，却彼此倾轧。袁绍囚禁直言之人，只听顺耳之言——谋士虽多，却没有计策。</t>
        </is>
      </c>
      <c r="O37" s="14" t="inlineStr">
        <is>
          <t>O Senhor que Não Ouvia</t>
        </is>
      </c>
      <c r="P37" s="14" t="inlineStr">
        <is>
          <t>Sobravam estrategistas, mas o senhor nunca deu ouvidos a nenhum.</t>
        </is>
      </c>
      <c r="Q37" s="14" t="inlineStr">
        <is>
          <t>Sob Yuan Shao estavam Tian Feng, Ju Shou, Shen Pei, Feng Ji, Guo Tu e Xu You, que viviam a se difamar. Yuan Shao prendia quem dizia a verdade e só ouvia o que lhe agradava: muitos conselheiros, nenhum plano.</t>
        </is>
      </c>
      <c r="R37" s="14" t="inlineStr">
        <is>
          <t>O Senhor que Não Escutava</t>
        </is>
      </c>
      <c r="S37" s="14" t="inlineStr">
        <is>
          <t>Conselheiros não faltavam, mas o senhor nunca deu ouvidos a nenhum.</t>
        </is>
      </c>
      <c r="T37" s="14" t="inlineStr">
        <is>
          <t>Ao serviço de Yuan Shao estavam Tian Feng, Ju Shou, Shen Pei, Feng Ji, Guo Tu e Xu You, que viviam a difamar-se uns aos outros. Yuan Shao prendia quem dizia a verdade e só escutava o que lhe agradava: muitos conselheiros, nenhum plano.</t>
        </is>
      </c>
      <c r="U37" s="14" t="inlineStr">
        <is>
          <t>Il signore che non ascoltava</t>
        </is>
      </c>
      <c r="V37" s="14" t="inlineStr">
        <is>
          <t>Gli strateghi abbondavano, ma il signore non ne ascoltò mai nessuno.</t>
        </is>
      </c>
      <c r="W37" s="14" t="inlineStr">
        <is>
          <t>Alla corte di Yuan Shao c'erano Tian Feng, Ju Shou, Shen Pei, Feng Ji, Guo Tu e Xu You, ma si denigravano a vicenda. Yuan Shao imprigionava chi diceva il giusto e ascoltava solo le lusinghe: molti consiglieri, nessuna strategia.</t>
        </is>
      </c>
      <c r="X37" s="14" t="inlineStr">
        <is>
          <t>El señor que no escuchaba</t>
        </is>
      </c>
      <c r="Y37" s="14" t="inlineStr">
        <is>
          <t>Le sobraban consejeros, pero el señor nunca escuchó a ninguno.</t>
        </is>
      </c>
      <c r="Z37" s="14" t="inlineStr">
        <is>
          <t>A las órdenes de Yuan Shao estaban Tian Feng, Ju Shou, Shen Pei, Feng Ji, Guo Tu y Xu You, pero se desacreditaban unos a otros. Yuan Shao encarcelaba a quien decía la verdad y solo oía lo que le agradaba: tenía muchos consejeros y ningún plan.</t>
        </is>
      </c>
      <c r="AA37" s="14" t="inlineStr">
        <is>
          <t>Сонсдоггүй эзэн</t>
        </is>
      </c>
      <c r="AB37" s="14" t="inlineStr">
        <is>
          <t>Зөвлөхүүд нь олон байсан ч эзэн нь эцсээ хүртэл хэний ч үгийг сонссонгүй.</t>
        </is>
      </c>
      <c r="AC37" s="14" t="inlineStr">
        <is>
          <t>Юань Шаогийн дэргэд Тянь Фэн, Цзюй Шоу, Шэнь Пэй, Фэн Цзи, Го Ту, Сюй Ю нар байсан ч бие биенээ муулдаг байв. Юань Шао зөв үг хэлэгчийг хорьж, чихэнд таатай үгийг л сонсдог байсан тул зөвлөх олон боловч заль арга байсангүй.</t>
        </is>
      </c>
      <c r="AD37" s="14" t="inlineStr">
        <is>
          <t>袁绍谋士</t>
        </is>
      </c>
    </row>
    <row r="38">
      <c r="A38" t="n">
        <v>37</v>
      </c>
      <c r="B38" t="inlineStr">
        <is>
          <t>하북의 두 기둥</t>
        </is>
      </c>
      <c r="C38" s="14" t="inlineStr">
        <is>
          <t>Yan Liang and Wen Chou</t>
        </is>
      </c>
      <c r="D38" s="14" t="inlineStr">
        <is>
          <t>The two finest generals of Yuan Shao's army. Together, it was said, none could stand against them.</t>
        </is>
      </c>
      <c r="E38" s="14" t="inlineStr">
        <is>
          <t>Yan Liang and Wen Chou were Yuan Shao's foremost champions, called the twin pillars of Hebei. But Yan Liang fell to Guan Yu at Baima and Wen Chou to Cao Cao's army at Yanjin, one after the other, crushing Yuan Shao's spirit.</t>
        </is>
      </c>
      <c r="F38" s="14" t="inlineStr">
        <is>
          <t>顔良と文醜</t>
        </is>
      </c>
      <c r="G38" s="14" t="inlineStr">
        <is>
          <t>袁紹軍最強の二将。二人そろえば敵う者なしと言われた。</t>
        </is>
      </c>
      <c r="H38" s="14" t="inlineStr">
        <is>
          <t>顔良と文醜は袁紹軍を代表する猛将で、河北の二本柱と呼ばれた。だが顔良は白馬で関羽に、文醜は延津で曹操軍に相次いで討たれ、袁紹の士気をくじいた。</t>
        </is>
      </c>
      <c r="I38" s="14" t="inlineStr">
        <is>
          <t>顏良與文醜</t>
        </is>
      </c>
      <c r="J38" s="14" t="inlineStr">
        <is>
          <t>袁紹軍最強的兩員大將。據說二人聯手，無人能敵。</t>
        </is>
      </c>
      <c r="K38" s="14" t="inlineStr">
        <is>
          <t>顏良與文醜是袁紹軍的代表猛將，號稱河北的兩根支柱。然而顏良在白馬死於關羽之手，文醜在延津倒在曹軍面前，袁紹的士氣因此大挫。</t>
        </is>
      </c>
      <c r="L38" s="14" t="inlineStr">
        <is>
          <t>颜良与文丑</t>
        </is>
      </c>
      <c r="M38" s="14" t="inlineStr">
        <is>
          <t>袁绍军最强的两员大将。据说二人联手，无人能挡。</t>
        </is>
      </c>
      <c r="N38" s="14" t="inlineStr">
        <is>
          <t>颜良、文丑是袁绍军的代表猛将，号称河北双璧。然而颜良在白马倒于关羽刀下，文丑在延津被曹军所杀，袁军士气大挫。</t>
        </is>
      </c>
      <c r="O38" s="14" t="inlineStr">
        <is>
          <t>Yan Liang e Wen Chou</t>
        </is>
      </c>
      <c r="P38" s="14" t="inlineStr">
        <is>
          <t>Os dois maiores generais de Yuan Shao. Juntos, diziam, ninguém os detinha.</t>
        </is>
      </c>
      <c r="Q38" s="14" t="inlineStr">
        <is>
          <t>Yan Liang e Wen Chou, os bravos de Yuan Shao, eram chamados de os dois pilares de Hebei. Mas Yan Liang caiu diante de Guan Yu em Baima, e Wen Chou diante das tropas de Cao Cao em Yanjin, quebrando o ânimo de Yuan Shao.</t>
        </is>
      </c>
      <c r="R38" s="14" t="inlineStr">
        <is>
          <t>Yan Liang e Wen Chou</t>
        </is>
      </c>
      <c r="S38" s="14" t="inlineStr">
        <is>
          <t>Os dois generais mais fortes de Yuan Shao. Juntos, diziam, ninguém lhes resistia.</t>
        </is>
      </c>
      <c r="T38" s="14" t="inlineStr">
        <is>
          <t>Yan Liang e Wen Chou eram os bravos que davam rosto ao exército de Yuan Shao, os dois pilares de Hebei. Mas Yan Liang caiu às mãos de Guan Yu em Baima e Wen Chou às tropas de Cao Cao em Yanjin, e o ânimo de Yuan Shao quebrou-se.</t>
        </is>
      </c>
      <c r="U38" s="14" t="inlineStr">
        <is>
          <t>Yan Liang e Wen Chou</t>
        </is>
      </c>
      <c r="V38" s="14" t="inlineStr">
        <is>
          <t>I due generali più forti di Yuan Shao. Si diceva che insieme fossero imbattibili.</t>
        </is>
      </c>
      <c r="W38" s="14" t="inlineStr">
        <is>
          <t>Yan Liang e Wen Chou erano i campioni dell'esercito di Yuan Shao, detti i due pilastri di Hebei. Ma Yan Liang cadde per mano di Guan Yu a Baima e Wen Chou contro le truppe di Cao Cao a Yanjin, spezzando il morale di Yuan Shao.</t>
        </is>
      </c>
      <c r="X38" s="14" t="inlineStr">
        <is>
          <t>Yan Liang y Wen Chou</t>
        </is>
      </c>
      <c r="Y38" s="14" t="inlineStr">
        <is>
          <t>Los dos generales más fuertes de Yuan Shao. Juntos, decían, nadie podía con ellos.</t>
        </is>
      </c>
      <c r="Z38" s="14" t="inlineStr">
        <is>
          <t>Yan Liang y Wen Chou eran los valientes que encarnaban el ejército de Yuan Shao, los dos pilares de Hebei. Pero Yan Liang cayó en Baima ante Guan Yu y Wen Chou en Yanjin ante las tropas de Cao Cao, y la moral de Yuan Shao se quebró.</t>
        </is>
      </c>
      <c r="AA38" s="14" t="inlineStr">
        <is>
          <t>Янь Лян, Вэнь Чоу</t>
        </is>
      </c>
      <c r="AB38" s="14" t="inlineStr">
        <is>
          <t>Юань Шаогийн цэргийн хамгийн хүчит хоёр жанжин. Хоёулаа хамт байвал тэнцэх хүнгүй гэдэг байв.</t>
        </is>
      </c>
      <c r="AC38" s="14" t="inlineStr">
        <is>
          <t>Янь Лян, Вэнь Чоу хоёр Юань Шаогийн цэргийг төлөөлөх баатар бөгөөд Хэбэйн хоёр тулгуур хэмээн алдаршжээ. Гэвч Янь Лян Баймад Гуань Юйд, Вэнь Чоу Яньцзинь дээр Цао Цаогийн цэрэгт ээлжлэн унаж, Юань Шаогийн сэтгэл санааг мохоов.</t>
        </is>
      </c>
      <c r="AD38" s="14" t="inlineStr">
        <is>
          <t>河北双壁</t>
        </is>
      </c>
    </row>
    <row r="39">
      <c r="A39" t="n">
        <v>38</v>
      </c>
      <c r="B39" t="inlineStr">
        <is>
          <t>관도대전</t>
        </is>
      </c>
      <c r="C39" s="14" t="inlineStr">
        <is>
          <t>Battle of Guandu</t>
        </is>
      </c>
      <c r="D39" s="14" t="inlineStr">
        <is>
          <t>Guan Yu swiftly overcame Yan Liang and Wen Chou, and the contest between Cao Cao and Yuan Shao ended in Cao Cao's victory.</t>
        </is>
      </c>
      <c r="E39" s="14" t="inlineStr">
        <is>
          <t>In the year 200, Yuan Shao's hundred thousand faced Cao Cao's small army at Guandu. Guan Yu cut down Yan Liang at Baima, Wen Chou fell at Yanjin, and Cao Cao at last burned Wuchao to become master of the north.</t>
        </is>
      </c>
      <c r="F39" s="14" t="inlineStr">
        <is>
          <t>官渡の戦い</t>
        </is>
      </c>
      <c r="G39" s="14" t="inlineStr">
        <is>
          <t>関羽は顔良と文醜を一気に制し、曹操と袁紹の対決は曹操の勝利で幕を閉じる。</t>
        </is>
      </c>
      <c r="H39" s="14" t="inlineStr">
        <is>
          <t>西暦二〇〇年、袁紹の十万の大軍と曹操の小勢が官渡で対峙した。関羽が白馬で顔良を斬り、文醜が延津に倒れ、曹操はついに烏巣を焼き払って北方の覇者となった。</t>
        </is>
      </c>
      <c r="I39" s="14" t="inlineStr">
        <is>
          <t>官渡之戰</t>
        </is>
      </c>
      <c r="J39" s="14" t="inlineStr">
        <is>
          <t>關羽一舉制服顏良與文醜，曹操與袁紹的對決以曹操勝利告終。</t>
        </is>
      </c>
      <c r="K39" s="14" t="inlineStr">
        <is>
          <t>西元200年，袁紹的十萬大軍與曹操的少數兵力在官渡對峙。關羽在白馬斬顏良，文醜在延津陣亡，曹操最終火燒烏巢，成為北方霸主。</t>
        </is>
      </c>
      <c r="L39" s="14" t="inlineStr">
        <is>
          <t>官渡之战</t>
        </is>
      </c>
      <c r="M39" s="14" t="inlineStr">
        <is>
          <t>关羽一举制服颜良、文丑，曹操与袁绍的对决以曹操胜利告终。</t>
        </is>
      </c>
      <c r="N39" s="14" t="inlineStr">
        <is>
          <t>公元200年，袁绍的十万大军与曹操的小股军队在官渡对峙。关羽在白马斩颜良，文丑在延津倒下，曹操终于火烧乌巢，成为北方霸主。</t>
        </is>
      </c>
      <c r="O39" s="14" t="inlineStr">
        <is>
          <t>Batalha de Guandu</t>
        </is>
      </c>
      <c r="P39" s="14" t="inlineStr">
        <is>
          <t>Guan Yu derruba Yan Liang e Wen Chou num instante, e o duelo entre Cao Cao e Yuan Shao termina com a vitória de Cao Cao.</t>
        </is>
      </c>
      <c r="Q39" s="14" t="inlineStr">
        <is>
          <t>No ano 200, os cem mil de Yuan Shao enfrentaram o pequeno exército de Cao Cao em Guandu. Guan Yu abateu Yan Liang em Baima, Wen Chou caiu em Yanjin, e Cao Cao, por fim, queimou Wuchao e se tornou senhor do norte.</t>
        </is>
      </c>
      <c r="R39" s="14" t="inlineStr">
        <is>
          <t>A Batalha de Guandu</t>
        </is>
      </c>
      <c r="S39" s="14" t="inlineStr">
        <is>
          <t>Guan Yu derruba Yan Liang e Wen Chou num ápice, e o confronto entre Cao Cao e Yuan Shao termina com a vitória de Cao Cao.</t>
        </is>
      </c>
      <c r="T39" s="14" t="inlineStr">
        <is>
          <t>No ano 200, as cem mil tropas de Yuan Shao e o pequeno exército de Cao Cao enfrentaram-se em Guandu. Guan Yu abateu Yan Liang em Baima, Wen Chou caiu em Yanjin, e Cao Cao acabou por incendiar Wuchao e tornar-se senhor do norte.</t>
        </is>
      </c>
      <c r="U39" s="14" t="inlineStr">
        <is>
          <t>La battaglia di Guandu</t>
        </is>
      </c>
      <c r="V39" s="14" t="inlineStr">
        <is>
          <t>Guan Yu abbatté Yan Liang e Wen Chou in un lampo, e lo scontro tra Cao Cao e Yuan Shao si chiuse con la vittoria di Cao Cao.</t>
        </is>
      </c>
      <c r="W39" s="14" t="inlineStr">
        <is>
          <t>Nel 200 d.C. l'esercito di centomila uomini di Yuan Shao e la piccola armata di Cao Cao si affrontarono a Guandu. Guan Yu abbatté Yan Liang a Baima, Wen Chou cadde a Yanjin, e Cao Cao, bruciando infine Wuchao, divenne il signore del nord.</t>
        </is>
      </c>
      <c r="X39" s="14" t="inlineStr">
        <is>
          <t>La batalla de Guandu</t>
        </is>
      </c>
      <c r="Y39" s="14" t="inlineStr">
        <is>
          <t>Guan Yu derriba a Yan Liang y Wen Chou, y el duelo entre Cao Cao y Yuan Shao termina con la victoria de Cao Cao.</t>
        </is>
      </c>
      <c r="Z39" s="14" t="inlineStr">
        <is>
          <t>En el año 200, los cien mil soldados de Yuan Shao y el pequeño ejército de Cao Cao se enfrentaron en Guandu. Guan Yu mató a Yan Liang en Baima, Wen Chou cayó en Yanjin, y Cao Cao terminó quemando Wuchao para hacerse dueño del norte.</t>
        </is>
      </c>
      <c r="AA39" s="14" t="inlineStr">
        <is>
          <t>Гуаньдугийн их тулаан</t>
        </is>
      </c>
      <c r="AB39" s="14" t="inlineStr">
        <is>
          <t>Гуань Юй Янь Лян, Вэнь Чоу хоёрыг нэг амьсгаагаар дарж, Цао Цао, Юань Шао хоёрын тэмцэл Цао Цаогийн ялалтаар өндөрлөнө.</t>
        </is>
      </c>
      <c r="AC39" s="14" t="inlineStr">
        <is>
          <t>200 онд Юань Шаогийн зуун мянган их цэрэг, Цао Цаогийн цөөн цэрэг Гуаньдуд тулав. Гуань Юй Баймад Янь Ляныг цавчиж, Вэнь Чоу Яньцзинь дээр унаж, Цао Цао эцэст нь Учаог шатааж хойд нутгийн ноёрхогч болжээ.</t>
        </is>
      </c>
      <c r="AD39" s="14" t="inlineStr">
        <is>
          <t>官渡之战</t>
        </is>
      </c>
    </row>
    <row r="40">
      <c r="A40" t="n">
        <v>39</v>
      </c>
      <c r="B40" t="inlineStr">
        <is>
          <t>오소 기습</t>
        </is>
      </c>
      <c r="C40" s="14" t="inlineStr">
        <is>
          <t>Burning the Granary</t>
        </is>
      </c>
      <c r="D40" s="14" t="inlineStr">
        <is>
          <t>When Xu You defected, Cao Cao himself burned the granary at Wuchao.</t>
        </is>
      </c>
      <c r="E40" s="14" t="inlineStr">
        <is>
          <t>As the standoff at Guandu dragged on, Yuan Shao's advisor Xu You came over to Cao Cao and revealed the granary at Wuchao. Cao Cao personally led five thousand horsemen to burn it by night, and its keeper Chunyu Qiong was taken.</t>
        </is>
      </c>
      <c r="F40" s="14" t="inlineStr">
        <is>
          <t>兵糧庫を焼く</t>
        </is>
      </c>
      <c r="G40" s="14" t="inlineStr">
        <is>
          <t>許攸が寝返ると、曹操は自ら烏巣の兵糧庫を焼き払った。</t>
        </is>
      </c>
      <c r="H40" s="14" t="inlineStr">
        <is>
          <t>官渡の対陣が長引くと、袁紹の策士・許攸が曹操に寝返り、烏巣の兵糧庫を明かした。曹操は自ら五千騎を率いて夜のうちに烏巣を焼き、守っていた淳于瓊は捕らえられた。</t>
        </is>
      </c>
      <c r="I40" s="14" t="inlineStr">
        <is>
          <t>火燒糧倉</t>
        </is>
      </c>
      <c r="J40" s="14" t="inlineStr">
        <is>
          <t>許攸來投，曹操親自燒毀了烏巢糧倉。</t>
        </is>
      </c>
      <c r="K40" s="14" t="inlineStr">
        <is>
          <t>官渡對峙日久，袁紹的謀士許攸投奔曹操，透露了烏巢糧倉的位置。曹操親率五千騎兵夜襲烏巢，將其焚毀，守將淳于瓊被擒。</t>
        </is>
      </c>
      <c r="L40" s="14" t="inlineStr">
        <is>
          <t>火烧粮仓</t>
        </is>
      </c>
      <c r="M40" s="14" t="inlineStr">
        <is>
          <t>许攸来投，曹操亲自烧了乌巢的粮仓。</t>
        </is>
      </c>
      <c r="N40" s="14" t="inlineStr">
        <is>
          <t>官渡相持日久，袁绍谋士许攸投奔曹操，告知乌巢屯粮之所。曹操亲率五千骑夜袭乌巢放火，守将淳于琼被擒。</t>
        </is>
      </c>
      <c r="O40" s="14" t="inlineStr">
        <is>
          <t>Os Celeiros em Chamas</t>
        </is>
      </c>
      <c r="P40" s="14" t="inlineStr">
        <is>
          <t>Com a deserção de Xu You, Cao Cao foi pessoalmente queimar os celeiros de Wuchao.</t>
        </is>
      </c>
      <c r="Q40" s="14" t="inlineStr">
        <is>
          <t>Com o impasse de Guandu se arrastando, Xu You, estrategista de Yuan Shao, passou para o lado de Cao Cao e revelou os celeiros de Wuchao. Cao Cao liderou cinco mil cavaleiros à noite e queimou Wuchao, e Chunyu Qiong, que os guardava, foi capturado.</t>
        </is>
      </c>
      <c r="R40" s="14" t="inlineStr">
        <is>
          <t>Os Celeiros em Chamas</t>
        </is>
      </c>
      <c r="S40" s="14" t="inlineStr">
        <is>
          <t>Com a deserção de Xu You, Cao Cao foi em pessoa queimar os celeiros de Wuchao.</t>
        </is>
      </c>
      <c r="T40" s="14" t="inlineStr">
        <is>
          <t>Arrastando-se o impasse em Guandu, Xu You, conselheiro de Yuan Shao, passou-se para Cao Cao e revelou-lhe os celeiros de Wuchao. Cao Cao conduziu pessoalmente cinco mil cavaleiros e incendiou-os de noite; Chunyu Qiong, que os guardava, foi capturado.</t>
        </is>
      </c>
      <c r="U40" s="14" t="inlineStr">
        <is>
          <t>Bruciare i granai</t>
        </is>
      </c>
      <c r="V40" s="14" t="inlineStr">
        <is>
          <t>Quando Xu You passò dalla sua parte, Cao Cao in persona diede fuoco ai granai di Wuchao.</t>
        </is>
      </c>
      <c r="W40" s="14" t="inlineStr">
        <is>
          <t>Mentre lo stallo di Guandu si prolungava, Xu You, stratega di Yuan Shao, disertò e rivelò a Cao Cao i granai di Wuchao. Cao Cao guidò in persona cinquemila cavalieri e li incendiò di notte; Chunyu Qiong, che li custodiva, fu catturato.</t>
        </is>
      </c>
      <c r="X40" s="14" t="inlineStr">
        <is>
          <t>Fuego en los graneros de Wuchao</t>
        </is>
      </c>
      <c r="Y40" s="14" t="inlineStr">
        <is>
          <t>Cuando Xu You se pasó a su bando, Cao Cao en persona quemó los graneros de Wuchao.</t>
        </is>
      </c>
      <c r="Z40" s="14" t="inlineStr">
        <is>
          <t>Con el asedio de Guandu estancado, Xu You, consejero de Yuan Shao, se pasó a Cao Cao y le reveló los graneros de Wuchao. Cao Cao en persona llevó cinco mil jinetes y los incendió de noche; Chunyu Qiong, que los custodiaba, fue capturado.</t>
        </is>
      </c>
      <c r="AA40" s="14" t="inlineStr">
        <is>
          <t>Тэжээлийн агуулахыг шатаах</t>
        </is>
      </c>
      <c r="AB40" s="14" t="inlineStr">
        <is>
          <t>Сюй Ю урван ирэхэд Цао Цао өөрөө Учаогийн тэжээлийн агуулахыг шатаав.</t>
        </is>
      </c>
      <c r="AC40" s="14" t="inlineStr">
        <is>
          <t>Гуаньдугийн тулалт удаан үргэлжлэхэд Юань Шаогийн зөвлөх Сюй Ю Цао Цаод урван ирж Учаогийн тэжээлийн агуулахыг мэдэгдэв. Цао Цао өөрөө таван мянган хүлэг цэрэг удирдан шөнө Учаог шатааж, сахиж байсан Чуньюй Цюн олзлогджээ.</t>
        </is>
      </c>
      <c r="AD40" s="14" t="inlineStr">
        <is>
          <t>火烧乌巢</t>
        </is>
      </c>
    </row>
    <row r="41">
      <c r="A41" t="n">
        <v>40</v>
      </c>
      <c r="B41" t="inlineStr">
        <is>
          <t>오관참육장</t>
        </is>
      </c>
      <c r="C41" s="14" t="inlineStr">
        <is>
          <t>Five Passes, Six Generals</t>
        </is>
      </c>
      <c r="D41" s="14" t="inlineStr">
        <is>
          <t>Seeking his brother, he passed five gates and slew six generals.</t>
        </is>
      </c>
      <c r="E41" s="14" t="inlineStr">
        <is>
          <t>Hearing news of Liu Bei, Guan Yu sealed away the riches Cao Cao had given him and set out escorting his two sisters-in-law. Without a pass, he crossed five gates and slew six generals — Guan Yu's thousand-league journey, as the Romance tells it.</t>
        </is>
      </c>
      <c r="F41" s="14" t="inlineStr">
        <is>
          <t>五つの関、六人の将</t>
        </is>
      </c>
      <c r="G41" s="14" t="inlineStr">
        <is>
          <t>兄を求めて五つの関を越え、六人の将を斬った。</t>
        </is>
      </c>
      <c r="H41" s="14" t="inlineStr">
        <is>
          <t>劉備の消息を聞いた関羽は、曹操から賜った財宝を封じ、二人の兄嫁を守って旅立った。通行証もなく五つの関を越えながら六人の将を斬った――演義が描く関羽の千里行である。</t>
        </is>
      </c>
      <c r="I41" s="14" t="inlineStr">
        <is>
          <t>五道關口，六員大將</t>
        </is>
      </c>
      <c r="J41" s="14" t="inlineStr">
        <is>
          <t>為尋兄長，一路闖過五關，斬殺六將。</t>
        </is>
      </c>
      <c r="K41" s="14" t="inlineStr">
        <is>
          <t>得知劉備消息的關羽，封存曹操所贈財物，護送兩位嫂嫂上路。沒有通行文書，他闖過五道關口、斬殺六員大將——這是演義描繪的關羽千里行。</t>
        </is>
      </c>
      <c r="L41" s="14" t="inlineStr">
        <is>
          <t>五道关隘，六员大将</t>
        </is>
      </c>
      <c r="M41" s="14" t="inlineStr">
        <is>
          <t>为寻兄长，过五关、斩六将。</t>
        </is>
      </c>
      <c r="N41" s="14" t="inlineStr">
        <is>
          <t>得知刘备下落的关羽封存了曹操所赐财物，护送两位嫂嫂上路。他无通关文书，连过五关，斩杀六将——这是演义描绘的关羽千里走单骑。</t>
        </is>
      </c>
      <c r="O41" s="14" t="inlineStr">
        <is>
          <t>Cinco Passos, Seis Generais</t>
        </is>
      </c>
      <c r="P41" s="14" t="inlineStr">
        <is>
          <t>Em busca do irmão, atravessou cinco passos e matou seis generais.</t>
        </is>
      </c>
      <c r="Q41" s="14" t="inlineStr">
        <is>
          <t>Ao saber de Liu Bei, Guan Yu lacrou os presentes de Cao Cao e partiu escoltando as duas cunhadas. Sem salvo-conduto, atravessou cinco passos e matou seis generais — a jornada de mil li de Guan Yu, como a pinta o Romance.</t>
        </is>
      </c>
      <c r="R41" s="14" t="inlineStr">
        <is>
          <t>Cinco Passagens, Seis Generais</t>
        </is>
      </c>
      <c r="S41" s="14" t="inlineStr">
        <is>
          <t>Em busca do irmão, atravessou cinco passagens e abateu seis generais.</t>
        </is>
      </c>
      <c r="T41" s="14" t="inlineStr">
        <is>
          <t>Ao saber de Liu Bei, Guan Yu selou os tesouros que Cao Cao lhe dera e partiu com as duas cunhadas. Sem salvo-conduto, atravessou cinco passagens e abateu seis generais — a jornada de mil léguas de Guan Yu, tal como o Romance a conta.</t>
        </is>
      </c>
      <c r="U41" s="14" t="inlineStr">
        <is>
          <t>Cinque passi, sei generali</t>
        </is>
      </c>
      <c r="V41" s="14" t="inlineStr">
        <is>
          <t>In cerca del fratello, superò cinque passi e abbatté sei generali.</t>
        </is>
      </c>
      <c r="W41" s="14" t="inlineStr">
        <is>
          <t>Saputo di Liu Bei, Guan Yu sigillò i doni ricevuti da Cao Cao e partì scortando le due cognate. Senza lasciapassare superò cinque passi e abbatté sei generali: è il viaggio di mille li di Guan Yu narrato dal Romanzo.</t>
        </is>
      </c>
      <c r="X41" s="14" t="inlineStr">
        <is>
          <t>Cinco pasos, seis generales</t>
        </is>
      </c>
      <c r="Y41" s="14" t="inlineStr">
        <is>
          <t>En busca de su hermano, cruzó cinco pasos y abatió a seis generales.</t>
        </is>
      </c>
      <c r="Z41" s="14" t="inlineStr">
        <is>
          <t>Al saber de Liu Bei, Guan Yu selló los tesoros que le había dado Cao Cao y partió escoltando a sus dos cuñadas. Sin salvoconducto, cruzó cinco pasos y abatió a seis generales: el viaje de mil li de Guan Yu que pintó la novela.</t>
        </is>
      </c>
      <c r="AA41" s="14" t="inlineStr">
        <is>
          <t>Таван хаалга, зургаан жанжин</t>
        </is>
      </c>
      <c r="AB41" s="14" t="inlineStr">
        <is>
          <t>Ахаа хайн таван хаалгыг давахдаа зургаан жанжныг цавчив.</t>
        </is>
      </c>
      <c r="AC41" s="14" t="inlineStr">
        <is>
          <t>Лю Бэйн сураг сонссон Гуань Юй Цао Цаогийн хайрласан эд хөрөнгийг битүүмжлээд хоёр бэргэнээ дагуулан замд гарав. Нэвтрэх бичиггүйгээр таван хаалгыг давахдаа зургаан жанжныг цавчив — туужийн дүрсэлсэн Гуань Юйн мянган газрын аян.</t>
        </is>
      </c>
      <c r="AD41" s="14" t="inlineStr">
        <is>
          <t>过五关斩六将</t>
        </is>
      </c>
    </row>
    <row r="42">
      <c r="A42" t="n">
        <v>41</v>
      </c>
      <c r="B42" t="inlineStr">
        <is>
          <t>고성의 재회</t>
        </is>
      </c>
      <c r="C42" s="14" t="inlineStr">
        <is>
          <t>Brothers Reunited</t>
        </is>
      </c>
      <c r="D42" s="14" t="inlineStr">
        <is>
          <t>The scattered brothers and their officers gathered again at Gucheng.</t>
        </is>
      </c>
      <c r="E42" s="14" t="inlineStr">
        <is>
          <t>Liu Bei, wandering in Runan; Zhang Fei, who had taken Gucheng; Guan Yu, who had ridden a thousand leagues — at last they met again at Gucheng. Zhao Yun, Zhou Cang, Sun Qian, Jian Yong and Mi Zhu gathered too, and Liu Bei's band stood once more.</t>
        </is>
      </c>
      <c r="F42" s="14" t="inlineStr">
        <is>
          <t>兄弟、ふたたび集う</t>
        </is>
      </c>
      <c r="G42" s="14" t="inlineStr">
        <is>
          <t>散り散りになった兄弟と将たちが、古城で再会した。</t>
        </is>
      </c>
      <c r="H42" s="14" t="inlineStr">
        <is>
          <t>汝南をさまよう劉備、古城を奪った張飛、千里を駆けてきた関羽が、ついに古城で再会した。趙雲・周倉・孫乾・簡雍・糜竺も集まり、散り散りだった劉備の一党はふたたび立ち上がった。</t>
        </is>
      </c>
      <c r="I42" s="14" t="inlineStr">
        <is>
          <t>兄弟重聚</t>
        </is>
      </c>
      <c r="J42" s="14" t="inlineStr">
        <is>
          <t>離散的兄弟與部將，在古城重新聚首。</t>
        </is>
      </c>
      <c r="K42" s="14" t="inlineStr">
        <is>
          <t>流落汝南的劉備、佔據古城的張飛、千里奔來的關羽，終於在古城重逢。趙雲、周倉、孫乾、簡雍、糜竺也紛紛來會，離散的劉備集團再度站了起來。</t>
        </is>
      </c>
      <c r="L42" s="14" t="inlineStr">
        <is>
          <t>兄弟重聚</t>
        </is>
      </c>
      <c r="M42" s="14" t="inlineStr">
        <is>
          <t>失散的兄弟与将领们在古城重新聚首。</t>
        </is>
      </c>
      <c r="N42" s="14" t="inlineStr">
        <is>
          <t>流落汝南的刘备、占据古城的张飞、千里赶来的关羽终于在古城重逢。赵云、周仓、孙乾、简雍、糜竺也陆续聚来，失散的刘备集团重新立了起来。</t>
        </is>
      </c>
      <c r="O42" s="14" t="inlineStr">
        <is>
          <t>Os Irmãos se Reencontram</t>
        </is>
      </c>
      <c r="P42" s="14" t="inlineStr">
        <is>
          <t>Irmãos e generais dispersos se reuniram em Gucheng.</t>
        </is>
      </c>
      <c r="Q42" s="14" t="inlineStr">
        <is>
          <t>Liu Bei, que vagava por Runan, Zhang Fei, que tomara Gucheng, e Guan Yu, que cavalgara mil li, enfim se reencontraram em Gucheng. Zhao Yun, Zhou Cang, Sun Qian, Jian Yong e Mi Zhu também vieram, e o grupo de Liu Bei se reergueu.</t>
        </is>
      </c>
      <c r="R42" s="14" t="inlineStr">
        <is>
          <t>Os Irmãos Reencontram-se</t>
        </is>
      </c>
      <c r="S42" s="14" t="inlineStr">
        <is>
          <t>Irmãos e generais dispersos voltaram a reunir-se em Gucheng.</t>
        </is>
      </c>
      <c r="T42" s="14" t="inlineStr">
        <is>
          <t>Liu Bei, errante em Runan, Zhang Fei, que tomara Gucheng, e Guan Yu, que cavalgara mil léguas, reencontraram-se por fim em Gucheng. Zhao Yun, Zhou Cang, Sun Qian, Jian Yong e Mi Zhu juntaram-se também, e o bando disperso de Liu Bei voltou a erguer-se.</t>
        </is>
      </c>
      <c r="U42" s="14" t="inlineStr">
        <is>
          <t>I fratelli di nuovo uniti</t>
        </is>
      </c>
      <c r="V42" s="14" t="inlineStr">
        <is>
          <t>Fratelli e generali dispersi si ritrovarono a Gucheng.</t>
        </is>
      </c>
      <c r="W42" s="14" t="inlineStr">
        <is>
          <t>Liu Bei, ramingo a Runan, Zhang Fei, che aveva preso Gucheng, e Guan Yu, accorso da mille li, si ritrovarono infine a Gucheng. Accorsero anche Zhao Yun, Zhou Cang, Sun Qian, Jian Yong e Mi Zhu, e la banda dispersa di Liu Bei tornò in piedi.</t>
        </is>
      </c>
      <c r="X42" s="14" t="inlineStr">
        <is>
          <t>Los hermanos se reencuentran</t>
        </is>
      </c>
      <c r="Y42" s="14" t="inlineStr">
        <is>
          <t>Hermanos y generales dispersos volvieron a reunirse en Gucheng.</t>
        </is>
      </c>
      <c r="Z42" s="14" t="inlineStr">
        <is>
          <t>Liu Bei, que vagaba por Runan; Zhang Fei, que se había hecho con Gucheng; y Guan Yu, que había cabalgado mil li, se encontraron al fin en Gucheng. Llegaron también Zhao Yun, Zhou Cang, Sun Qian, Jian Yong y Mi Zhu, y el grupo de Liu Bei volvió a ponerse en pie.</t>
        </is>
      </c>
      <c r="AA42" s="14" t="inlineStr">
        <is>
          <t>Ах дүүс дахин нийлэв</t>
        </is>
      </c>
      <c r="AB42" s="14" t="inlineStr">
        <is>
          <t>Тархсан ах дүүс, жанжид Гучэнд дахин цугларав.</t>
        </is>
      </c>
      <c r="AC42" s="14" t="inlineStr">
        <is>
          <t>Жунаньд тэнэж явсан Лю Бэй, Гучэнг эзэлсэн Чжан Фэй, мянган газар давхисан Гуань Юй нар эцэст нь Гучэнд дахин уулзав. Чжао Юнь, Чжоу Цан, Сунь Цянь, Цзянь Юн, Ми Чжу нар ч цугларч, бутарсан Лю Бэйн бүлэг дахин бослоо.</t>
        </is>
      </c>
      <c r="AD42" s="14" t="inlineStr">
        <is>
          <t>古城相会</t>
        </is>
      </c>
    </row>
    <row r="43">
      <c r="A43" t="n">
        <v>42</v>
      </c>
      <c r="B43" t="inlineStr">
        <is>
          <t>발시담정</t>
        </is>
      </c>
      <c r="C43" s="14" t="inlineStr">
        <is>
          <t>He Ate His Own Eye</t>
        </is>
      </c>
      <c r="D43" s="14" t="inlineStr">
        <is>
          <t>He pulled out the arrow in his eye and swallowed it: “I cannot waste my parents' blood.”</t>
        </is>
      </c>
      <c r="E43" s="14" t="inlineStr">
        <is>
          <t>Fighting Lü Bu, Xiahou Dun was struck in the left eye by Cao Xing's arrow. The Romance says he tore out the arrow, swallowed the eye that came with it — “I cannot waste my parents' blood” — and ran Cao Xing through.</t>
        </is>
      </c>
      <c r="F43" s="14" t="inlineStr">
        <is>
          <t>矢を抜き、目を喰らう</t>
        </is>
      </c>
      <c r="G43" s="14" t="inlineStr">
        <is>
          <t>目に刺さった矢を抜き、「父母の精血、捨つべからず」と呑み込んだ。</t>
        </is>
      </c>
      <c r="H43" s="14" t="inlineStr">
        <is>
          <t>呂布と戦う夏侯惇は、曹性の矢を左目に受けた。演義は、彼が矢を抜いた拍子に出た目玉を「父母の精血、捨つべからず」と呑み込み、曹性を突き殺したと伝える。</t>
        </is>
      </c>
      <c r="I43" s="14" t="inlineStr">
        <is>
          <t>拔箭吞眼</t>
        </is>
      </c>
      <c r="J43" s="14" t="inlineStr">
        <is>
          <t>拔出射入眼中的箭，說「父精母血，不可棄也」，將眼珠吞下。</t>
        </is>
      </c>
      <c r="K43" s="14" t="inlineStr">
        <is>
          <t>與呂布交戰的夏侯惇左眼中了曹性一箭。演義說他拔箭時連眼珠一併帶出，道「父精母血，不可棄也」，一口吞下，隨即挺槍刺死了曹性。</t>
        </is>
      </c>
      <c r="L43" s="14" t="inlineStr">
        <is>
          <t>拔箭吞睛</t>
        </is>
      </c>
      <c r="M43" s="14" t="inlineStr">
        <is>
          <t>拔出射入眼中的箭，说「父精母血，不可弃也」，一口吞下。</t>
        </is>
      </c>
      <c r="N43" s="14" t="inlineStr">
        <is>
          <t>与吕布交战的夏侯惇被曹性一箭射中左眼。演义说他拔箭时带出眼珠，喊道「父精母血，不可弃也」，吞下眼珠，随即挺枪刺死了曹性。</t>
        </is>
      </c>
      <c r="O43" s="14" t="inlineStr">
        <is>
          <t>Arrancou a Flecha, Engoliu o Olho</t>
        </is>
      </c>
      <c r="P43" s="14" t="inlineStr">
        <is>
          <t>Arrancou a flecha do olho e o engoliu: “Não desperdiço o sangue de meus pais.”</t>
        </is>
      </c>
      <c r="Q43" s="14" t="inlineStr">
        <is>
          <t>Lutando contra Lü Bu, Xiahou Dun foi atingido no olho esquerdo por uma flecha de Cao Xing. Conta o Romance que, ao arrancá-la, engoliu o olho que veio junto dizendo “não desperdiço o sangue de meus pais”, e matou Cao Xing com a lança.</t>
        </is>
      </c>
      <c r="R43" s="14" t="inlineStr">
        <is>
          <t>Arrancar a Flecha, Engolir o Olho</t>
        </is>
      </c>
      <c r="S43" s="14" t="inlineStr">
        <is>
          <t>Arrancou a flecha cravada no olho e engoliu-o: «Não posso deitar fora a essência dos meus pais.»</t>
        </is>
      </c>
      <c r="T43" s="14" t="inlineStr">
        <is>
          <t>A combater Lü Bu, Xiahou Dun foi atingido no olho esquerdo por uma flecha de Cao Xing. O Romance conta que arrancou a flecha e, com ela, o olho, que engoliu dizendo «não posso deitar fora a essência dos meus pais», antes de trespassar Cao Xing.</t>
        </is>
      </c>
      <c r="U43" s="14" t="inlineStr">
        <is>
          <t>Via la freccia, giù l'occhio</t>
        </is>
      </c>
      <c r="V43" s="14" t="inlineStr">
        <is>
          <t>Strappata la freccia dall'occhio, lo ingoiò dicendo: «Non posso gettare il sangue dei miei genitori».</t>
        </is>
      </c>
      <c r="W43" s="14" t="inlineStr">
        <is>
          <t>Combattendo contro Lü Bu, Xiahou Dun fu colpito all'occhio sinistro da una freccia di Cao Xing. Il Romanzo narra che, estratta la freccia insieme all'occhio, lo ingoiò dicendo «non posso gettare il sangue dei miei genitori», poi trafisse a morte Cao Xing.</t>
        </is>
      </c>
      <c r="X43" s="14" t="inlineStr">
        <is>
          <t>Se tragó su propio ojo</t>
        </is>
      </c>
      <c r="Y43" s="14" t="inlineStr">
        <is>
          <t>Se arrancó la flecha del ojo y se lo tragó: «No puedo tirar la sangre de mis padres».</t>
        </is>
      </c>
      <c r="Z43" s="14" t="inlineStr">
        <is>
          <t>Peleando contra Lü Bu, Xiahou Dun recibió en el ojo izquierdo una flecha de Cao Xing. La novela cuenta que, al arrancarla, salió el ojo con ella, y él se lo tragó diciendo «no puedo tirar la sangre de mis padres», antes de matar a Cao Xing.</t>
        </is>
      </c>
      <c r="AA43" s="14" t="inlineStr">
        <is>
          <t>Сумаа сугалж нүдээ залгив</t>
        </is>
      </c>
      <c r="AB43" s="14" t="inlineStr">
        <is>
          <t>Нүдэнд зоогдсон сумаа сугалж «Эцэг эхийн цусыг хаяж болохгүй» хэмээн залгив.</t>
        </is>
      </c>
      <c r="AC43" s="14" t="inlineStr">
        <is>
          <t>Люй Бутай тулалдаж байсан Сяхоу Дунь Цао Сингийн суманд зүүн нүдээ оногдуулав. Туужид өгүүлснээр тэрбээр сумаа сугалахад хамт гарсан нүдээ «Эцэг эхийн цусыг хаяж болохгүй» хэмээн залгиж, Цао Сингийг жадлан алжээ.</t>
        </is>
      </c>
      <c r="AD43" s="14" t="inlineStr">
        <is>
          <t>拔矢啖睛</t>
        </is>
      </c>
    </row>
    <row r="44">
      <c r="A44" t="n">
        <v>43</v>
      </c>
      <c r="B44" t="inlineStr">
        <is>
          <t>백랑산</t>
        </is>
      </c>
      <c r="C44" s="14" t="inlineStr">
        <is>
          <t>Battle of White Wolf Mountain</t>
        </is>
      </c>
      <c r="D44" s="14" t="inlineStr">
        <is>
          <t>In the far north, Zhang Liao's vanguard broke the Wuhuan.</t>
        </is>
      </c>
      <c r="E44" s="14" t="inlineStr">
        <is>
          <t>When the Yuan brothers fled to the Wuhuan, Cao Cao, urged on by Guo Jia, marched far into the north. At White Wolf Mountain Zhang Liao led the vanguard, slew the Wuhuan chieftain Tadun, and brought the north to heel.</t>
        </is>
      </c>
      <c r="F44" s="14" t="inlineStr">
        <is>
          <t>北の果ての戦い</t>
        </is>
      </c>
      <c r="G44" s="14" t="inlineStr">
        <is>
          <t>遠い北方の烏桓を、張遼の先鋒が打ち破った。</t>
        </is>
      </c>
      <c r="H44" s="14" t="inlineStr">
        <is>
          <t>袁氏の兄弟が烏桓へ逃れると、曹操は郭嘉の勧めで遥かな北方遠征に乗り出した。白狼山で張遼が先鋒を務め、烏桓の単于・蹋頓を斬って北方を平定した。</t>
        </is>
      </c>
      <c r="I44" s="14" t="inlineStr">
        <is>
          <t>北方盡頭之戰</t>
        </is>
      </c>
      <c r="J44" s="14" t="inlineStr">
        <is>
          <t>張遼為先鋒，擊潰了遙遠北方的烏桓。</t>
        </is>
      </c>
      <c r="K44" s="14" t="inlineStr">
        <is>
          <t>袁氏兄弟逃往烏桓，曹操聽從郭嘉的勸告遠征北方。張遼在白狼山擔任先鋒，斬殺烏桓單于蹋頓，平定了北方。</t>
        </is>
      </c>
      <c r="L44" s="14" t="inlineStr">
        <is>
          <t>北方尽头之战</t>
        </is>
      </c>
      <c r="M44" s="14" t="inlineStr">
        <is>
          <t>张辽的先锋击溃了遥远北方的乌桓。</t>
        </is>
      </c>
      <c r="N44" s="14" t="inlineStr">
        <is>
          <t>袁氏兄弟逃往乌桓，曹操听从郭嘉之劝远征北方。白狼山一战，张辽担任先锋，斩杀乌桓单于蹋顿，平定了北方。</t>
        </is>
      </c>
      <c r="O44" s="14" t="inlineStr">
        <is>
          <t>Batalha no Extremo Norte</t>
        </is>
      </c>
      <c r="P44" s="14" t="inlineStr">
        <is>
          <t>A vanguarda de Zhang Liao destroçou os Wuhuan do distante norte.</t>
        </is>
      </c>
      <c r="Q44" s="14" t="inlineStr">
        <is>
          <t>Quando os irmãos Yuan fugiram para os Wuhuan, Cao Cao, a conselho de Guo Jia, partiu numa longa expedição ao norte. No monte Bailang, Zhang Liao liderou a vanguarda, matou o chefe Tadun e pacificou o norte.</t>
        </is>
      </c>
      <c r="R44" s="14" t="inlineStr">
        <is>
          <t>Combate no Extremo Norte</t>
        </is>
      </c>
      <c r="S44" s="14" t="inlineStr">
        <is>
          <t>A vanguarda de Zhang Liao desfez os Wuhuan do longínquo norte.</t>
        </is>
      </c>
      <c r="T44" s="14" t="inlineStr">
        <is>
          <t>Quando os irmãos Yuan fugiram para junto dos Wuhuan, Cao Cao partiu numa longa expedição ao norte a conselho de Guo Jia. No monte Bailang, Zhang Liao comandou a vanguarda, abateu o chefe Tadun e pacificou o norte.</t>
        </is>
      </c>
      <c r="U44" s="14" t="inlineStr">
        <is>
          <t>La battaglia ai confini del nord</t>
        </is>
      </c>
      <c r="V44" s="14" t="inlineStr">
        <is>
          <t>L'avanguardia di Zhang Liao travolse i lontani Wuhuan del nord.</t>
        </is>
      </c>
      <c r="W44" s="14" t="inlineStr">
        <is>
          <t>Quando i fratelli Yuan fuggirono presso i Wuhuan, Cao Cao, su consiglio di Guo Jia, intraprese una lontana spedizione a nord. Al monte Bailang Zhang Liao guidò l'avanguardia, uccise il chanyu Tadun e pacificò il nord.</t>
        </is>
      </c>
      <c r="X44" s="14" t="inlineStr">
        <is>
          <t>Batalla en el confín del norte</t>
        </is>
      </c>
      <c r="Y44" s="14" t="inlineStr">
        <is>
          <t>La vanguardia de Zhang Liao deshizo a los wuhuan del lejano norte.</t>
        </is>
      </c>
      <c r="Z44" s="14" t="inlineStr">
        <is>
          <t>Cuando los hermanos Yuan huyeron con los wuhuan, Cao Cao, por consejo de Guo Jia, emprendió una larga campaña al norte. En el monte Bailang, Zhang Liao encabezó la vanguardia, mató al caudillo wuhuan Tadun y pacificó el norte.</t>
        </is>
      </c>
      <c r="AA44" s="14" t="inlineStr">
        <is>
          <t>Хойд хязгаарын тулаан</t>
        </is>
      </c>
      <c r="AB44" s="14" t="inlineStr">
        <is>
          <t>Алс хойд зүгийн Ухуаныг Чжан Ляогийн манлай цэрэг бут цохив.</t>
        </is>
      </c>
      <c r="AC44" s="14" t="inlineStr">
        <is>
          <t>Юань ах дүүс Ухуань руу зугтахад Цао Цао Го Цзягийн зөвлөснөөр алс хойд зүг аянд мордов. Байлан ууланд Чжан Ляо манлайлж, Ухуаны шаньюй Тадуныг цавчин хойд нутгийг тогтоожээ.</t>
        </is>
      </c>
      <c r="AD44" s="14" t="inlineStr">
        <is>
          <t>白狼山</t>
        </is>
      </c>
    </row>
    <row r="45">
      <c r="A45" t="n">
        <v>44</v>
      </c>
      <c r="B45" t="inlineStr">
        <is>
          <t>적로의 단계 도약</t>
        </is>
      </c>
      <c r="C45" s="14" t="inlineStr">
        <is>
          <t>Dilu Leaps the River</t>
        </is>
      </c>
      <c r="D45" s="14" t="inlineStr">
        <is>
          <t>The ill-omened horse said to harm its master leapt the Tan Torrent and saved Liu Bei.</t>
        </is>
      </c>
      <c r="E45" s="14" t="inlineStr">
        <is>
          <t>At a banquet in Jing Province, Liu Bei realized Cai Mao meant to kill him and galloped away. Stopped by the rapids of the Tan Torrent, he cried, “Dilu, will you be my doom today?” — and Dilu leapt three fathoms across.</t>
        </is>
      </c>
      <c r="F45" s="14" t="inlineStr">
        <is>
          <t>的盧、檀渓を跳ぶ</t>
        </is>
      </c>
      <c r="G45" s="14" t="inlineStr">
        <is>
          <t>主に祟るという凶馬が檀渓を跳び越え、劉備を救った。</t>
        </is>
      </c>
      <c r="H45" s="14" t="inlineStr">
        <is>
          <t>荊州の宴で蔡瑁が自分を害そうとしていると察した劉備は、馬を駆って逃れた。檀渓の急流に阻まれ「的盧よ、今日わしを害するか」と叫ぶと、的盧は三丈を跳んで渡った。</t>
        </is>
      </c>
      <c r="I45" s="14" t="inlineStr">
        <is>
          <t>的盧躍過檀溪</t>
        </is>
      </c>
      <c r="J45" s="14" t="inlineStr">
        <is>
          <t>傳說會妨主的凶馬躍過檀溪，救了劉備一命。</t>
        </is>
      </c>
      <c r="K45" s="14" t="inlineStr">
        <is>
          <t>在荊州宴席上察覺蔡瑁欲加害自己的劉備，策馬逃走。被檀溪急流擋住去路時，他大喊「的盧，今日妨吾！」的盧一躍三丈，渡過了溪流。</t>
        </is>
      </c>
      <c r="L45" s="14" t="inlineStr">
        <is>
          <t>的卢跃过檀溪</t>
        </is>
      </c>
      <c r="M45" s="14" t="inlineStr">
        <is>
          <t>传说妨主的凶马，跃过檀溪救了刘备。</t>
        </is>
      </c>
      <c r="N45" s="14" t="inlineStr">
        <is>
          <t>在荆州宴席上察觉蔡瑁要加害自己，刘备策马出逃。被檀溪急流挡住去路时，他大喊「的卢，今日妨吾！」的卢一跃三丈，渡过了溪水。</t>
        </is>
      </c>
      <c r="O45" s="14" t="inlineStr">
        <is>
          <t>Dilu Salta o Rio</t>
        </is>
      </c>
      <c r="P45" s="14" t="inlineStr">
        <is>
          <t>O cavalo agourento, que dizia trazer desgraça ao dono, saltou o rio Tan e salvou Liu Bei.</t>
        </is>
      </c>
      <c r="Q45" s="14" t="inlineStr">
        <is>
          <t>Num banquete em Jing, Liu Bei percebeu que Cai Mao tramava matá-lo e fugiu a galope. Barrado pelas corredeiras do Tan, gritou: “Dilu, vais me matar hoje?” — e Dilu saltou a correnteza num só pulo.</t>
        </is>
      </c>
      <c r="R45" s="14" t="inlineStr">
        <is>
          <t>Dilu Salta o Rio</t>
        </is>
      </c>
      <c r="S45" s="14" t="inlineStr">
        <is>
          <t>O cavalo de mau agouro saltou o Tanxi e salvou Liu Bei.</t>
        </is>
      </c>
      <c r="T45" s="14" t="inlineStr">
        <is>
          <t>Num banquete em Jingzhou, Liu Bei percebeu que Cai Mao o queria matar e fugiu a galope. Travado pelas águas bravas do Tanxi, gritou «Dilu, queres perder-me hoje?», e Dilu atravessou-as num salto de três braças.</t>
        </is>
      </c>
      <c r="U45" s="14" t="inlineStr">
        <is>
          <t>Dilu salta il torrente</t>
        </is>
      </c>
      <c r="V45" s="14" t="inlineStr">
        <is>
          <t>Il cavallo che si diceva portasse sventura al padrone saltò il torrente Tan e salvò Liu Bei.</t>
        </is>
      </c>
      <c r="W45" s="14" t="inlineStr">
        <is>
          <t>Accortosi che Cai Mao voleva ucciderlo durante un banchetto a Jingzhou, Liu Bei fuggì al galoppo. Bloccato dalle rapide del torrente Tan, gridò: «Dilu, vuoi rovinarmi proprio oggi?», e Dilu balzò per tre zhang sull'altra riva.</t>
        </is>
      </c>
      <c r="X45" s="14" t="inlineStr">
        <is>
          <t>Dilu salta el río</t>
        </is>
      </c>
      <c r="Y45" s="14" t="inlineStr">
        <is>
          <t>El caballo maldito, que según decían dañaba a su dueño, saltó el Tan y salvó a Liu Bei.</t>
        </is>
      </c>
      <c r="Z45" s="14" t="inlineStr">
        <is>
          <t>En un banquete en Jing, Liu Bei advirtió que Cai Mao quería matarlo y huyó al galope. Frenado por la corriente del Tan, gritó: «Dilu, ¿hoy vas a perderme?», y Dilu cruzó de un salto tres zhang de agua.</t>
        </is>
      </c>
      <c r="AA45" s="14" t="inlineStr">
        <is>
          <t>Дилу голыг харайв</t>
        </is>
      </c>
      <c r="AB45" s="14" t="inlineStr">
        <is>
          <t>Эзэндээ гай болдог гэгдсэн муу ёрын морь Таньси голыг харайж Лю Бэйг аврав.</t>
        </is>
      </c>
      <c r="AC45" s="14" t="inlineStr">
        <is>
          <t>Цзинчжоугийн найранд Цай Мао өөрийг нь хорлох гэж байгааг мэдсэн Лю Бэй морио давхиулан зугтав. Таньсигийн хурдан урсгалд хаагдахад «Дилу минь, өнөөдөр намайг хорлох гэж байна уу» хэмээн хашгирахад Дилу гурван жан харайн гаталжээ.</t>
        </is>
      </c>
      <c r="AD45" s="14" t="inlineStr">
        <is>
          <t>跃马檀溪</t>
        </is>
      </c>
    </row>
    <row r="46">
      <c r="A46" t="n">
        <v>45</v>
      </c>
      <c r="B46" t="inlineStr">
        <is>
          <t>팔문금쇄진</t>
        </is>
      </c>
      <c r="C46" s="14" t="inlineStr">
        <is>
          <t>The Eight Gates Formation</t>
        </is>
      </c>
      <c r="D46" s="14" t="inlineStr">
        <is>
          <t>Xu Shu saw through Cao Ren's formation at a glance.</t>
        </is>
      </c>
      <c r="E46" s="14" t="inlineStr">
        <is>
          <t>Attacking Xinye, Cao Ren laid out the Eight Gates Golden Lock formation, but Liu Bei's strategist Xu Shu saw through it at a glance. He sent troops in through the Gate of Life and out through the Gate of Fear; the formation collapsed and Cao Ren was badly defeated.</t>
        </is>
      </c>
      <c r="F46" s="14" t="inlineStr">
        <is>
          <t>八つの門の陣</t>
        </is>
      </c>
      <c r="G46" s="14" t="inlineStr">
        <is>
          <t>徐庶は曹仁の陣法をひと目で見抜いた。</t>
        </is>
      </c>
      <c r="H46" s="14" t="inlineStr">
        <is>
          <t>新野を攻めた曹仁が八門金鎖の陣を敷いたが、劉備の軍師・徐庶はひと目で見抜いた。生門から入り景門から出させると陣は崩れ、曹仁は大敗した。</t>
        </is>
      </c>
      <c r="I46" s="14" t="inlineStr">
        <is>
          <t>八門之陣</t>
        </is>
      </c>
      <c r="J46" s="14" t="inlineStr">
        <is>
          <t>徐庶一眼便看穿了曹仁的陣法。</t>
        </is>
      </c>
      <c r="K46" s="14" t="inlineStr">
        <is>
          <t>攻打新野的曹仁擺出八門金鎖陣，劉備的軍師徐庶一眼識破。他令軍隊從生門殺入、由景門殺出，陣勢隨即崩潰，曹仁大敗。</t>
        </is>
      </c>
      <c r="L46" s="14" t="inlineStr">
        <is>
          <t>八门之阵</t>
        </is>
      </c>
      <c r="M46" s="14" t="inlineStr">
        <is>
          <t>徐庶一眼便看穿了曹仁的阵法。</t>
        </is>
      </c>
      <c r="N46" s="14" t="inlineStr">
        <is>
          <t>攻打新野的曹仁摆出八门金锁阵，却被刘备军师徐庶一眼看破。从生门杀入、景门杀出，阵势大乱，曹仁大败。</t>
        </is>
      </c>
      <c r="O46" s="14" t="inlineStr">
        <is>
          <t>A Formação das Oito Portas</t>
        </is>
      </c>
      <c r="P46" s="14" t="inlineStr">
        <is>
          <t>Xu Shu desvendou de relance a formação de Cao Ren.</t>
        </is>
      </c>
      <c r="Q46" s="14" t="inlineStr">
        <is>
          <t>Ao atacar Xinye, Cao Ren armou a Formação das Oito Portas Trancadas, mas Xu Shu, estrategista de Liu Bei, a desvendou de relance. Mandou entrar pela Porta da Vida e sair pela Porta do Espanto: a formação ruiu, e Cao Ren sofreu dura derrota.</t>
        </is>
      </c>
      <c r="R46" s="14" t="inlineStr">
        <is>
          <t>A Formação das Oito Portas</t>
        </is>
      </c>
      <c r="S46" s="14" t="inlineStr">
        <is>
          <t>Xu Shu desvendou num relance a formação de Cao Ren.</t>
        </is>
      </c>
      <c r="T46" s="14" t="inlineStr">
        <is>
          <t>Ao atacar Xinye, Cao Ren dispôs a formação das Oito Portas Fechadas a Ouro, mas Xu Shu, estratega de Liu Bei, desvendou-a num relance. Mandou entrar pela Porta da Vida e sair pela Porta do Espanto; a formação desfez-se e Cao Ren sofreu uma pesada derrota.</t>
        </is>
      </c>
      <c r="U46" s="14" t="inlineStr">
        <is>
          <t>Lo schieramento delle otto porte</t>
        </is>
      </c>
      <c r="V46" s="14" t="inlineStr">
        <is>
          <t>Xu Shu svelò al primo sguardo lo schieramento di Cao Ren.</t>
        </is>
      </c>
      <c r="W46" s="14" t="inlineStr">
        <is>
          <t>Attaccando Xinye, Cao Ren dispiegò lo schieramento delle Otto Porte Serrate, ma Xu Shu, stratega di Liu Bei, lo decifrò al primo colpo d'occhio. Fatti entrare i suoi dalla Porta della Vita e uscire da quella della Paura, lo schieramento crollò e Cao Ren subì una pesante sconfitta.</t>
        </is>
      </c>
      <c r="X46" s="14" t="inlineStr">
        <is>
          <t>La formación de las ocho puertas</t>
        </is>
      </c>
      <c r="Y46" s="14" t="inlineStr">
        <is>
          <t>Xu Shu descifró de un vistazo la formación de Cao Ren.</t>
        </is>
      </c>
      <c r="Z46" s="14" t="inlineStr">
        <is>
          <t>Cao Ren atacó Xinye desplegando la formación del Cerrojo de Oro de las Ocho Puertas, pero Xu Shu, estratega de Liu Bei, la descifró de un vistazo. Hizo entrar por la Puerta de la Vida y salir por la del Espanto; la formación se deshizo y Cao Ren sufrió una gran derrota.</t>
        </is>
      </c>
      <c r="AA46" s="14" t="inlineStr">
        <is>
          <t>Найман хаалганы байрлал</t>
        </is>
      </c>
      <c r="AB46" s="14" t="inlineStr">
        <is>
          <t>Сюй Шу Цао Жэний байрлалыг нэг харцаар тайлав.</t>
        </is>
      </c>
      <c r="AC46" s="14" t="inlineStr">
        <is>
          <t>Синьеог довтолсон Цао Жэнь Найман хаалганы алтан цоожны байрлал байгуулсан ч Лю Бэйн цэргийн зөвлөх Сюй Шу нэг харцаар тайлав. Амьдын хаалгаар орж Айдасын хаалгаар гарахад байрлал нурж, Цао Жэнь их ялагдав.</t>
        </is>
      </c>
      <c r="AD46" s="14" t="inlineStr">
        <is>
          <t>八门金锁阵</t>
        </is>
      </c>
    </row>
    <row r="47">
      <c r="A47" t="n">
        <v>46</v>
      </c>
      <c r="B47" t="inlineStr">
        <is>
          <t>서서의 어머니</t>
        </is>
      </c>
      <c r="C47" s="14" t="inlineStr">
        <is>
          <t>Xu Shu's Mother</t>
        </is>
      </c>
      <c r="D47" s="14" t="inlineStr">
        <is>
          <t>One forged letter made Xu Shu leave Liu Bei, and he never offered a plan again.</t>
        </is>
      </c>
      <c r="E47" s="14" t="inlineStr">
        <is>
          <t>To win Xu Shu, Cao Cao held his mother hostage. In the Romance, Cheng Yu sent a fake letter in her hand; Xu Shu left, recommending Zhuge Liang on his way, and never offered Cao Cao a single plan for the rest of his life.</t>
        </is>
      </c>
      <c r="F47" s="14" t="inlineStr">
        <is>
          <t>徐庶の母</t>
        </is>
      </c>
      <c r="G47" s="14" t="inlineStr">
        <is>
          <t>偽りの手紙一通で徐庶は劉備のもとを去り、生涯策を献じなかった。</t>
        </is>
      </c>
      <c r="H47" s="14" t="inlineStr">
        <is>
          <t>曹操は徐庶を得るため、その母を捕らえておいた。演義では程昱が母の筆跡を真似た偽の手紙を送り、徐庶は去り際に諸葛亮を推挙し、生涯曹操に策を献じなかった。</t>
        </is>
      </c>
      <c r="I47" s="14" t="inlineStr">
        <is>
          <t>徐庶之母</t>
        </is>
      </c>
      <c r="J47" s="14" t="inlineStr">
        <is>
          <t>一封假信讓徐庶離開劉備，從此終生不為曹操獻一策。</t>
        </is>
      </c>
      <c r="K47" s="14" t="inlineStr">
        <is>
          <t>曹操為了得到徐庶，扣住了他的母親。演義中程昱仿照徐母筆跡寫了假信，徐庶臨走前舉薦諸葛亮，此後一生未為曹操出一計。</t>
        </is>
      </c>
      <c r="L47" s="14" t="inlineStr">
        <is>
          <t>徐庶之母</t>
        </is>
      </c>
      <c r="M47" s="14" t="inlineStr">
        <is>
          <t>一封假信让徐庶离开刘备，从此终身不献一策。</t>
        </is>
      </c>
      <c r="N47" s="14" t="inlineStr">
        <is>
          <t>曹操为得徐庶，扣留了他的母亲。演义中程昱仿照徐母笔迹写了假信，徐庶临行举荐诸葛亮，此后终身不为曹操献一计。</t>
        </is>
      </c>
      <c r="O47" s="14" t="inlineStr">
        <is>
          <t>A Mãe de Xu Shu</t>
        </is>
      </c>
      <c r="P47" s="14" t="inlineStr">
        <is>
          <t>Por uma carta falsa, Xu Shu deixou Liu Bei e nunca mais deu um conselho.</t>
        </is>
      </c>
      <c r="Q47" s="14" t="inlineStr">
        <is>
          <t>Para obter Xu Shu, Cao Cao prendeu sua mãe. No Romance, Cheng Yu imitou a letra dela numa carta falsa, e Xu Shu partiu recomendando Zhuge Liang e jurando nunca dar um plano a Cao Cao.</t>
        </is>
      </c>
      <c r="R47" s="14" t="inlineStr">
        <is>
          <t>A Mãe de Xu Shu</t>
        </is>
      </c>
      <c r="S47" s="14" t="inlineStr">
        <is>
          <t>Uma carta falsa bastou para Xu Shu deixar Liu Bei — e nunca mais deu um conselho.</t>
        </is>
      </c>
      <c r="T47" s="14" t="inlineStr">
        <is>
          <t>Para ganhar Xu Shu, Cao Cao prendeu-lhe a mãe. No Romance, Cheng Yu imitou-lhe a letra numa carta falsa; Xu Shu partiu, recomendou Zhuge Liang e nunca mais deu um único plano a Cao Cao.</t>
        </is>
      </c>
      <c r="U47" s="14" t="inlineStr">
        <is>
          <t>La madre di Xu Shu</t>
        </is>
      </c>
      <c r="V47" s="14" t="inlineStr">
        <is>
          <t>Per una lettera falsa Xu Shu lasciò Liu Bei, e non diede mai più un consiglio.</t>
        </is>
      </c>
      <c r="W47" s="14" t="inlineStr">
        <is>
          <t>Per avere Xu Shu, Cao Cao tenne prigioniera sua madre. Nel Romanzo Cheng Yu le contraffece la calligrafia in una lettera falsa; Xu Shu partì raccomandando Zhuge Liang e per tutta la vita non diede mai un consiglio a Cao Cao.</t>
        </is>
      </c>
      <c r="X47" s="14" t="inlineStr">
        <is>
          <t>La madre de Xu Shu</t>
        </is>
      </c>
      <c r="Y47" s="14" t="inlineStr">
        <is>
          <t>Por una carta falsa, Xu Shu dejó a Liu Bei y nunca más dio un consejo.</t>
        </is>
      </c>
      <c r="Z47" s="14" t="inlineStr">
        <is>
          <t>Para ganarse a Xu Shu, Cao Cao retuvo a su madre. En la novela, Cheng Yu imitó la letra de la madre y envió una carta falsa; Xu Shu partió, recomendó a Zhuge Liang y jamás le dio un solo plan a Cao Cao.</t>
        </is>
      </c>
      <c r="AA47" s="14" t="inlineStr">
        <is>
          <t>Сюй Шугийн эх</t>
        </is>
      </c>
      <c r="AB47" s="14" t="inlineStr">
        <is>
          <t>Нэг хуурамч захидлын улмаас Сюй Шу Лю Бэйг орхиж, насан туршдаа заль зөвлөсөнгүй.</t>
        </is>
      </c>
      <c r="AC47" s="14" t="inlineStr">
        <is>
          <t>Цао Цао Сюй Шуг олж авахын тулд эхийг нь барьж байлгав. Туужид Чэн Юй эхийн бичгийг дуурайсан хуурамч захидал илгээсэн бөгөөд Сюй Шу явахдаа Чжугэ Ляныг зөвлөж, насан туршдаа Цао Цаод заль зөвлөсөнгүй.</t>
        </is>
      </c>
      <c r="AD47" s="14" t="inlineStr">
        <is>
          <t>徐母之书</t>
        </is>
      </c>
    </row>
    <row r="48">
      <c r="A48" t="n">
        <v>47</v>
      </c>
      <c r="B48" t="inlineStr">
        <is>
          <t>삼고초려</t>
        </is>
      </c>
      <c r="C48" s="14" t="inlineStr">
        <is>
          <t>Three Visits to the Cottage</t>
        </is>
      </c>
      <c r="D48" s="14" t="inlineStr">
        <is>
          <t>After three visits, the Sleeping Dragon at last left Longzhong.</t>
        </is>
      </c>
      <c r="E48" s="14" t="inlineStr">
        <is>
          <t>On Xu Shu's recommendation, Liu Bei went with Guan Yu and Zhang Fei to a thatched cottage in Longzhong. Twice they came away empty-handed; only on the third visit, through a snowstorm, did they meet Zhuge Liang, and the Sleeping Dragon finally came down from the hills.</t>
        </is>
      </c>
      <c r="F48" s="14" t="inlineStr">
        <is>
          <t>三顧の礼</t>
        </is>
      </c>
      <c r="G48" s="14" t="inlineStr">
        <is>
          <t>三度訪ねた末に、臥龍は隆中を出た。</t>
        </is>
      </c>
      <c r="H48" s="14" t="inlineStr">
        <is>
          <t>徐庶の推挙で、劉備は関羽・張飛とともに隆中の草廬を訪ねた。二度空振りし、吹雪の中を三度目に訪ねてようやく諸葛亮に会い、臥龍はついに山を出た。</t>
        </is>
      </c>
      <c r="I48" s="14" t="inlineStr">
        <is>
          <t>三顧茅廬</t>
        </is>
      </c>
      <c r="J48" s="14" t="inlineStr">
        <is>
          <t>三度拜訪之後，臥龍終於走出隆中。</t>
        </is>
      </c>
      <c r="K48" s="14" t="inlineStr">
        <is>
          <t>經徐庶舉薦，劉備與關羽、張飛前往隆中草廬。兩次撲空，第三次冒著風雪前去才見到諸葛亮，臥龍這才出山。</t>
        </is>
      </c>
      <c r="L48" s="14" t="inlineStr">
        <is>
          <t>三顾茅庐</t>
        </is>
      </c>
      <c r="M48" s="14" t="inlineStr">
        <is>
          <t>三度造访之后，卧龙走出了隆中。</t>
        </is>
      </c>
      <c r="N48" s="14" t="inlineStr">
        <is>
          <t>经徐庶举荐，刘备与关羽、张飞前往隆中草庐。两次扑空，第三次冒着风雪前去才见到诸葛亮，卧龙这才出山。</t>
        </is>
      </c>
      <c r="O48" s="14" t="inlineStr">
        <is>
          <t>Três Visitas à Cabana de Palha</t>
        </is>
      </c>
      <c r="P48" s="14" t="inlineStr">
        <is>
          <t>Após três visitas, o Dragão Adormecido deixou Longzhong.</t>
        </is>
      </c>
      <c r="Q48" s="14" t="inlineStr">
        <is>
          <t>Por indicação de Xu Shu, Liu Bei foi com Guan Yu e Zhang Fei à cabana de palha em Longzhong. Voltou duas vezes de mãos vazias e só na terceira, sob a nevasca, encontrou Zhuge Liang — e o Dragão Adormecido enfim desceu da montanha.</t>
        </is>
      </c>
      <c r="R48" s="14" t="inlineStr">
        <is>
          <t>Três Visitas à Cabana de Colmo</t>
        </is>
      </c>
      <c r="S48" s="14" t="inlineStr">
        <is>
          <t>À terceira visita, o Dragão Adormecido saiu de Longzhong.</t>
        </is>
      </c>
      <c r="T48" s="14" t="inlineStr">
        <is>
          <t>Por recomendação de Xu Shu, Liu Bei foi com Guan Yu e Zhang Fei à cabana de colmo de Longzhong. Duas vezes em vão, e só à terceira, no meio de uma nevasca, encontrou Zhuge Liang — e o Dragão Adormecido deixou enfim a montanha.</t>
        </is>
      </c>
      <c r="U48" s="14" t="inlineStr">
        <is>
          <t>Tre visite alla capanna di paglia</t>
        </is>
      </c>
      <c r="V48" s="14" t="inlineStr">
        <is>
          <t>Dopo tre visite, il Drago Dormiente lasciò Longzhong.</t>
        </is>
      </c>
      <c r="W48" s="14" t="inlineStr">
        <is>
          <t>Su raccomandazione di Xu Shu, Liu Bei andò con Guan Yu e Zhang Fei alla capanna di paglia di Longzhong. Andato a vuoto due volte, solo alla terza, sotto una tormenta di neve, incontrò Zhuge Liang, e il Drago Dormiente finalmente scese dal monte.</t>
        </is>
      </c>
      <c r="X48" s="14" t="inlineStr">
        <is>
          <t>Tres visitas a la cabaña de paja</t>
        </is>
      </c>
      <c r="Y48" s="14" t="inlineStr">
        <is>
          <t>Tras tres visitas, el Dragón Dormido salió de Longzhong.</t>
        </is>
      </c>
      <c r="Z48" s="14" t="inlineStr">
        <is>
          <t>Por recomendación de Xu Shu, Liu Bei fue con Guan Yu y Zhang Fei a la cabaña de paja de Longzhong. Dos veces volvió con las manos vacías, y solo a la tercera, entre la nieve, conoció a Zhuge Liang: entonces el Dragón Dormido bajó de la montaña.</t>
        </is>
      </c>
      <c r="AA48" s="14" t="inlineStr">
        <is>
          <t>Гурван удаа зочилсон овоохой</t>
        </is>
      </c>
      <c r="AB48" s="14" t="inlineStr">
        <is>
          <t>Гурван удаа зочилсны эцэст Хэвтээ луу Лунчжунаас гарав.</t>
        </is>
      </c>
      <c r="AC48" s="14" t="inlineStr">
        <is>
          <t>Сюй Шугийн зөвлөснөөр Лю Бэй Гуань Юй, Чжан Фэйтэй хамт Лунчжунгийн өвсөн овоохойд зочлов. Хоёр удаа хоосон буцаж, цасан шуурган дунд гурав дахь удаагаа очиж байж Чжугэ Лянтай уулзахад Хэвтээ луу сая уулаас буужээ.</t>
        </is>
      </c>
      <c r="AD48" s="14" t="inlineStr">
        <is>
          <t>三顾草庐</t>
        </is>
      </c>
    </row>
    <row r="49">
      <c r="A49" t="n">
        <v>48</v>
      </c>
      <c r="B49" t="inlineStr">
        <is>
          <t>박망파의 불</t>
        </is>
      </c>
      <c r="C49" s="14" t="inlineStr">
        <is>
          <t>Zhuge Liang's First Plan</t>
        </is>
      </c>
      <c r="D49" s="14" t="inlineStr">
        <is>
          <t>His first plan after taking office. The reeds of Bowang Slope went up in flames.</t>
        </is>
      </c>
      <c r="E49" s="14" t="inlineStr">
        <is>
          <t>When Xiahou Dun marched on Xinye, Zhuge Liang, newly in Liu Bei's service, set fire to the reed beds at Bowang Slope. With Guan Yu, Zhang Fei and Zhao Yun cutting off the roads, Xiahou Dun was routed — and only then did Guan Yu and Zhang Fei trust Zhuge Liang.</t>
        </is>
      </c>
      <c r="F49" s="14" t="inlineStr">
        <is>
          <t>諸葛亮の初陣</t>
        </is>
      </c>
      <c r="G49" s="14" t="inlineStr">
        <is>
          <t>出仕して最初の策。博望坡の葦原が燃え上がった。</t>
        </is>
      </c>
      <c r="H49" s="14" t="inlineStr">
        <is>
          <t>夏侯惇が新野に攻め寄せると、出仕したばかりの諸葛亮は博望坡の葦原に火を放った。関羽・張飛・趙雲が道を断つと夏侯惇は大敗し、関羽・張飛もようやく諸葛亮を信じた。</t>
        </is>
      </c>
      <c r="I49" s="14" t="inlineStr">
        <is>
          <t>諸葛亮的第一計</t>
        </is>
      </c>
      <c r="J49" s="14" t="inlineStr">
        <is>
          <t>出山後的第一條計策，博望坡的蘆葦叢燃起大火。</t>
        </is>
      </c>
      <c r="K49" s="14" t="inlineStr">
        <is>
          <t>夏侯惇進犯新野，剛出山的諸葛亮在博望坡的蘆葦叢中放火。關羽、張飛、趙雲截斷要道，夏侯惇大敗，關羽與張飛這才信服諸葛亮。</t>
        </is>
      </c>
      <c r="L49" s="14" t="inlineStr">
        <is>
          <t>诸葛亮的第一计</t>
        </is>
      </c>
      <c r="M49" s="14" t="inlineStr">
        <is>
          <t>出山后的第一计，博望坡的芦苇荡燃起大火。</t>
        </is>
      </c>
      <c r="N49" s="14" t="inlineStr">
        <is>
          <t>夏侯惇进犯新野，刚出山的诸葛亮在博望坡芦苇丛中放火。关羽、张飞、赵云截断要道，夏侯惇大败，关羽、张飞这才信服诸葛亮。</t>
        </is>
      </c>
      <c r="O49" s="14" t="inlineStr">
        <is>
          <t>O Primeiro Plano de Zhuge Liang</t>
        </is>
      </c>
      <c r="P49" s="14" t="inlineStr">
        <is>
          <t>Seu primeiro plano a serviço de Liu Bei: o juncal de Bowang em chamas.</t>
        </is>
      </c>
      <c r="Q49" s="14" t="inlineStr">
        <is>
          <t>Quando Xiahou Dun invadiu Xinye, Zhuge Liang, recém-chegado, ateou fogo ao juncal de Bowang. Guan Yu, Zhang Fei e Zhao Yun fecharam os caminhos, Xiahou Dun foi duramente vencido, e só então Guan Yu e Zhang Fei passaram a confiar em Zhuge Liang.</t>
        </is>
      </c>
      <c r="R49" s="14" t="inlineStr">
        <is>
          <t>O Primeiro Plano de Zhuge Liang</t>
        </is>
      </c>
      <c r="S49" s="14" t="inlineStr">
        <is>
          <t>O primeiro plano depois de entrar ao serviço: os canaviais de Bowang em chamas.</t>
        </is>
      </c>
      <c r="T49" s="14" t="inlineStr">
        <is>
          <t>Quando Xiahou Dun atacou Xinye, Zhuge Liang, mal entrado ao serviço, pegou fogo aos canaviais de Bowang. Guan Yu, Zhang Fei e Zhao Yun cortaram os caminhos, Xiahou Dun foi esmagado, e só então Guan Yu e Zhang Fei confiaram em Zhuge Liang.</t>
        </is>
      </c>
      <c r="U49" s="14" t="inlineStr">
        <is>
          <t>Il primo piano di Zhuge Liang</t>
        </is>
      </c>
      <c r="V49" s="14" t="inlineStr">
        <is>
          <t>Il primo piano dopo l'ingresso in servizio: il canneto di Bowang andò in fiamme.</t>
        </is>
      </c>
      <c r="W49" s="14" t="inlineStr">
        <is>
          <t>Quando Xiahou Dun marciò su Xinye, Zhuge Liang, appena entrato in servizio, appiccò il fuoco al canneto di Bowang. Guan Yu, Zhang Fei e Zhao Yun tagliarono le vie di fuga e Xiahou Dun fu sconfitto: solo allora Guan Yu e Zhang Fei si fidarono di Zhuge Liang.</t>
        </is>
      </c>
      <c r="X49" s="14" t="inlineStr">
        <is>
          <t>El primer plan de Zhuge Liang</t>
        </is>
      </c>
      <c r="Y49" s="14" t="inlineStr">
        <is>
          <t>Su primer plan tras entrar en servicio: los cañaverales de Bowang ardieron.</t>
        </is>
      </c>
      <c r="Z49" s="14" t="inlineStr">
        <is>
          <t>Cuando Xiahou Dun marchó sobre Xinye, Zhuge Liang, recién llegado, prendió fuego a los cañaverales de Bowang. Guan Yu, Zhang Fei y Zhao Yun cortaron los caminos y Xiahou Dun fue derrotado; solo entonces Guan Yu y Zhang Fei confiaron en Zhuge Liang.</t>
        </is>
      </c>
      <c r="AA49" s="14" t="inlineStr">
        <is>
          <t>Чжугэ Ляны анхны заль</t>
        </is>
      </c>
      <c r="AB49" s="14" t="inlineStr">
        <is>
          <t>Албанд орсны дараах анхны заль. Бованы зэгсэн шугуй дүрэлзэв.</t>
        </is>
      </c>
      <c r="AC49" s="14" t="inlineStr">
        <is>
          <t>Сяхоу Дунь Синье рүү довтлон ороход албанд дөнгөж орсон Чжугэ Лян Бованы зэгсэн шугуйд гал тавив. Гуань Юй, Чжан Фэй, Чжао Юнь нар замыг таслахад Сяхоу Дунь их ялагдаж, Гуань Юй, Чжан Фэй хоёр сая л Чжугэ Лянд итгэжээ.</t>
        </is>
      </c>
      <c r="AD49" s="14" t="inlineStr">
        <is>
          <t>火烧博望坡</t>
        </is>
      </c>
    </row>
    <row r="50">
      <c r="A50" t="n">
        <v>49</v>
      </c>
      <c r="B50" t="inlineStr">
        <is>
          <t>형주의 항복</t>
        </is>
      </c>
      <c r="C50" s="14" t="inlineStr">
        <is>
          <t>Jing Province Surrenders</t>
        </is>
      </c>
      <c r="D50" s="14" t="inlineStr">
        <is>
          <t>When Liu Biao died, Cai Mao set up young Liu Cong and handed Jing Province to Cao Cao.</t>
        </is>
      </c>
      <c r="E50" s="14" t="inlineStr">
        <is>
          <t>After Liu Biao's death, Cai Mao and Kuai Yue raised young Liu Cong as heir and surrendered Jing Province to Cao Cao. Having taken it without a fight, Cao Cao marched south in pursuit of Liu Bei.</t>
        </is>
      </c>
      <c r="F50" s="14" t="inlineStr">
        <is>
          <t>荊州を差し出す</t>
        </is>
      </c>
      <c r="G50" s="14" t="inlineStr">
        <is>
          <t>劉表が死ぬと、蔡瑁は幼い劉琮を立てて荊州を曹操に差し出した。</t>
        </is>
      </c>
      <c r="H50" s="14" t="inlineStr">
        <is>
          <t>劉表が死ぬと、蔡瑁と蒯越は幼い劉琮を立て、荊州を曹操に差し出した。戦わずして荊州を得た曹操は、劉備を追って南へ下った。</t>
        </is>
      </c>
      <c r="I50" s="14" t="inlineStr">
        <is>
          <t>獻出荊州</t>
        </is>
      </c>
      <c r="J50" s="14" t="inlineStr">
        <is>
          <t>劉表死後，蔡瑁擁立年幼的劉琮，將荊州獻給曹操。</t>
        </is>
      </c>
      <c r="K50" s="14" t="inlineStr">
        <is>
          <t>劉表一死，蔡瑁與蒯越擁立年幼的劉琮，把荊州獻給了曹操。不戰而得荊州的曹操，隨即南下追擊劉備。</t>
        </is>
      </c>
      <c r="L50" s="14" t="inlineStr">
        <is>
          <t>献出荆州</t>
        </is>
      </c>
      <c r="M50" s="14" t="inlineStr">
        <is>
          <t>刘表死后，蔡瑁拥立年幼的刘琮，把荆州献给了曹操。</t>
        </is>
      </c>
      <c r="N50" s="14" t="inlineStr">
        <is>
          <t>刘表死后，蔡瑁与蒯越拥立年幼的刘琮，将荆州献给曹操。不战而得荆州的曹操，随即南下追击刘备。</t>
        </is>
      </c>
      <c r="O50" s="14" t="inlineStr">
        <is>
          <t>Jing Entregue</t>
        </is>
      </c>
      <c r="P50" s="14" t="inlineStr">
        <is>
          <t>Morto Liu Biao, Cai Mao pôs o jovem Liu Cong à frente e entregou Jing a Cao Cao.</t>
        </is>
      </c>
      <c r="Q50" s="14" t="inlineStr">
        <is>
          <t>Com a morte de Liu Biao, Cai Mao e Kuai Yue fizeram herdeiro o jovem Liu Cong e entregaram Jing a Cao Cao. Senhor de Jing sem lutar, Cao Cao desceu para o sul em perseguição a Liu Bei.</t>
        </is>
      </c>
      <c r="R50" s="14" t="inlineStr">
        <is>
          <t>A Entrega de Jingzhou</t>
        </is>
      </c>
      <c r="S50" s="14" t="inlineStr">
        <is>
          <t>Morto Liu Biao, Cai Mao pôs à frente o jovem Liu Cong e entregou Jingzhou a Cao Cao.</t>
        </is>
      </c>
      <c r="T50" s="14" t="inlineStr">
        <is>
          <t>Morto Liu Biao, Cai Mao e Kuai Yue puseram no poder o jovem Liu Cong e entregaram Jingzhou a Cao Cao. Senhor de Jingzhou sem combater, Cao Cao desceu para sul no encalço de Liu Bei.</t>
        </is>
      </c>
      <c r="U50" s="14" t="inlineStr">
        <is>
          <t>Jingzhou consegnata</t>
        </is>
      </c>
      <c r="V50" s="14" t="inlineStr">
        <is>
          <t>Morto Liu Biao, Cai Mao mise avanti il giovane Liu Cong e consegnò Jingzhou a Cao Cao.</t>
        </is>
      </c>
      <c r="W50" s="14" t="inlineStr">
        <is>
          <t>Alla morte di Liu Biao, Cai Mao e Kuai Yue insediarono il giovane Liu Cong e consegnarono Jingzhou a Cao Cao. Presa Jingzhou senza combattere, Cao Cao scese a sud all'inseguimento di Liu Bei.</t>
        </is>
      </c>
      <c r="X50" s="14" t="inlineStr">
        <is>
          <t>La entrega de Jing</t>
        </is>
      </c>
      <c r="Y50" s="14" t="inlineStr">
        <is>
          <t>Muerto Liu Biao, Cai Mao puso al joven Liu Cong al frente y entregó Jing a Cao Cao.</t>
        </is>
      </c>
      <c r="Z50" s="14" t="inlineStr">
        <is>
          <t>A la muerte de Liu Biao, Cai Mao y Kuai Yue proclamaron al joven Liu Cong y entregaron Jing a Cao Cao. Dueño de la provincia sin combatir, Cao Cao bajó al sur en persecución de Liu Bei.</t>
        </is>
      </c>
      <c r="AA50" s="14" t="inlineStr">
        <is>
          <t>Цзинчжоуг өргөн барив</t>
        </is>
      </c>
      <c r="AB50" s="14" t="inlineStr">
        <is>
          <t>Лю Бяо нас барахад Цай Мао бага насны Лю Цуныг урдаа барьж Цзинчжоуг Цао Цаод өргөв.</t>
        </is>
      </c>
      <c r="AC50" s="14" t="inlineStr">
        <is>
          <t>Лю Бяо нас барахад Цай Мао, Куай Юэ хоёр бага насны Лю Цуныг суулгаж, Цзинчжоуг Цао Цаод өргөн барив. Тулалдалгүйгээр Цзинчжоуг олсон Цао Цао Лю Бэйг мөрдөн урагш буужээ.</t>
        </is>
      </c>
      <c r="AD50" s="14" t="inlineStr">
        <is>
          <t>荆州投降</t>
        </is>
      </c>
    </row>
    <row r="51">
      <c r="A51" t="n">
        <v>50</v>
      </c>
      <c r="B51" t="inlineStr">
        <is>
          <t>장판파 단기구주</t>
        </is>
      </c>
      <c r="C51" s="14" t="inlineStr">
        <is>
          <t>Zhao Yun at Changban</t>
        </is>
      </c>
      <c r="D51" s="14" t="inlineStr">
        <is>
          <t>Holding A'dou to his chest, Zhao Yun rode alone through Cao Cao's vast army.</t>
        </is>
      </c>
      <c r="E51" s="14" t="inlineStr">
        <is>
          <t>At Changban, Cao Cao's army caught up with Liu Bei and his household was scattered. Zhao Yun rode back and forth through the enemy alone and came out with the infant A'dou in his arms, taking Xiahou En's Qinggang sword along the way.</t>
        </is>
      </c>
      <c r="F51" s="14" t="inlineStr">
        <is>
          <t>百万の軍中の趙雲</t>
        </is>
      </c>
      <c r="G51" s="14" t="inlineStr">
        <is>
          <t>趙雲は阿斗を懐に抱き、曹操の百万の大軍の中をただ一騎で駆け抜けた。</t>
        </is>
      </c>
      <c r="H51" s="14" t="inlineStr">
        <is>
          <t>長坂で曹操軍に追いつかれ、劉備の家族は散り散りになった。趙雲はただ一騎で敵陣を往来し、幼い阿斗を懐に抱いて抜け出し、その途上で夏侯恩の青釭剣を奪った。</t>
        </is>
      </c>
      <c r="I51" s="14" t="inlineStr">
        <is>
          <t>百萬軍中的趙雲</t>
        </is>
      </c>
      <c r="J51" s="14" t="inlineStr">
        <is>
          <t>趙雲懷抱阿斗，獨自穿過曹操的百萬大軍。</t>
        </is>
      </c>
      <c r="K51" s="14" t="inlineStr">
        <is>
          <t>劉備的家眷在長坂被曹軍追上而離散。趙雲獨自在敵陣中往返衝殺，將幼小的阿斗抱在懷中突圍而出，途中還奪下了夏侯恩的青釭劍。</t>
        </is>
      </c>
      <c r="L51" s="14" t="inlineStr">
        <is>
          <t>百万军中的赵云</t>
        </is>
      </c>
      <c r="M51" s="14" t="inlineStr">
        <is>
          <t>赵云怀抱阿斗，独自穿过曹操的百万大军。</t>
        </is>
      </c>
      <c r="N51" s="14" t="inlineStr">
        <is>
          <t>长坂被曹军追上，刘备家眷四散。赵云单骑往来敌阵，怀抱幼主阿斗杀出重围，途中还夺下了夏侯恩的青釭剑。</t>
        </is>
      </c>
      <c r="O51" s="14" t="inlineStr">
        <is>
          <t>Zhao Yun Entre um Milhão</t>
        </is>
      </c>
      <c r="P51" s="14" t="inlineStr">
        <is>
          <t>Com A Dou no peito, Zhao Yun atravessou sozinho o exército de um milhão de Cao Cao.</t>
        </is>
      </c>
      <c r="Q51" s="14" t="inlineStr">
        <is>
          <t>Alcançada pelas tropas de Cao Cao em Changban, a família de Liu Bei se dispersou. Zhao Yun cruzou sozinho as linhas inimigas, saiu com o pequeno A Dou nos braços e, no caminho, tomou a espada Qinggang de Xiahou En.</t>
        </is>
      </c>
      <c r="R51" s="14" t="inlineStr">
        <is>
          <t>Zhao Yun Entre Um Milhão</t>
        </is>
      </c>
      <c r="S51" s="14" t="inlineStr">
        <is>
          <t>Com A Dou ao peito, Zhao Yun atravessou sozinho o exército de um milhão de Cao Cao.</t>
        </is>
      </c>
      <c r="T51" s="14" t="inlineStr">
        <is>
          <t>Alcançada pelas tropas de Cao Cao em Changban, a família de Liu Bei dispersou-se. Zhao Yun cruzou sozinho as linhas inimigas, saiu com o pequeno A Dou nos braços e, pelo caminho, arrancou a Xiahou En a espada Qinggang.</t>
        </is>
      </c>
      <c r="U51" s="14" t="inlineStr">
        <is>
          <t>Zhao Yun tra un milione di nemici</t>
        </is>
      </c>
      <c r="V51" s="14" t="inlineStr">
        <is>
          <t>Con A Dou stretto al petto, Zhao Yun attraversò da solo l'esercito di un milione di Cao Cao.</t>
        </is>
      </c>
      <c r="W51" s="14" t="inlineStr">
        <is>
          <t>Raggiunti a Changban dalle truppe di Cao Cao, i familiari di Liu Bei si dispersero. Zhao Yun attraversò più volte da solo le linee nemiche e ne uscì col piccolo A Dou in braccio, strappando lungo la via la spada Qinggang a Xiahou En.</t>
        </is>
      </c>
      <c r="X51" s="14" t="inlineStr">
        <is>
          <t>Zhao Yun entre un millón</t>
        </is>
      </c>
      <c r="Y51" s="14" t="inlineStr">
        <is>
          <t>Con A Dou en brazos, Zhao Yun cruzó solo entre el millón de soldados de Cao Cao.</t>
        </is>
      </c>
      <c r="Z51" s="14" t="inlineStr">
        <is>
          <t>En Changban, las tropas de Cao Cao alcanzaron a Liu Bei y su familia se dispersó. Zhao Yun cruzó una y otra vez las líneas enemigas, salió con el pequeño A Dou en brazos y, de paso, le arrebató a Xiahou En la espada Qinggang.</t>
        </is>
      </c>
      <c r="AA51" s="14" t="inlineStr">
        <is>
          <t>Сая цэргийн дундах Чжао Юнь</t>
        </is>
      </c>
      <c r="AB51" s="14" t="inlineStr">
        <is>
          <t>Чжао Юнь Адоуг тэвэрсээр Цао Цаогийн сая цэргийн дундуур ганцаараа давхив.</t>
        </is>
      </c>
      <c r="AC51" s="14" t="inlineStr">
        <is>
          <t>Чанбаньд Цао Цаогийн цэрэгт гүйцэгдэж, Лю Бэйн ар гэрийнхэн бутарчээ. Чжао Юнь ганцаараа дайсны эгнээгээр нааш цааш давхиж, нялх Адоуг тэвэрсээр гарч ирсэн бөгөөд замдаа Сяхоу Эниас Цинган илдийг булаажээ.</t>
        </is>
      </c>
      <c r="AD51" s="14" t="inlineStr">
        <is>
          <t>长坂坡单骑救主</t>
        </is>
      </c>
    </row>
    <row r="52">
      <c r="A52" t="n">
        <v>51</v>
      </c>
      <c r="B52" t="inlineStr">
        <is>
          <t>장판교의 일갈</t>
        </is>
      </c>
      <c r="C52" s="14" t="inlineStr">
        <is>
          <t>The Roar on the Bridge</t>
        </is>
      </c>
      <c r="D52" s="14" t="inlineStr">
        <is>
          <t>“I am Zhang Yide of Yan!” — at that cry, Xiahou Jie fell from his horse.</t>
        </is>
      </c>
      <c r="E52" s="14" t="inlineStr">
        <is>
          <t>Standing alone on Changban Bridge with his serpent spear leveled, Zhang Fei bellowed, “I am Zhang Yide of Yan!” Xiahou Jie toppled from his horse in fright, Cao Cao's army fell back before the bridge, and Zhang Fei cut it down and rode away.</t>
        </is>
      </c>
      <c r="F52" s="14" t="inlineStr">
        <is>
          <t>橋上の大喝</t>
        </is>
      </c>
      <c r="G52" s="14" t="inlineStr">
        <is>
          <t>「我こそは燕人張翼徳なり！」――夏侯傑はその声に落馬した。</t>
        </is>
      </c>
      <c r="H52" s="14" t="inlineStr">
        <is>
          <t>長坂橋にただ一人立った張飛は、丈八蛇矛を横たえ「我こそは燕人張翼徳なり！」と叫んだ。夏侯傑が驚いて落馬すると曹操軍は橋の前から退き、張飛は橋を落として引き揚げた。</t>
        </is>
      </c>
      <c r="I52" s="14" t="inlineStr">
        <is>
          <t>橋上一聲喝</t>
        </is>
      </c>
      <c r="J52" s="14" t="inlineStr">
        <is>
          <t>「我乃燕人張翼德！」——夏侯傑聽了這聲大喝，墜下馬來。</t>
        </is>
      </c>
      <c r="K52" s="14" t="inlineStr">
        <is>
          <t>張飛獨立長坂橋上，橫持丈八蛇矛，大喝「我乃燕人張翼德！」夏侯傑驚得墜馬，曹軍在橋前退去，張飛拆斷橋樑而回。</t>
        </is>
      </c>
      <c r="L52" s="14" t="inlineStr">
        <is>
          <t>桥上一声吼</t>
        </is>
      </c>
      <c r="M52" s="14" t="inlineStr">
        <is>
          <t>「燕人张翼德在此！」——夏侯杰闻声坠马。</t>
        </is>
      </c>
      <c r="N52" s="14" t="inlineStr">
        <is>
          <t>张飞独立长坂桥头，横持丈八蛇矛大喝「燕人张翼德在此！」夏侯杰惊得坠下马来，曹军在桥前退去，张飞拆断桥梁而回。</t>
        </is>
      </c>
      <c r="O52" s="14" t="inlineStr">
        <is>
          <t>O Brado Sobre a Ponte</t>
        </is>
      </c>
      <c r="P52" s="14" t="inlineStr">
        <is>
          <t>“Eu sou Zhang Yide de Yan!” — ao ouvir o grito, Xiahou Jie caiu do cavalo.</t>
        </is>
      </c>
      <c r="Q52" s="14" t="inlineStr">
        <is>
          <t>Sozinho na ponte de Changban, de lança-serpente em riste, Zhang Fei bradou: “Eu sou Zhang Yide de Yan!” Xiahou Jie caiu do cavalo de susto, as tropas de Cao Cao recuaram, e Zhang Fei derrubou a ponte e se foi.</t>
        </is>
      </c>
      <c r="R52" s="14" t="inlineStr">
        <is>
          <t>O Brado Sobre a Ponte</t>
        </is>
      </c>
      <c r="S52" s="14" t="inlineStr">
        <is>
          <t>«Sou Zhang Yide, de Yan!» — e Xiahou Jie caiu do cavalo.</t>
        </is>
      </c>
      <c r="T52" s="14" t="inlineStr">
        <is>
          <t>Sozinho na ponte de Changban, de lança-serpente em riste, Zhang Fei bradou: «Sou Zhang Yide, de Yan!» Xiahou Jie caiu do cavalo de susto, o exército de Cao Cao recuou diante da ponte, e Zhang Fei cortou-a e regressou.</t>
        </is>
      </c>
      <c r="U52" s="14" t="inlineStr">
        <is>
          <t>Il ruggito sul ponte</t>
        </is>
      </c>
      <c r="V52" s="14" t="inlineStr">
        <is>
          <t>«Sono Zhang Yide di Yan!» A quel grido Xiahou Jie cadde da cavallo.</t>
        </is>
      </c>
      <c r="W52" s="14" t="inlineStr">
        <is>
          <t>Solo sul ponte di Changban, la lancia serpentina in pugno, Zhang Fei tuonò: «Sono Zhang Yide di Yan!». Xiahou Jie cadde da cavallo per lo spavento e le truppe di Cao Cao arretrarono davanti al ponte; Zhang Fei lo distrusse e tornò indietro.</t>
        </is>
      </c>
      <c r="X52" s="14" t="inlineStr">
        <is>
          <t>El grito sobre el puente</t>
        </is>
      </c>
      <c r="Y52" s="14" t="inlineStr">
        <is>
          <t>«¡Soy Zhang Yide, de Yan!» — Xiahou Jie cayó del caballo al oírlo.</t>
        </is>
      </c>
      <c r="Z52" s="14" t="inlineStr">
        <is>
          <t>Solo sobre el puente de Changban, Zhang Fei blandió su lanza serpentina y gritó: «¡Soy Zhang Yide, de Yan!». Xiahou Jie cayó del caballo del susto, las tropas de Cao Cao retrocedieron ante el puente, y Zhang Fei lo cortó antes de volver.</t>
        </is>
      </c>
      <c r="AA52" s="14" t="inlineStr">
        <is>
          <t>Гүүрэн дээрх хашгираан</t>
        </is>
      </c>
      <c r="AB52" s="14" t="inlineStr">
        <is>
          <t>«Би бол Яньгийн Чжан Идэ!» — Сяхоу Цзе тэр дуунаас мориноосоо унав.</t>
        </is>
      </c>
      <c r="AC52" s="14" t="inlineStr">
        <is>
          <t>Чанбаньгийн гүүрэн дээр ганцаараа зогссон Чжан Фэй найман чи могой жадаа хөндлөн барин «Би бол Яньгийн Чжан Идэ!» хэмээн хашгирав. Сяхоу Цзе цочин мориноосоо унахад Цао Цаогийн цэрэг гүүрний өмнөөс ухарч, Чжан Фэй гүүрийг таслаад буцжээ.</t>
        </is>
      </c>
      <c r="AD52" s="14" t="inlineStr">
        <is>
          <t>长坂桥喝</t>
        </is>
      </c>
    </row>
    <row r="53">
      <c r="A53" t="n">
        <v>52</v>
      </c>
      <c r="B53" t="inlineStr">
        <is>
          <t>상옥추제</t>
        </is>
      </c>
      <c r="C53" s="14" t="inlineStr">
        <is>
          <t>Removing the Ladder</t>
        </is>
      </c>
      <c r="D53" s="14" t="inlineStr">
        <is>
          <t>Once they climbed the tower, the ladder was taken away. Only then did Liu Qi ask how to survive.</t>
        </is>
      </c>
      <c r="E53" s="14" t="inlineStr">
        <is>
          <t>His life endangered by his stepmother Lady Cai, Liu Biao's eldest son Liu Qi led Zhuge Liang up a tower and had the ladder removed. Only then did Zhuge Liang give him his plan: “Leave the capital and guard Jiangxia.”</t>
        </is>
      </c>
      <c r="F53" s="14" t="inlineStr">
        <is>
          <t>梯子を外す</t>
        </is>
      </c>
      <c r="G53" s="14" t="inlineStr">
        <is>
          <t>楼閣に上ると梯子が外された。劉琦はそこで生きる道を問うた。</t>
        </is>
      </c>
      <c r="H53" s="14" t="inlineStr">
        <is>
          <t>継母・蔡氏に疎まれ命の危うい劉表の長子・劉琦は、諸葛亮を楼閣へ誘い、梯子を外した。そこで諸葛亮はようやく「外に出て江夏を守れ」という策を授けた。</t>
        </is>
      </c>
      <c r="I53" s="14" t="inlineStr">
        <is>
          <t>撤去梯子</t>
        </is>
      </c>
      <c r="J53" s="14" t="inlineStr">
        <is>
          <t>一登上樓閣，梯子便被撤走。劉琦這才求問活路。</t>
        </is>
      </c>
      <c r="K53" s="14" t="inlineStr">
        <is>
          <t>受繼母蔡氏猜忌、性命堪憂的劉表長子劉琦，把諸葛亮引上樓閣後撤去梯子。諸葛亮這才告訴他「出外鎮守江夏」的計策。</t>
        </is>
      </c>
      <c r="L53" s="14" t="inlineStr">
        <is>
          <t>撤去梯子</t>
        </is>
      </c>
      <c r="M53" s="14" t="inlineStr">
        <is>
          <t>登上楼阁，梯子被撤走。刘琦这才问起求生之道。</t>
        </is>
      </c>
      <c r="N53" s="14" t="inlineStr">
        <is>
          <t>刘表长子刘琦受继母蔡氏排挤，性命堪忧。他把诸葛亮引上楼阁撤去梯子，诸葛亮这才教他「出外镇守江夏」之策。</t>
        </is>
      </c>
      <c r="O53" s="14" t="inlineStr">
        <is>
          <t>Retirada a Escada</t>
        </is>
      </c>
      <c r="P53" s="14" t="inlineStr">
        <is>
          <t>Subiram à torre e a escada foi retirada. Só então Liu Qi pediu um meio de sobreviver.</t>
        </is>
      </c>
      <c r="Q53" s="14" t="inlineStr">
        <is>
          <t>Ameaçado pela madrasta, da família Cai, Liu Qi, primogênito de Liu Biao, levou Zhuge Liang a uma torre e mandou tirar a escada. Só então Zhuge Liang lhe deu o conselho: “Saia e vá guardar Jiangxia.”</t>
        </is>
      </c>
      <c r="R53" s="14" t="inlineStr">
        <is>
          <t>Retirar a Escada</t>
        </is>
      </c>
      <c r="S53" s="14" t="inlineStr">
        <is>
          <t>Subiram ao pavilhão e a escada foi retirada. Só então Liu Qi perguntou como se salvar.</t>
        </is>
      </c>
      <c r="T53" s="14" t="inlineStr">
        <is>
          <t>Com a vida ameaçada pela madrasta, a senhora Cai, Liu Qi, filho mais velho de Liu Biao, levou Zhuge Liang a um pavilhão e mandou retirar a escada. Só então Zhuge Liang lhe deu o conselho: «Sai e vai defender Jiangxia.»</t>
        </is>
      </c>
      <c r="U53" s="14" t="inlineStr">
        <is>
          <t>Via la scala</t>
        </is>
      </c>
      <c r="V53" s="14" t="inlineStr">
        <is>
          <t>Salito sulla torre, la scala fu tolta. Solo allora Liu Qi chiese come salvarsi.</t>
        </is>
      </c>
      <c r="W53" s="14" t="inlineStr">
        <is>
          <t>Minacciato dalla matrigna Cai, Liu Qi, primogenito di Liu Biao, condusse Zhuge Liang su una torre e fece togliere la scala. Solo allora Zhuge Liang gli suggerì di «uscire e difendere Jiangxia».</t>
        </is>
      </c>
      <c r="X53" s="14" t="inlineStr">
        <is>
          <t>Quitar la escalera</t>
        </is>
      </c>
      <c r="Y53" s="14" t="inlineStr">
        <is>
          <t>Al subir al pabellón, quitaron la escalera. Solo entonces Liu Qi preguntó cómo salvarse.</t>
        </is>
      </c>
      <c r="Z53" s="14" t="inlineStr">
        <is>
          <t>Amenazado por su madrastra, la señora Cai, Liu Qi, primogénito de Liu Biao, llevó a Zhuge Liang a un pabellón y retiró la escalera. Solo entonces Zhuge Liang le dio su consejo: «Sal de aquí y defiende Jiangxia».</t>
        </is>
      </c>
      <c r="AA53" s="14" t="inlineStr">
        <is>
          <t>Шатыг авч хаяв</t>
        </is>
      </c>
      <c r="AB53" s="14" t="inlineStr">
        <is>
          <t>Асарт гармагц шатыг авч хаяв. Лю Ци сая л амьд үлдэх замаа асуув.</t>
        </is>
      </c>
      <c r="AC53" s="14" t="inlineStr">
        <is>
          <t>Хойт эх Цай хатагтайн хавчлагаар амь нь эрсдэлд орсон Лю Бяогийн ууган хүү Лю Ци Чжугэ Ляныг асарт дагуулж гараад шатыг авч хаяв. Тэгэхэд л Чжугэ Лян «Гадагш гарч Цзянсягийг сахь» хэмээх заль зааж өгчээ.</t>
        </is>
      </c>
      <c r="AD53" s="14" t="inlineStr">
        <is>
          <t>上屋抽梯</t>
        </is>
      </c>
    </row>
    <row r="54">
      <c r="A54" t="n">
        <v>53</v>
      </c>
      <c r="B54" t="inlineStr">
        <is>
          <t>노숙의 합종</t>
        </is>
      </c>
      <c r="C54" s="14" t="inlineStr">
        <is>
          <t>Lu Su Forges an Alliance</t>
        </is>
      </c>
      <c r="D54" s="14" t="inlineStr">
        <is>
          <t>Coming to Jing Province on the pretext of mourning, Lu Su proposed an alliance with Liu Bei.</t>
        </is>
      </c>
      <c r="E54" s="14" t="inlineStr">
        <is>
          <t>Coming to Jing Province on the pretext of mourning Liu Biao, Lu Su met Liu Bei in flight from Changban and urged him to join hands with Sun Quan. Zhuge Liang crossed to Jiangdong with Lu Su that very day, and the alliance of Red Cliffs began.</t>
        </is>
      </c>
      <c r="F54" s="14" t="inlineStr">
        <is>
          <t>魯粛、同盟を結ぶ</t>
        </is>
      </c>
      <c r="G54" s="14" t="inlineStr">
        <is>
          <t>弔問を口実に荊州へ来た魯粛は、劉備に手を結ぼうと持ちかけた。</t>
        </is>
      </c>
      <c r="H54" s="14" t="inlineStr">
        <is>
          <t>劉表の弔問を口実に荊州へ来た魯粛は、長坂で追われる劉備に会い、孫権と手を結ぶよう説いた。その足で諸葛亮が魯粛に従い江東へ渡り、赤壁の同盟はここから始まった。</t>
        </is>
      </c>
      <c r="I54" s="14" t="inlineStr">
        <is>
          <t>魯肅締結同盟</t>
        </is>
      </c>
      <c r="J54" s="14" t="inlineStr">
        <is>
          <t>以弔喪為名來到荊州的魯肅，提議與劉備聯手。</t>
        </is>
      </c>
      <c r="K54" s="14" t="inlineStr">
        <is>
          <t>魯肅以弔唁劉表為名來到荊州，見到在長坂被追擊的劉備，提議與孫權聯手。諸葛亮隨即跟著魯肅渡江前往江東，赤壁的同盟由此開始。</t>
        </is>
      </c>
      <c r="L54" s="14" t="inlineStr">
        <is>
          <t>鲁肃结盟</t>
        </is>
      </c>
      <c r="M54" s="14" t="inlineStr">
        <is>
          <t>借吊丧之名来到荆州的鲁肃，提议与刘备联手。</t>
        </is>
      </c>
      <c r="N54" s="14" t="inlineStr">
        <is>
          <t>鲁肃以吊唁刘表为名来到荆州，遇上在长坂被追的刘备，提议与孙权联手。诸葛亮随即跟着鲁肃渡江东去，赤壁同盟由此开始。</t>
        </is>
      </c>
      <c r="O54" s="14" t="inlineStr">
        <is>
          <t>Lu Su Firma a Aliança</t>
        </is>
      </c>
      <c r="P54" s="14" t="inlineStr">
        <is>
          <t>Vindo a Jing a pretexto de condolências, Lu Su propôs a Liu Bei unir forças.</t>
        </is>
      </c>
      <c r="Q54" s="14" t="inlineStr">
        <is>
          <t>A pretexto de dar condolências por Liu Biao, Lu Su foi a Jing, encontrou Liu Bei em fuga após Changban e propôs aliar-se a Sun Quan. Zhuge Liang o acompanhou até Jiangdong — ali começou a aliança dos Penhascos Vermelhos.</t>
        </is>
      </c>
      <c r="R54" s="14" t="inlineStr">
        <is>
          <t>Lu Su Forja a Aliança</t>
        </is>
      </c>
      <c r="S54" s="14" t="inlineStr">
        <is>
          <t>Vindo a Jingzhou a pretexto de dar os pêsames, Lu Su propôs a Liu Bei uma aliança.</t>
        </is>
      </c>
      <c r="T54" s="14" t="inlineStr">
        <is>
          <t>A pretexto dos pêsames por Liu Biao, Lu Su veio a Jingzhou, encontrou Liu Bei em fuga desde Changban e propôs-lhe aliar-se a Sun Quan. Zhuge Liang seguiu Lu Su para Jiangdong — e foi aí que começou a aliança de Chibi.</t>
        </is>
      </c>
      <c r="U54" s="14" t="inlineStr">
        <is>
          <t>Lu Su stringe l'alleanza</t>
        </is>
      </c>
      <c r="V54" s="14" t="inlineStr">
        <is>
          <t>Venuto a Jingzhou col pretesto delle condoglianze, Lu Su propose a Liu Bei di unire le forze.</t>
        </is>
      </c>
      <c r="W54" s="14" t="inlineStr">
        <is>
          <t>Giunto a Jingzhou col pretesto delle condoglianze per Liu Biao, Lu Su incontrò Liu Bei in fuga da Changban e gli propose di allearsi con Sun Quan. Zhuge Liang lo seguì subito a Jiangdong: l'alleanza delle Scogliere Rosse nacque qui.</t>
        </is>
      </c>
      <c r="X54" s="14" t="inlineStr">
        <is>
          <t>Lu Su sella la alianza</t>
        </is>
      </c>
      <c r="Y54" s="14" t="inlineStr">
        <is>
          <t>Con la excusa del pésame, Lu Su llegó a Jing y propuso a Liu Bei unir fuerzas.</t>
        </is>
      </c>
      <c r="Z54" s="14" t="inlineStr">
        <is>
          <t>Con la excusa de dar el pésame por Liu Biao, Lu Su llegó a Jing, encontró a Liu Bei huyendo tras Changban y le propuso aliarse con Sun Quan. Zhuge Liang cruzó con él a Jiangdong: así nació la alianza de los Acantilados Rojos.</t>
        </is>
      </c>
      <c r="AA54" s="14" t="inlineStr">
        <is>
          <t>Лу Су холбоо байгуулав</t>
        </is>
      </c>
      <c r="AB54" s="14" t="inlineStr">
        <is>
          <t>Эмгэнэл илэрхийлэх нэрийдлээр Цзинчжоуд ирсэн Лу Су Лю Бэйтэй гар нийлэхийг санал болгов.</t>
        </is>
      </c>
      <c r="AC54" s="14" t="inlineStr">
        <is>
          <t>Лю Бяогийн эмгэнэлийн нэрийдлээр Цзинчжоуд ирсэн Лу Су Чанбаньд хөөгдөж явсан Лю Бэйтэй уулзаж, Сунь Цюаньтай гар нийлэхийг санал болгов. Тэр дороо Чжугэ Лян Лу Сугийн хойноос Цзяндун руу гаталснаар Чибигийн холбоо эндээс эхэлжээ.</t>
        </is>
      </c>
      <c r="AD54" s="14" t="inlineStr">
        <is>
          <t>鲁肃联刘</t>
        </is>
      </c>
    </row>
    <row r="55">
      <c r="A55" t="n">
        <v>54</v>
      </c>
      <c r="B55" t="inlineStr">
        <is>
          <t>설전군유</t>
        </is>
      </c>
      <c r="C55" s="14" t="inlineStr">
        <is>
          <t>Debating the Scholars</t>
        </is>
      </c>
      <c r="D55" s="14" t="inlineStr">
        <is>
          <t>With words alone, Zhuge Liang defeated the scholars of Jiangdong who argued for surrender.</t>
        </is>
      </c>
      <c r="E55" s="14" t="inlineStr">
        <is>
          <t>The scholars of Jiangdong who favored surrender surrounded Zhuge Liang at Chaisang and pressed him with questions. Zhang Zhao, Yu Fan, Bu Zhi, Xue Zong, Lu Ji and Yan Jun took their turns, and Zhuge Liang defeated each one with words.</t>
        </is>
      </c>
      <c r="F55" s="14" t="inlineStr">
        <is>
          <t>弁舌で儒者を論破す</t>
        </is>
      </c>
      <c r="G55" s="14" t="inlineStr">
        <is>
          <t>降伏を唱える江東の儒者たちを、諸葛亮は弁舌で論破した。</t>
        </is>
      </c>
      <c r="H55" s="14" t="inlineStr">
        <is>
          <t>降伏を唱える江東の儒者たちが、柴桑に来た諸葛亮を取り囲んで問い詰めた。張昭・虞翻・歩騭・薛綜・陸績・厳畯が次々と挑んだが、諸葛亮は一人ひとりを言葉で打ち負かした。</t>
        </is>
      </c>
      <c r="I55" s="14" t="inlineStr">
        <is>
          <t>舌戰群儒</t>
        </is>
      </c>
      <c r="J55" s="14" t="inlineStr">
        <is>
          <t>諸葛亮以言辭駁倒了主張投降的江東文士。</t>
        </is>
      </c>
      <c r="K55" s="14" t="inlineStr">
        <is>
          <t>主張投降的江東文士圍住來到柴桑的諸葛亮詰問。張昭、虞翻、步騭、薛綜、陸績、嚴畯輪番上陣，諸葛亮一一駁倒。</t>
        </is>
      </c>
      <c r="L55" s="14" t="inlineStr">
        <is>
          <t>舌战群儒</t>
        </is>
      </c>
      <c r="M55" s="14" t="inlineStr">
        <is>
          <t>诸葛亮以言辞折服了主张投降的江东名士。</t>
        </is>
      </c>
      <c r="N55" s="14" t="inlineStr">
        <is>
          <t>主张投降的江东名士围住来到柴桑的诸葛亮诘问。张昭、虞翻、步骘、薛综、陆绩、严畯轮番上阵，诸葛亮一一驳倒。</t>
        </is>
      </c>
      <c r="O55" s="14" t="inlineStr">
        <is>
          <t>Duelo de Palavras com os Letrados</t>
        </is>
      </c>
      <c r="P55" s="14" t="inlineStr">
        <is>
          <t>Zhuge Liang venceu com palavras os letrados de Jiangdong que pediam a rendição.</t>
        </is>
      </c>
      <c r="Q55" s="14" t="inlineStr">
        <is>
          <t>Em Chaisang, os letrados de Jiangdong que defendiam a rendição cercaram Zhuge Liang com perguntas. Zhang Zhao, Yu Fan, Bu Zhi, Xue Zong, Lu Ji e Yan Jun se revezaram, e Zhuge Liang derrotou cada um com palavras.</t>
        </is>
      </c>
      <c r="R55" s="14" t="inlineStr">
        <is>
          <t>Vencer os Letrados com Palavras</t>
        </is>
      </c>
      <c r="S55" s="14" t="inlineStr">
        <is>
          <t>Zhuge Liang calou com palavras os letrados de Jiangdong que defendiam a rendição.</t>
        </is>
      </c>
      <c r="T55" s="14" t="inlineStr">
        <is>
          <t>Os letrados de Jiangdong, partidários da rendição, rodearam Zhuge Liang em Chaisang e crivaram-no de perguntas. Zhang Zhao, Yu Fan, Bu Zhi, Xue Zong, Lu Ji e Yan Jun avançaram um após outro, e Zhuge Liang calou-os a todos, um a um.</t>
        </is>
      </c>
      <c r="U55" s="14" t="inlineStr">
        <is>
          <t>Sconfiggere i letterati a parole</t>
        </is>
      </c>
      <c r="V55" s="14" t="inlineStr">
        <is>
          <t>Zhuge Liang piegò a parole i letterati di Jiangdong che invocavano la resa.</t>
        </is>
      </c>
      <c r="W55" s="14" t="inlineStr">
        <is>
          <t>A Chaisang i letterati di Jiangdong favorevoli alla resa circondarono Zhuge Liang e lo incalzarono di domande. Zhang Zhao, Yu Fan, Bu Zhi, Xue Zong, Lu Ji e Yan Jun si fecero avanti uno dopo l'altro, ma Zhuge Liang li confutò tutti.</t>
        </is>
      </c>
      <c r="X55" s="14" t="inlineStr">
        <is>
          <t>Venció a los letrados con palabras</t>
        </is>
      </c>
      <c r="Y55" s="14" t="inlineStr">
        <is>
          <t>Zhuge Liang derrotó con palabras a los letrados de Jiangdong que pedían rendirse.</t>
        </is>
      </c>
      <c r="Z55" s="14" t="inlineStr">
        <is>
          <t>En Chaisang, los letrados de Jiangdong partidarios de rendirse rodearon a Zhuge Liang y lo acosaron a preguntas. Zhang Zhao, Yu Fan, Bu Zhi, Xue Zong, Lu Ji y Yan Jun fueron saliendo uno tras otro, y Zhuge Liang los rebatió a todos.</t>
        </is>
      </c>
      <c r="AA55" s="14" t="inlineStr">
        <is>
          <t>Үгээр эрдэмтдийг дийлэв</t>
        </is>
      </c>
      <c r="AB55" s="14" t="inlineStr">
        <is>
          <t>Бууж өгөхийг шаардсан Цзяндуны эрдэмтдийг Чжугэ Лян үгээр дийлэв.</t>
        </is>
      </c>
      <c r="AC55" s="14" t="inlineStr">
        <is>
          <t>Бууж өгөхийг дэмжсэн Цзяндуны эрдэмтэд Чайсанд ирсэн Чжугэ Ляныг бүслэн асуулт тавив. Чжан Чжао, Юй Фань, Бу Чжи, Сюэ Цзун, Лу Цзи, Янь Цзюнь нар ээлжлэн гарсан ч Чжугэ Лян нэг бүрчлэн үгээр дийлжээ.</t>
        </is>
      </c>
      <c r="AD55" s="14" t="inlineStr">
        <is>
          <t>舌战群儒</t>
        </is>
      </c>
    </row>
    <row r="56">
      <c r="A56" t="n">
        <v>55</v>
      </c>
      <c r="B56" t="inlineStr">
        <is>
          <t>책상을 베다</t>
        </is>
      </c>
      <c r="C56" s="14" t="inlineStr">
        <is>
          <t>Cutting the Desk</t>
        </is>
      </c>
      <c r="D56" s="14" t="inlineStr">
        <is>
          <t>“Whoever speaks of surrender again shall end like this desk.”</t>
        </is>
      </c>
      <c r="E56" s="14" t="inlineStr">
        <is>
          <t>When the court leaned toward surrender before Cao Cao's vast army, Sun Quan drew his sword and cut off a corner of his desk. “Whoever speaks of surrender again shall end like this desk” — and Jiangdong chose to fight.</t>
        </is>
      </c>
      <c r="F56" s="14" t="inlineStr">
        <is>
          <t>机を斬る</t>
        </is>
      </c>
      <c r="G56" s="14" t="inlineStr">
        <is>
          <t>「再び降伏を口にする者は、この机と同じになろう」</t>
        </is>
      </c>
      <c r="H56" s="14" t="inlineStr">
        <is>
          <t>曹操の大軍を前に朝議が降伏論に傾くと、孫権は剣を抜いて机の角を斬り落とした。「再び降伏を口にする者は、この机と同じになろう」――江東は戦うと決めた。</t>
        </is>
      </c>
      <c r="I56" s="14" t="inlineStr">
        <is>
          <t>拔劍斬案</t>
        </is>
      </c>
      <c r="J56" s="14" t="inlineStr">
        <is>
          <t>「再有言降者，與此案同！」</t>
        </is>
      </c>
      <c r="K56" s="14" t="inlineStr">
        <is>
          <t>面對曹操大軍，朝中議論倒向投降，孫權拔劍砍下桌案一角。「再有言降者，與此案同！」——江東決意一戰。</t>
        </is>
      </c>
      <c r="L56" s="14" t="inlineStr">
        <is>
          <t>拔剑斫案</t>
        </is>
      </c>
      <c r="M56" s="14" t="inlineStr">
        <is>
          <t>「再有言降者，与此案同！」</t>
        </is>
      </c>
      <c r="N56" s="14" t="inlineStr">
        <is>
          <t>曹操大军压境，满朝倒向降论，孙权拔剑砍下案角。「诸将吏敢复有言当迎操者，与此案同！」——江东决意一战。</t>
        </is>
      </c>
      <c r="O56" s="14" t="inlineStr">
        <is>
          <t>A Espada Corta a Mesa</t>
        </is>
      </c>
      <c r="P56" s="14" t="inlineStr">
        <is>
          <t>“Quem voltar a falar em rendição terá o destino desta mesa.”</t>
        </is>
      </c>
      <c r="Q56" s="14" t="inlineStr">
        <is>
          <t>Diante do imenso exército de Cao Cao, a corte pendia para a rendição, até que Sun Quan sacou a espada e cortou a quina da mesa. “Quem voltar a falar em rendição terá o destino desta mesa” — Jiangdong decidiu lutar.</t>
        </is>
      </c>
      <c r="R56" s="14" t="inlineStr">
        <is>
          <t>A Mesa Cortada</t>
        </is>
      </c>
      <c r="S56" s="14" t="inlineStr">
        <is>
          <t>«Quem voltar a falar de rendição acabará como esta mesa.»</t>
        </is>
      </c>
      <c r="T56" s="14" t="inlineStr">
        <is>
          <t>Perante o grande exército de Cao Cao, a corte inclinava-se para a rendição, até que Sun Quan desembainhou a espada e cortou o canto da mesa. «Quem voltar a falar de rendição acabará como esta mesa» — Jiangdong decidiu combater.</t>
        </is>
      </c>
      <c r="U56" s="14" t="inlineStr">
        <is>
          <t>Il tavolo spezzato</t>
        </is>
      </c>
      <c r="V56" s="14" t="inlineStr">
        <is>
          <t>«Chi parlerà ancora di resa farà la fine di questo tavolo.»</t>
        </is>
      </c>
      <c r="W56" s="14" t="inlineStr">
        <is>
          <t>Quando, davanti all'immenso esercito di Cao Cao, la corte pendeva verso la resa, Sun Quan sguainò la spada e tagliò l'angolo del tavolo. «Chi parlerà ancora di resa farà la fine di questo tavolo»: Jiangdong scelse di combattere.</t>
        </is>
      </c>
      <c r="X56" s="14" t="inlineStr">
        <is>
          <t>El tajo en la mesa</t>
        </is>
      </c>
      <c r="Y56" s="14" t="inlineStr">
        <is>
          <t>«Quien vuelva a hablar de rendición acabará como esta mesa.»</t>
        </is>
      </c>
      <c r="Z56" s="14" t="inlineStr">
        <is>
          <t>Ante el gran ejército de Cao Cao, la corte se inclinaba por rendirse, y Sun Quan desenvainó y cortó una esquina de la mesa. «Quien vuelva a hablar de rendición acabará como esta mesa»: Jiangdong decidió luchar.</t>
        </is>
      </c>
      <c r="AA56" s="14" t="inlineStr">
        <is>
          <t>Ширээг цавчив</t>
        </is>
      </c>
      <c r="AB56" s="14" t="inlineStr">
        <is>
          <t>«Дахин бууж өгөх тухай ярих хүн энэ ширээ лугаа адил болно.»</t>
        </is>
      </c>
      <c r="AC56" s="14" t="inlineStr">
        <is>
          <t>Цао Цаогийн их цэргийн өмнө ордныхон бууж өгөх саналд хэлбийхэд Сунь Цюань илдээ сугалж ширээний булангаас цавчив. «Дахин бууж өгөх тухай ярих хүн энэ ширээ лугаа адил болно» — Цзяндун тулалдахаар шийджээ.</t>
        </is>
      </c>
      <c r="AD56" s="14" t="inlineStr">
        <is>
          <t>斫案决战</t>
        </is>
      </c>
    </row>
    <row r="57">
      <c r="A57" t="n">
        <v>56</v>
      </c>
      <c r="B57" t="inlineStr">
        <is>
          <t>군영회</t>
        </is>
      </c>
      <c r="C57" s="14" t="inlineStr">
        <is>
          <t>The Forged Letter at the Feast</t>
        </is>
      </c>
      <c r="D57" s="14" t="inlineStr">
        <is>
          <t>One forged letter, let slip by a feigned drunk, cost two naval commanders their heads.</t>
        </is>
      </c>
      <c r="E57" s="14" t="inlineStr">
        <is>
          <t>When his old friend Jiang Gan came as Cao Cao's envoy, Zhou Yu welcomed him warmly and threw a great feast. As Zhou Yu pretended to sleep off the wine, Jiang Gan stole a forged letter of treason from Cai Mao and Zhang Yun, and Cao Cao beheaded his two naval commanders.</t>
        </is>
      </c>
      <c r="F57" s="14" t="inlineStr">
        <is>
          <t>宴席の偽手紙</t>
        </is>
      </c>
      <c r="G57" s="14" t="inlineStr">
        <is>
          <t>酔ったふりで漏らした偽の手紙一通で、水軍都督二人が首を失った。</t>
        </is>
      </c>
      <c r="H57" s="14" t="inlineStr">
        <is>
          <t>曹操の使者として来た旧友の蔣幹を、周瑜は喜んで迎え、群英会を開いた。酔って眠ったふりの周瑜のそばで、蔣幹は蔡瑁・張允の偽の内通状を盗み出し、曹操は水軍都督二人を斬った。</t>
        </is>
      </c>
      <c r="I57" s="14" t="inlineStr">
        <is>
          <t>酒席上的假信</t>
        </is>
      </c>
      <c r="J57" s="14" t="inlineStr">
        <is>
          <t>一封佯醉時遺落的假信，讓兩名水軍都督丟了腦袋。</t>
        </is>
      </c>
      <c r="K57" s="14" t="inlineStr">
        <is>
          <t>周瑜熱情接待作為曹操說客前來的老友蔣幹，大開群英會。蔣幹趁周瑜佯醉熟睡，偷走了蔡瑁、張允私通的假信，曹操於是斬了這兩名水軍都督。</t>
        </is>
      </c>
      <c r="L57" s="14" t="inlineStr">
        <is>
          <t>酒宴上的假信</t>
        </is>
      </c>
      <c r="M57" s="14" t="inlineStr">
        <is>
          <t>一封装醉漏出的假信，让两名水军都督丢了脑袋。</t>
        </is>
      </c>
      <c r="N57" s="14" t="inlineStr">
        <is>
          <t>旧友蒋干作为曹操说客来访，周瑜热情相迎，大开群英会。蒋干趁周瑜装醉熟睡，偷走蔡瑁、张允的假通敌信，曹操便斩了这两名水军都督。</t>
        </is>
      </c>
      <c r="O57" s="14" t="inlineStr">
        <is>
          <t>A Carta Falsa no Banquete</t>
        </is>
      </c>
      <c r="P57" s="14" t="inlineStr">
        <is>
          <t>Uma carta falsa, deixada à vista com fingida bebedeira, custou a cabeça de dois almirantes.</t>
        </is>
      </c>
      <c r="Q57" s="14" t="inlineStr">
        <is>
          <t>Zhou Yu recebeu de braços abertos seu velho amigo Jiang Gan, enviado de Cao Cao, e deu um banquete de heróis. Ao lado de Zhou Yu, que fingia dormir bêbado, Jiang Gan roubou uma falsa carta de traição de Cai Mao e Zhang Yun, e Cao Cao decapitou seus dois almirantes.</t>
        </is>
      </c>
      <c r="R57" s="14" t="inlineStr">
        <is>
          <t>A Carta Falsa do Banquete</t>
        </is>
      </c>
      <c r="S57" s="14" t="inlineStr">
        <is>
          <t>Uma carta falsa, deixada por um bêbedo fingido, custou a cabeça a dois almirantes.</t>
        </is>
      </c>
      <c r="T57" s="14" t="inlineStr">
        <is>
          <t>Zhou Yu recebeu de braços abertos o velho amigo Jiang Gan, enviado de Cao Cao, e deu um banquete em sua honra. Ao lado de Zhou Yu, que fingia dormir embriagado, Jiang Gan roubou uma carta falsa de traição de Cai Mao e Zhang Yun — e Cao Cao mandou decapitar os seus dois almirantes.</t>
        </is>
      </c>
      <c r="U57" s="14" t="inlineStr">
        <is>
          <t>La lettera falsa del banchetto</t>
        </is>
      </c>
      <c r="V57" s="14" t="inlineStr">
        <is>
          <t>Una lettera falsa lasciata trapelare da un finto ubriaco costò la testa a due ammiragli.</t>
        </is>
      </c>
      <c r="W57" s="14" t="inlineStr">
        <is>
          <t>Zhou Yu accolse calorosamente il vecchio amico Jiang Gan, venuto come inviato di Cao Cao, e diede un grande banchetto. Mentre Zhou Yu fingeva di dormire ubriaco, Jiang Gan rubò una falsa lettera di intesa di Cai Mao e Zhang Yun, e Cao Cao fece decapitare i suoi due ammiragli.</t>
        </is>
      </c>
      <c r="X57" s="14" t="inlineStr">
        <is>
          <t>La carta falsa del banquete</t>
        </is>
      </c>
      <c r="Y57" s="14" t="inlineStr">
        <is>
          <t>Una carta falsa, dejada a la vista fingiendo borrachera, les costó la cabeza a dos almirantes.</t>
        </is>
      </c>
      <c r="Z57" s="14" t="inlineStr">
        <is>
          <t>Zhou Yu recibió con alegría a su viejo amigo Zhang Gan, enviado de Cao Cao, y dio un gran banquete. Mientras Zhou Yu fingía dormir la borrachera, Zhang Gan robó una falsa carta de traición de Cai Mao y Zhang Yun, y Cao Cao hizo decapitar a sus dos almirantes.</t>
        </is>
      </c>
      <c r="AA57" s="14" t="inlineStr">
        <is>
          <t>Найран дээрх хуурамч захидал</t>
        </is>
      </c>
      <c r="AB57" s="14" t="inlineStr">
        <is>
          <t>Согтсон дүр үзүүлэн гээсэн нэг хуурамч захидлаас болж усан цэргийн хоёр жанжин толгойгоо алдав.</t>
        </is>
      </c>
      <c r="AC57" s="14" t="inlineStr">
        <is>
          <t>Цао Цаогийн элчээр ирсэн хуучин нөхөр Цзян Ганийг Чжоу Юй баяртайгаар угтаж, баатруудын найр зохиов. Согтож унтсан дүр үзүүлсэн Чжоу Юйгийн дэргэдээс Цзян Гань Цай Мао, Чжан Юнь хоёрын урвасан мэт хуурамч захидлыг хулгайлж, Цао Цао усан цэргийн хоёр жанжнаа цаазлав.</t>
        </is>
      </c>
      <c r="AD57" s="14" t="inlineStr">
        <is>
          <t>群英会</t>
        </is>
      </c>
    </row>
    <row r="58">
      <c r="A58" t="n">
        <v>57</v>
      </c>
      <c r="B58" t="inlineStr">
        <is>
          <t>초선차전</t>
        </is>
      </c>
      <c r="C58" s="14" t="inlineStr">
        <is>
          <t>Borrowing Arrows with Straw</t>
        </is>
      </c>
      <c r="D58" s="14" t="inlineStr">
        <is>
          <t>Sending straw boats onto a misty river, he gathered a hundred thousand arrows in three days.</t>
        </is>
      </c>
      <c r="E58" s="14" t="inlineStr">
        <is>
          <t>When Zhou Yu demanded a hundred thousand arrows in ten days, Zhuge Liang said three would do. On a foggy night, twenty boats lined with straw bales drew near Cao Cao's fleet beating their drums, and every boat came back bristling with arrows.</t>
        </is>
      </c>
      <c r="F58" s="14" t="inlineStr">
        <is>
          <t>草船で矢を借りる</t>
        </is>
      </c>
      <c r="G58" s="14" t="inlineStr">
        <is>
          <t>霧の川に草船を浮かべ、三日で十万本の矢を得た。</t>
        </is>
      </c>
      <c r="H58" s="14" t="inlineStr">
        <is>
          <t>周瑜が十日で矢十万本を作れと命じると、諸葛亮は三日で足りると答えた。霧の夜、藁束を立てた船二十艘で曹操の水寨に近づき太鼓を鳴らすと、どの船にも矢がびっしりと刺さった。</t>
        </is>
      </c>
      <c r="I58" s="14" t="inlineStr">
        <is>
          <t>草船借箭</t>
        </is>
      </c>
      <c r="J58" s="14" t="inlineStr">
        <is>
          <t>在霧中的江上放出草船，三天便得箭十萬枝。</t>
        </is>
      </c>
      <c r="K58" s="14" t="inlineStr">
        <is>
          <t>周瑜命諸葛亮十日內造箭十萬枝，諸葛亮說三天就夠。他在大霧之夜駕著二十艘紮滿草束的船逼近曹營水寨擂鼓，每艘船都插滿了箭。</t>
        </is>
      </c>
      <c r="L58" s="14" t="inlineStr">
        <is>
          <t>草船借箭</t>
        </is>
      </c>
      <c r="M58" s="14" t="inlineStr">
        <is>
          <t>雾江上放出草船，三天便得箭十万支。</t>
        </is>
      </c>
      <c r="N58" s="14" t="inlineStr">
        <is>
          <t>周瑜要诸葛亮十日内造箭十万支，诸葛亮却说三日足矣。大雾之夜，他以二十只扎满草人的船逼近曹营水寨擂鼓，箭矢插满了每一条船。</t>
        </is>
      </c>
      <c r="O58" s="14" t="inlineStr">
        <is>
          <t>Flechas com Barcos de Palha</t>
        </is>
      </c>
      <c r="P58" s="14" t="inlineStr">
        <is>
          <t>Barcos de palha no rio enevoado: cem mil flechas em três dias.</t>
        </is>
      </c>
      <c r="Q58" s="14" t="inlineStr">
        <is>
          <t>Quando Zhou Yu exigiu cem mil flechas em dez dias, Zhuge Liang disse que bastavam três. Numa noite de névoa, aproximou-se do acampamento naval de Cao Cao com vinte barcos cobertos de palha e mandou tocar os tambores — e as flechas cravaram-se em todos os barcos.</t>
        </is>
      </c>
      <c r="R58" s="14" t="inlineStr">
        <is>
          <t>Pedir Flechas com Barcos de Palha</t>
        </is>
      </c>
      <c r="S58" s="14" t="inlineStr">
        <is>
          <t>Barcos de palha num rio de nevoeiro: cem mil flechas em três dias.</t>
        </is>
      </c>
      <c r="T58" s="14" t="inlineStr">
        <is>
          <t>Quando Zhou Yu exigiu cem mil flechas em dez dias, Zhuge Liang respondeu que bastavam três. Numa noite de nevoeiro, aproximou-se do acampamento naval de Cao Cao com vinte barcos cheios de fardos de palha e mandou rufar os tambores, e as flechas cravaram-se aos montes em cada barco.</t>
        </is>
      </c>
      <c r="U58" s="14" t="inlineStr">
        <is>
          <t>Frecce prese in prestito</t>
        </is>
      </c>
      <c r="V58" s="14" t="inlineStr">
        <is>
          <t>Con barche di paglia sul fiume nella nebbia, ottenne centomila frecce in tre giorni.</t>
        </is>
      </c>
      <c r="W58" s="14" t="inlineStr">
        <is>
          <t>Quando Zhou Yu gli chiese centomila frecce in dieci giorni, Zhuge Liang rispose che ne bastavano tre. In una notte di nebbia avvicinò al campo navale di Cao Cao venti barche irte di fasci di paglia e fece battere i tamburi: ogni barca tornò carica di frecce.</t>
        </is>
      </c>
      <c r="X58" s="14" t="inlineStr">
        <is>
          <t>Flechas con barcos de paja</t>
        </is>
      </c>
      <c r="Y58" s="14" t="inlineStr">
        <is>
          <t>Con barcos de paja en el río brumoso, consiguió cien mil flechas en tres días.</t>
        </is>
      </c>
      <c r="Z58" s="14" t="inlineStr">
        <is>
          <t>Cuando Zhou Yu le exigió cien mil flechas en diez días, Zhuge Liang dijo que bastaban tres. En una noche de niebla, acercó al campamento de Cao Cao veinte barcos erizados de fardos de paja y mandó tocar los tambores: las flechas se clavaron en todos los barcos.</t>
        </is>
      </c>
      <c r="AA58" s="14" t="inlineStr">
        <is>
          <t>Сүрэл завиар сум зээлэх</t>
        </is>
      </c>
      <c r="AB58" s="14" t="inlineStr">
        <is>
          <t>Манантай голд сүрэл завь хөвүүлж гурван хоногт зуун мянган сум олов.</t>
        </is>
      </c>
      <c r="AC58" s="14" t="inlineStr">
        <is>
          <t>Чжоу Юй арван хоногт зуун мянган сум хий гэхэд Чжугэ Лян гурван хоног хангалттай гэв. Манантай шөнө сүрлэн боодол босгосон хорин завиар Цао Цаогийн усан хуаранд ойртож бөмбөр цохиход завь бүр сумаар дүүрчээ.</t>
        </is>
      </c>
      <c r="AD58" s="14" t="inlineStr">
        <is>
          <t>草船借箭</t>
        </is>
      </c>
    </row>
    <row r="59">
      <c r="A59" t="n">
        <v>58</v>
      </c>
      <c r="B59" t="inlineStr">
        <is>
          <t>고육지책</t>
        </is>
      </c>
      <c r="C59" s="14" t="inlineStr">
        <is>
          <t>The Self-Inflicted Wound</t>
        </is>
      </c>
      <c r="D59" s="14" t="inlineStr">
        <is>
          <t>A plan agreed upon by the one who struck and the one who was struck. Kan Ze carried the letter of surrender.</t>
        </is>
      </c>
      <c r="E59" s="14" t="inlineStr">
        <is>
          <t>To deceive Cao Cao, Zhou Yu and Huang Gai agreed that Huang Gai would be flogged for defying orders. Kan Ze carried the torn and bleeding Huang Gai's letter of surrender to Cao Cao and won his trust — a plan that harmed its own to fool the enemy.</t>
        </is>
      </c>
      <c r="F59" s="14" t="inlineStr">
        <is>
          <t>苦肉の策</t>
        </is>
      </c>
      <c r="G59" s="14" t="inlineStr">
        <is>
          <t>打つ者と打たれる者が示し合わせた策。闞沢が降伏状を運んだ。</t>
        </is>
      </c>
      <c r="H59" s="14" t="inlineStr">
        <is>
          <t>曹操を欺くため、周瑜と黄蓋は示し合わせ、軍令に背いた黄蓋を杖で打った。肉の裂けた黄蓋の降伏状を闞沢が届けて曹操を信じさせた――わが身を傷つけて敵を欺いた策である。</t>
        </is>
      </c>
      <c r="I59" s="14" t="inlineStr">
        <is>
          <t>苦肉計</t>
        </is>
      </c>
      <c r="J59" s="14" t="inlineStr">
        <is>
          <t>打人的與挨打的事先串通好的計策，闞澤送去了降書。</t>
        </is>
      </c>
      <c r="K59" s="14" t="inlineStr">
        <is>
          <t>為欺騙曹操，周瑜與黃蓋串通，以違抗軍令為由對黃蓋施以杖刑。闞澤帶著皮開肉綻的黃蓋所寫的降書前往，讓曹操信以為真——這是傷己以欺敵的計策。</t>
        </is>
      </c>
      <c r="L59" s="14" t="inlineStr">
        <is>
          <t>苦肉计</t>
        </is>
      </c>
      <c r="M59" s="14" t="inlineStr">
        <is>
          <t>打的与挨打的事先说好。阚泽送去了降书。</t>
        </is>
      </c>
      <c r="N59" s="14" t="inlineStr">
        <is>
          <t>为骗曹操，周瑜与黄盖合演一出，以违犯军令为由杖责黄盖。阚泽带着皮开肉绽的黄盖的降书前去，让曹操信以为真——这是伤己以欺敌之计。</t>
        </is>
      </c>
      <c r="O59" s="14" t="inlineStr">
        <is>
          <t>O Estratagema da Própria Carne</t>
        </is>
      </c>
      <c r="P59" s="14" t="inlineStr">
        <is>
          <t>Quem bateu e quem apanhou estavam combinados. Kan Ze levou a carta de rendição.</t>
        </is>
      </c>
      <c r="Q59" s="14" t="inlineStr">
        <is>
          <t>Para enganar Cao Cao, Zhou Yu e Huang Gai combinaram que Huang Gai, por desobedecer às ordens, levaria pauladas. Kan Ze levou a Cao Cao a carta de rendição do Huang Gai de carne rasgada, e ele acreditou — ferir o próprio corpo para enganar o inimigo.</t>
        </is>
      </c>
      <c r="R59" s="14" t="inlineStr">
        <is>
          <t>A Estratégia da Carne Ferida</t>
        </is>
      </c>
      <c r="S59" s="14" t="inlineStr">
        <is>
          <t>Um plano combinado entre quem bate e quem apanha. Kan Ze levou a carta de rendição.</t>
        </is>
      </c>
      <c r="T59" s="14" t="inlineStr">
        <is>
          <t>Para enganar Cao Cao, Zhou Yu e Huang Gai combinaram tudo: Huang Gai desobedeceu às ordens e foi açoitado. Kan Ze levou a Cao Cao a carta de rendição de um Huang Gai em carne viva e convenceu-o — ferir o próprio corpo para enganar o inimigo.</t>
        </is>
      </c>
      <c r="U59" s="14" t="inlineStr">
        <is>
          <t>Lo stratagemma della carne ferita</t>
        </is>
      </c>
      <c r="V59" s="14" t="inlineStr">
        <is>
          <t>Un piano concertato tra chi colpiva e chi veniva colpito. Kan Ze portò la lettera di resa.</t>
        </is>
      </c>
      <c r="W59" s="14" t="inlineStr">
        <is>
          <t>Per ingannare Cao Cao, Zhou Yu e Huang Gai si accordarono, e Huang Gai fu bastonato per aver violato gli ordini. Kan Ze portò a Cao Cao la lettera di resa di Huang Gai, dalla carne lacerata, e lo convinse: un inganno pagato col proprio corpo.</t>
        </is>
      </c>
      <c r="X59" s="14" t="inlineStr">
        <is>
          <t>La estratagema del sufrimiento</t>
        </is>
      </c>
      <c r="Y59" s="14" t="inlineStr">
        <is>
          <t>El que golpea y el golpeado estaban de acuerdo. Kan Ze llevó la carta de rendición.</t>
        </is>
      </c>
      <c r="Z59" s="14" t="inlineStr">
        <is>
          <t>Para engañar a Cao Cao, Zhou Yu y Huang Gai acordaron que Huang Gai fuera azotado por desobedecer. Kan Ze llevó la carta de rendición del maltrecho Huang Gai y convenció a Cao Cao: un plan que hirió el propio cuerpo para engañar al enemigo.</t>
        </is>
      </c>
      <c r="AA59" s="14" t="inlineStr">
        <is>
          <t>Махаа зовоох заль</t>
        </is>
      </c>
      <c r="AB59" s="14" t="inlineStr">
        <is>
          <t>Зодогч, зодуулагч хоёр тохиролцсон заль. Кань Цзэ бууж өгөх захидлыг хүргэв.</t>
        </is>
      </c>
      <c r="AC59" s="14" t="inlineStr">
        <is>
          <t>Цао Цаог хуурахын тулд Чжоу Юй, Хуан Гай хоёр тохиролцож, цэргийн тушаал зөрчсөн Хуан Гайг саваар цохиулав. Арьс нь хагарсан Хуан Гайн бууж өгөх захидлыг Кань Цзэ авч очиж Цао Цаог итгүүлэв — өөрийн биеийг гэмтээн дайсныг хуурсан заль.</t>
        </is>
      </c>
      <c r="AD59" s="14" t="inlineStr">
        <is>
          <t>苦肉计</t>
        </is>
      </c>
    </row>
    <row r="60">
      <c r="A60" t="n">
        <v>59</v>
      </c>
      <c r="B60" t="inlineStr">
        <is>
          <t>방통의 연환계</t>
        </is>
      </c>
      <c r="C60" s="14" t="inlineStr">
        <is>
          <t>The Chained Ships</t>
        </is>
      </c>
      <c r="D60" s="14" t="inlineStr">
        <is>
          <t>Chain the ships together and no one will be seasick — and no one will escape the fire.</t>
        </is>
      </c>
      <c r="E60" s="14" t="inlineStr">
        <is>
          <t>Pang Tong came to Cao Cao, whose men suffered from seasickness, and urged him to chain his ships together. The fleet became as steady as dry land, but once fire caught there was no escape — the flames of Red Cliffs were already being laid.</t>
        </is>
      </c>
      <c r="F60" s="14" t="inlineStr">
        <is>
          <t>鎖でつないだ船</t>
        </is>
      </c>
      <c r="G60" s="14" t="inlineStr">
        <is>
          <t>船を鎖でつなげば船酔いはない――そして、火からも逃れられない。</t>
        </is>
      </c>
      <c r="H60" s="14" t="inlineStr">
        <is>
          <t>船酔いに悩む曹操のもとへ龐統が訪れ、船を鎖でつなぐよう勧めた。船は大地のように揺るがなくなったが、火がつけば逃れる道はなかった――赤壁の炎は、ここですでに用意されていた。</t>
        </is>
      </c>
      <c r="I60" s="14" t="inlineStr">
        <is>
          <t>鐵鍊鎖船</t>
        </is>
      </c>
      <c r="J60" s="14" t="inlineStr">
        <is>
          <t>用鐵鍊把船連起來就不會暈船——也就躲不開火了。</t>
        </is>
      </c>
      <c r="K60" s="14" t="inlineStr">
        <is>
          <t>龐統來見苦於暈船的曹軍，勸曹操用鐵鍊把船連在一起。船隻穩如平地，但一旦起火便無處可逃——赤壁之火，在此時已經備好。</t>
        </is>
      </c>
      <c r="L60" s="14" t="inlineStr">
        <is>
          <t>铁索连舟</t>
        </is>
      </c>
      <c r="M60" s="14" t="inlineStr">
        <is>
          <t>用铁索连起船只便不晕船——也躲不开火。</t>
        </is>
      </c>
      <c r="N60" s="14" t="inlineStr">
        <is>
          <t>庞统来见苦于晕船的曹操，劝他用铁索连起战船。船身稳如平地，可一旦起火便无处可逃——赤壁之火，早在此时已经备好。</t>
        </is>
      </c>
      <c r="O60" s="14" t="inlineStr">
        <is>
          <t>Navios Presos por Correntes</t>
        </is>
      </c>
      <c r="P60" s="14" t="inlineStr">
        <is>
          <t>Navios acorrentados não balançam — e também não fogem do fogo.</t>
        </is>
      </c>
      <c r="Q60" s="14" t="inlineStr">
        <is>
          <t>A Cao Cao, cujos homens sofriam de enjoo, Pang Tong aconselhou acorrentar os navios uns aos outros. A frota ficou firme como terra, mas, se pegasse fogo, não haveria como fugir — o incêndio dos Penhascos Vermelhos já estava preparado.</t>
        </is>
      </c>
      <c r="R60" s="14" t="inlineStr">
        <is>
          <t>Barcos Presos por Correntes</t>
        </is>
      </c>
      <c r="S60" s="14" t="inlineStr">
        <is>
          <t>Barcos acorrentados não enjoam — e também não fogem do fogo.</t>
        </is>
      </c>
      <c r="T60" s="14" t="inlineStr">
        <is>
          <t>Pang Tong foi ter com Cao Cao, cujos homens sofriam de enjoo, e aconselhou-o a acorrentar os barcos uns aos outros. Ficaram firmes como terra, mas, se o fogo pegasse, não teriam por onde fugir — o fogo de Chibi já estava preparado.</t>
        </is>
      </c>
      <c r="U60" s="14" t="inlineStr">
        <is>
          <t>Navi incatenate</t>
        </is>
      </c>
      <c r="V60" s="14" t="inlineStr">
        <is>
          <t>Incatenate le navi, sparisce il mal di mare. E sparisce anche la via di fuga dal fuoco.</t>
        </is>
      </c>
      <c r="W60" s="14" t="inlineStr">
        <is>
          <t>A Cao Cao, tormentato dal mal di mare delle sue truppe, Pang Tong consigliò di incatenare le navi tra loro. Le navi divennero salde come la terraferma, ma se il fuoco le avesse prese non ci sarebbe stato scampo: il rogo delle Scogliere Rosse era già pronto.</t>
        </is>
      </c>
      <c r="X60" s="14" t="inlineStr">
        <is>
          <t>Barcos atados con cadenas</t>
        </is>
      </c>
      <c r="Y60" s="14" t="inlineStr">
        <is>
          <t>Encadenados, los barcos ya no se mecen; tampoco pueden escapar del fuego.</t>
        </is>
      </c>
      <c r="Z60" s="14" t="inlineStr">
        <is>
          <t>Pang Tong visitó a Cao Cao, cuyas tropas sufrían el mareo, y le aconsejó encadenar los barcos. Quedaron firmes como tierra, pero si prendía el fuego no habría escapatoria: el incendio de los Acantilados Rojos ya estaba preparado.</t>
        </is>
      </c>
      <c r="AA60" s="14" t="inlineStr">
        <is>
          <t>Гинжээр холбосон завьнууд</t>
        </is>
      </c>
      <c r="AB60" s="14" t="inlineStr">
        <is>
          <t>Завьнуудыг гинжээр холбовол далайн өвчин үгүй — мөн галаас ч зугтах аргагүй.</t>
        </is>
      </c>
      <c r="AC60" s="14" t="inlineStr">
        <is>
          <t>Далайн өвчинд зовж буй Цао Цаод Пан Тун ирж завьнуудыг гинжээр холбохыг зөвлөв. Завьнууд газар мэт бат болсон ч гал авалцвал зугтах замгүй байв — Чибигийн гал эндээс аль хэдийн бэлтгэгдсэн юм.</t>
        </is>
      </c>
      <c r="AD60" s="14" t="inlineStr">
        <is>
          <t>连环计</t>
        </is>
      </c>
    </row>
    <row r="61">
      <c r="A61" t="n">
        <v>60</v>
      </c>
      <c r="B61" t="inlineStr">
        <is>
          <t>칠성단의 동남풍</t>
        </is>
      </c>
      <c r="C61" s="14" t="inlineStr">
        <is>
          <t>Calling the Southeast Wind</t>
        </is>
      </c>
      <c r="D61" s="14" t="inlineStr">
        <is>
          <t>Feather fan in hand, Zhuge Liang called the southeast wind from the Seven Stars Altar. When it rose, Zhou Yu sent Ding Feng and Xu Sheng after him.</t>
        </is>
      </c>
      <c r="E61" s="14" t="inlineStr">
        <is>
          <t>A fire attack needed a southeast wind. Zhuge Liang built the Seven Stars Altar and prayed for it, and when the wind turned over the winter river, Zhou Yu, now fearing him, sent Ding Feng and Xu Sheng — but Zhuge Liang had already sailed away.</t>
        </is>
      </c>
      <c r="F61" s="14" t="inlineStr">
        <is>
          <t>東南の風を呼ぶ</t>
        </is>
      </c>
      <c r="G61" s="14" t="inlineStr">
        <is>
          <t>羽扇を手にした諸葛亮が、七星壇で東南の風を祈った。風が起こると、周瑜は丁奉と徐盛を差し向けた。</t>
        </is>
      </c>
      <c r="H61" s="14" t="inlineStr">
        <is>
          <t>火攻めには東南の風が要った。諸葛亮は七星壇を築いて風を祈り、冬の川に風が変わると、周瑜は彼を恐れて丁奉・徐盛を差し向けたが、諸葛亮はすでに船で去った後だった。</t>
        </is>
      </c>
      <c r="I61" s="14" t="inlineStr">
        <is>
          <t>借東風</t>
        </is>
      </c>
      <c r="J61" s="14" t="inlineStr">
        <is>
          <t>手持羽扇的諸葛亮在七星壇借來東南風。風一起，周瑜便派丁奉、徐盛去追他。</t>
        </is>
      </c>
      <c r="K61" s="14" t="inlineStr">
        <is>
          <t>要用火攻，非東南風不可。諸葛亮築起七星壇祭風，冬日江上風向一轉，周瑜因畏懼他而派出丁奉、徐盛，但諸葛亮早已乘船離去。</t>
        </is>
      </c>
      <c r="L61" s="14" t="inlineStr">
        <is>
          <t>借东风</t>
        </is>
      </c>
      <c r="M61" s="14" t="inlineStr">
        <is>
          <t>手持羽扇的诸葛亮在七星坛借来东南风。风起之时，周瑜派丁奉、徐盛前去追杀。</t>
        </is>
      </c>
      <c r="N61" s="14" t="inlineStr">
        <is>
          <t>火攻需要东南风。诸葛亮筑起七星坛祭风，冬日江上风向一转，周瑜心生忌惮，派丁奉、徐盛追杀，诸葛亮却早已乘船离去。</t>
        </is>
      </c>
      <c r="O61" s="14" t="inlineStr">
        <is>
          <t>Invocando o Vento Sudeste</t>
        </is>
      </c>
      <c r="P61" s="14" t="inlineStr">
        <is>
          <t>Com seu leque de plumas, Zhuge Liang pediu o vento sudeste no Altar das Sete Estrelas. Quando o vento soprou, Zhou Yu mandou Ding Feng e Xu Sheng atrás dele.</t>
        </is>
      </c>
      <c r="Q61" s="14" t="inlineStr">
        <is>
          <t>O ataque com fogo exigia vento sudeste. Zhuge Liang ergueu o Altar das Sete Estrelas e rezou pelo vento; quando ele virou sobre o rio de inverno, Zhou Yu, temendo-o, enviou Ding Feng e Xu Sheng, mas Zhuge Liang já havia partido de barco.</t>
        </is>
      </c>
      <c r="R61" s="14" t="inlineStr">
        <is>
          <t>Invocar o Vento de Sudeste</t>
        </is>
      </c>
      <c r="S61" s="14" t="inlineStr">
        <is>
          <t>De leque de plumas na mão, Zhuge Liang pediu o vento de sudeste no Altar das Sete Estrelas. Mal o vento se ergueu, Zhou Yu mandou Ding Feng e Xu Sheng atrás dele.</t>
        </is>
      </c>
      <c r="T61" s="14" t="inlineStr">
        <is>
          <t>Para o ataque com fogo era preciso o vento de sudeste. Zhuge Liang ergueu o Altar das Sete Estrelas e rezou pelo vento; quando este rodou sobre o rio invernal, Zhou Yu, temendo-o, enviou Ding Feng e Xu Sheng — mas Zhuge Liang já partira de barco.</t>
        </is>
      </c>
      <c r="U61" s="14" t="inlineStr">
        <is>
          <t>Evocare il vento di sud-est</t>
        </is>
      </c>
      <c r="V61" s="14" t="inlineStr">
        <is>
          <t>Con il ventaglio di piume, Zhuge Liang invocò il vento di sud-est dall'Altare delle Sette Stelle. Quando il vento si levò, Zhou Yu mandò Ding Feng e Xu Sheng a inseguirlo.</t>
        </is>
      </c>
      <c r="W61" s="14" t="inlineStr">
        <is>
          <t>Per l'attacco col fuoco serviva il vento di sud-est. Zhuge Liang eresse l'Altare delle Sette Stelle e pregò per il vento; quando sul fiume invernale il vento girò, Zhou Yu, temendolo, mandò Ding Feng e Xu Sheng, ma Zhuge Liang era già partito in barca.</t>
        </is>
      </c>
      <c r="X61" s="14" t="inlineStr">
        <is>
          <t>Invocar el viento del sureste</t>
        </is>
      </c>
      <c r="Y61" s="14" t="inlineStr">
        <is>
          <t>Con su abanico de plumas, Zhuge Liang pidió el viento del sureste en el Altar de las Siete Estrellas. Al levantarse el viento, Zhou Yu envió a Ding Feng y Xu Sheng tras él.</t>
        </is>
      </c>
      <c r="Z61" s="14" t="inlineStr">
        <is>
          <t>El ataque con fuego necesitaba viento del sureste. Zhuge Liang levantó el Altar de las Siete Estrellas y rezó por él; cuando el viento giró sobre el río invernal, Zhou Yu, temiéndolo, envió a Ding Feng y Xu Sheng, pero Zhuge Liang ya se había ido en barco.</t>
        </is>
      </c>
      <c r="AA61" s="14" t="inlineStr">
        <is>
          <t>Зүүн өмнөдийн салхийг дуудах</t>
        </is>
      </c>
      <c r="AB61" s="14" t="inlineStr">
        <is>
          <t>Өдөн сэнс барьсан Чжугэ Лян Долоон одны тахилын индэрт зүүн өмнөдийн салхи гуйв. Салхи гармагц Чжоу Юй Дин Фэн, Сюй Шэн хоёрыг түүний хойноос илгээв.</t>
        </is>
      </c>
      <c r="AC61" s="14" t="inlineStr">
        <is>
          <t>Галт довтолгоо хийхэд зүүн өмнөдийн салхи хэрэгтэй байв. Чжугэ Лян Долоон одны индэр босгож салхи гуйхад өвлийн голд салхи эргэж, Чжоу Юй түүнээс эмээн Дин Фэн, Сюй Шэн хоёрыг илгээсэн ч Чжугэ Лян аль хэдийн завинд суугаад явчихсан байв.</t>
        </is>
      </c>
      <c r="AD61" s="14" t="inlineStr">
        <is>
          <t>七星坛祭风</t>
        </is>
      </c>
    </row>
    <row r="62">
      <c r="A62" t="n">
        <v>61</v>
      </c>
      <c r="B62" t="inlineStr">
        <is>
          <t>적벽대전</t>
        </is>
      </c>
      <c r="C62" s="14" t="inlineStr">
        <is>
          <t>Battle of Red Cliffs</t>
        </is>
      </c>
      <c r="D62" s="14" t="inlineStr">
        <is>
          <t>Fire ships riding the southeast wind swallowed Cao Cao's great fleet.</t>
        </is>
      </c>
      <c r="E62" s="14" t="inlineStr">
        <is>
          <t>In the year 208, Huang Gai's fire ships, driven by the southeast wind, rammed Cao Cao's chained fleet. The flames spread to the camps on the north bank, and Cao Cao's army, said to number a million, fled down the Huarong Road.</t>
        </is>
      </c>
      <c r="F62" s="14" t="inlineStr">
        <is>
          <t>赤壁の戦い</t>
        </is>
      </c>
      <c r="G62" s="14" t="inlineStr">
        <is>
          <t>東南の風に乗った火船が、曹操の大艦隊を呑み込んだ。</t>
        </is>
      </c>
      <c r="H62" s="14" t="inlineStr">
        <is>
          <t>西暦二〇八年、東南の風に乗った黄蓋の火船が、鎖でつながれた曹操の艦隊に突っ込んだ。炎は江北の陣営にまで燃え広がり、百万と号した曹操軍は華容道へと逃れた。</t>
        </is>
      </c>
      <c r="I62" s="14" t="inlineStr">
        <is>
          <t>赤壁之戰</t>
        </is>
      </c>
      <c r="J62" s="14" t="inlineStr">
        <is>
          <t>乘著東南風的火船，吞沒了曹操的大艦隊。</t>
        </is>
      </c>
      <c r="K62" s="14" t="inlineStr">
        <is>
          <t>西元208年，黃蓋乘東南風駛出的火船，撞上了以鐵鍊相連的曹操艦隊。火勢一路燒到江北營寨，號稱百萬的曹軍向華容道潰逃。</t>
        </is>
      </c>
      <c r="L62" s="14" t="inlineStr">
        <is>
          <t>赤壁大战</t>
        </is>
      </c>
      <c r="M62" s="14" t="inlineStr">
        <is>
          <t>乘着东南风的火船，吞没了曹操的庞大舰队。</t>
        </is>
      </c>
      <c r="N62" s="14" t="inlineStr">
        <is>
          <t>公元208年，黄盖的火船乘东南风撞向被铁索连住的曹操舰队。火势一直烧到江北营寨，号称百万的曹军向华容道溃逃。</t>
        </is>
      </c>
      <c r="O62" s="14" t="inlineStr">
        <is>
          <t>Batalha dos Penhascos Vermelhos</t>
        </is>
      </c>
      <c r="P62" s="14" t="inlineStr">
        <is>
          <t>Levados pelo vento sudeste, os barcos em chamas engoliram a grande frota de Cao Cao.</t>
        </is>
      </c>
      <c r="Q62" s="14" t="inlineStr">
        <is>
          <t>No ano 208, os barcos incendiários de Huang Gai, levados pelo vento sudeste, chocaram-se contra a frota acorrentada de Cao Cao. O fogo se alastrou até os acampamentos da margem norte, e o exército que se dizia de um milhão fugiu pela estrada de Huarong.</t>
        </is>
      </c>
      <c r="R62" s="14" t="inlineStr">
        <is>
          <t>A Batalha das Falésias Vermelhas</t>
        </is>
      </c>
      <c r="S62" s="14" t="inlineStr">
        <is>
          <t>Levados pelo vento de sudeste, os barcos em chamas engoliram a grande armada de Cao Cao.</t>
        </is>
      </c>
      <c r="T62" s="14" t="inlineStr">
        <is>
          <t>No ano 208, os barcos incendiários de Huang Gai, levados pelo vento de sudeste, embateram na armada acorrentada de Cao Cao. As chamas alastraram aos acampamentos da margem norte, e o exército que se dizia de um milhão fugiu pela estrada de Huarong.</t>
        </is>
      </c>
      <c r="U62" s="14" t="inlineStr">
        <is>
          <t>La battaglia delle Scogliere Rosse</t>
        </is>
      </c>
      <c r="V62" s="14" t="inlineStr">
        <is>
          <t>Le navi incendiarie, spinte dal vento di sud-est, inghiottirono la grande flotta di Cao Cao.</t>
        </is>
      </c>
      <c r="W62" s="14" t="inlineStr">
        <is>
          <t>Nel 208 d.C. le navi incendiarie di Huang Gai, spinte dal vento di sud-est, speronarono la flotta incatenata di Cao Cao. Le fiamme dilagarono fino ai campi sulla riva nord, e l'esercito che si diceva di un milione fuggì per la strada di Huarong.</t>
        </is>
      </c>
      <c r="X62" s="14" t="inlineStr">
        <is>
          <t>La batalla de los Acantilados Rojos</t>
        </is>
      </c>
      <c r="Y62" s="14" t="inlineStr">
        <is>
          <t>Los barcos en llamas, empujados por el viento del sureste, devoraron la gran flota de Cao Cao.</t>
        </is>
      </c>
      <c r="Z62" s="14" t="inlineStr">
        <is>
          <t>En el año 208, los brulotes de Huang Gai, impulsados por el viento del sureste, embistieron la flota encadenada de Cao Cao. Las llamas alcanzaron los campamentos de la orilla norte, y el ejército que se decía de un millón huyó por Huarong.</t>
        </is>
      </c>
      <c r="AA62" s="14" t="inlineStr">
        <is>
          <t>Чибигийн их тулаан</t>
        </is>
      </c>
      <c r="AB62" s="14" t="inlineStr">
        <is>
          <t>Зүүн өмнөдийн салхинд хөтлөгдсөн галт завьнууд Цао Цаогийн их флотыг залгив.</t>
        </is>
      </c>
      <c r="AC62" s="14" t="inlineStr">
        <is>
          <t>208 онд зүүн өмнөдийн салхинд хөтлөгдсөн Хуан Гайн галт завьнууд гинжээр холбогдсон Цао Цаогийн флот руу мөргөв. Дөл голын хойд эргийн хуаран хүртэл тархаж, сая хэмээн бардамнаж байсан Цао Цаогийн цэрэг Хуажунгийн зам руу зугтав.</t>
        </is>
      </c>
      <c r="AD62" s="14" t="inlineStr">
        <is>
          <t>赤壁大战</t>
        </is>
      </c>
    </row>
    <row r="63">
      <c r="A63" t="n">
        <v>62</v>
      </c>
      <c r="B63" t="inlineStr">
        <is>
          <t>화용도</t>
        </is>
      </c>
      <c r="C63" s="14" t="inlineStr">
        <is>
          <t>Guan Yu Opens the Road</t>
        </is>
      </c>
      <c r="D63" s="14" t="inlineStr">
        <is>
          <t>Unable to forget an old kindness, Guan Yu let Cao Cao pass on the Huarong Road.</t>
        </is>
      </c>
      <c r="E63" s="14" t="inlineStr">
        <is>
          <t>When Cao Cao fled from Red Cliffs along the muddy Huarong Road, Guan Yu barred the way. The Romance tells that as Cao Cao spoke of past kindness, Guan Yu could not bring himself to raise his blade, and turned his horse aside.</t>
        </is>
      </c>
      <c r="F63" s="14" t="inlineStr">
        <is>
          <t>関羽、道を開く</t>
        </is>
      </c>
      <c r="G63" s="14" t="inlineStr">
        <is>
          <t>昔の恩を忘れられぬ関羽は、華容道で道を開けた。</t>
        </is>
      </c>
      <c r="H63" s="14" t="inlineStr">
        <is>
          <t>赤壁に敗れた曹操が華容道のぬかるみを逃れていくと、関羽が道を塞いだ。昔の恩を口にする曹操を前に、関羽はどうしても刀を振るえず馬首を返したと演義は伝える。</t>
        </is>
      </c>
      <c r="I63" s="14" t="inlineStr">
        <is>
          <t>關羽讓路</t>
        </is>
      </c>
      <c r="J63" s="14" t="inlineStr">
        <is>
          <t>難忘舊恩的關羽，在華容道放開了一條路。</t>
        </is>
      </c>
      <c r="K63" s="14" t="inlineStr">
        <is>
          <t>兵敗赤壁的曹操沿華容道的泥濘小路逃竄，關羽攔住了去路。演義說，面對提起舊恩的曹操，關羽終究不忍舉刀，撥轉了馬頭。</t>
        </is>
      </c>
      <c r="L63" s="14" t="inlineStr">
        <is>
          <t>关羽放行</t>
        </is>
      </c>
      <c r="M63" s="14" t="inlineStr">
        <is>
          <t>念及旧恩的关羽，在华容道让开了去路。</t>
        </is>
      </c>
      <c r="N63" s="14" t="inlineStr">
        <is>
          <t>赤壁兵败的曹操沿华容道的泥泞小路逃窜，关羽拦住了去路。演义说，面对诉说旧恩的曹操，关羽终究不忍举刀，拨转了马头。</t>
        </is>
      </c>
      <c r="O63" s="14" t="inlineStr">
        <is>
          <t>Guan Yu Abre o Caminho</t>
        </is>
      </c>
      <c r="P63" s="14" t="inlineStr">
        <is>
          <t>Sem esquecer a velha dívida, Guan Yu abriu passagem em Huarong.</t>
        </is>
      </c>
      <c r="Q63" s="14" t="inlineStr">
        <is>
          <t>Derrotado nos Penhascos Vermelhos, Cao Cao fugia pela lama de Huarong quando Guan Yu lhe barrou o caminho. Conta o Romance que, diante de Cao Cao lembrando antigos favores, Guan Yu não teve coragem de erguer a espada e virou o cavalo.</t>
        </is>
      </c>
      <c r="R63" s="14" t="inlineStr">
        <is>
          <t>Guan Yu Abre o Caminho</t>
        </is>
      </c>
      <c r="S63" s="14" t="inlineStr">
        <is>
          <t>Sem esquecer uma velha dívida de gratidão, Guan Yu abriu o caminho em Huarong.</t>
        </is>
      </c>
      <c r="T63" s="14" t="inlineStr">
        <is>
          <t>Vencido em Chibi, Cao Cao fugia pela estrada lamacenta de Huarong quando Guan Yu lhe barrou a passagem. Diante de Cao Cao, que lhe recordava antigos favores, Guan Yu não foi capaz de erguer a espada e fez dar meia-volta ao cavalo, conta o Romance.</t>
        </is>
      </c>
      <c r="U63" s="14" t="inlineStr">
        <is>
          <t>Guan Yu apre la strada</t>
        </is>
      </c>
      <c r="V63" s="14" t="inlineStr">
        <is>
          <t>Incapace di dimenticare il debito di un tempo, a Huarong Guan Yu lasciò libera la via.</t>
        </is>
      </c>
      <c r="W63" s="14" t="inlineStr">
        <is>
          <t>Quando Cao Cao, sconfitto alle Scogliere Rosse, fuggì per la strada fangosa di Huarong, Guan Yu gli sbarrò il passo. Davanti a Cao Cao che gli ricordava i favori di un tempo, Guan Yu non ebbe cuore di alzare la spada e voltò il cavallo, narra il Romanzo.</t>
        </is>
      </c>
      <c r="X63" s="14" t="inlineStr">
        <is>
          <t>Guan Yu abre el paso</t>
        </is>
      </c>
      <c r="Y63" s="14" t="inlineStr">
        <is>
          <t>Sin poder olvidar un viejo favor, Guan Yu dejó libre el camino de Huarong.</t>
        </is>
      </c>
      <c r="Z63" s="14" t="inlineStr">
        <is>
          <t>Derrotado en los Acantilados Rojos, Cao Cao huía por el camino embarrado de Huarong cuando Guan Yu le cerró el paso. La novela cuenta que, ante Cao Cao recordándole su antigua deuda, Guan Yu no fue capaz de alzar la espada y volvió grupas.</t>
        </is>
      </c>
      <c r="AA63" s="14" t="inlineStr">
        <is>
          <t>Гуань Юй зам тавьж өгөв</t>
        </is>
      </c>
      <c r="AB63" s="14" t="inlineStr">
        <is>
          <t>Хуучин ачийг мартаж чадаагүй Гуань Юй Хуажунгийн замд зам тавьж өгөв.</t>
        </is>
      </c>
      <c r="AC63" s="14" t="inlineStr">
        <is>
          <t>Чибид ялагдсан Цао Цао Хуажунгийн шавархаг замаар зугтахад Гуань Юй замыг хаав. Хуучин ачаа дурсах Цао Цаогийн өмнө Гуань Юй илдээ өргөж зүрхэлсэнгүй, морийнхоо толгойг эргүүлсэн хэмээн туужид өгүүлдэг.</t>
        </is>
      </c>
      <c r="AD63" s="14" t="inlineStr">
        <is>
          <t>华容道</t>
        </is>
      </c>
    </row>
    <row r="64">
      <c r="A64" t="n">
        <v>63</v>
      </c>
      <c r="B64" t="inlineStr">
        <is>
          <t>남군 공방</t>
        </is>
      </c>
      <c r="C64" s="14" t="inlineStr">
        <is>
          <t>Zhou Yu Takes an Arrow</t>
        </is>
      </c>
      <c r="D64" s="14" t="inlineStr">
        <is>
          <t>Cao Ren held out against Zhou Yu's assault, and Zhou Yu was struck by an arrow in the fight.</t>
        </is>
      </c>
      <c r="E64" s="14" t="inlineStr">
        <is>
          <t>After Red Cliffs, Zhou Yu besieged Nan Commandery, held by Cao Ren, for more than a year. Cao Ren held out to the end before withdrawing, and the arrow wound Zhou Yu took there never healed.</t>
        </is>
      </c>
      <c r="F64" s="14" t="inlineStr">
        <is>
          <t>周瑜、矢を受ける</t>
        </is>
      </c>
      <c r="G64" s="14" t="inlineStr">
        <is>
          <t>曹仁は周瑜の攻勢に耐え抜き、周瑜はこの戦いで矢を受けた。</t>
        </is>
      </c>
      <c r="H64" s="14" t="inlineStr">
        <is>
          <t>赤壁ののち、周瑜は曹仁の守る南郡を一年以上攻め続けた。曹仁は最後まで持ちこたえてから退き、周瑜はこの戦いで受けた矢傷がついに癒えなかった。</t>
        </is>
      </c>
      <c r="I64" s="14" t="inlineStr">
        <is>
          <t>周瑜中箭</t>
        </is>
      </c>
      <c r="J64" s="14" t="inlineStr">
        <is>
          <t>曹仁頂住了周瑜的攻勢，周瑜在此戰中中了箭。</t>
        </is>
      </c>
      <c r="K64" s="14" t="inlineStr">
        <is>
          <t>赤壁之後，周瑜攻打曹仁鎮守的南郡一年有餘。曹仁堅守到最後才撤離，周瑜在這場戰役中所受的箭傷，終究未能痊癒。</t>
        </is>
      </c>
      <c r="L64" s="14" t="inlineStr">
        <is>
          <t>周瑜中箭</t>
        </is>
      </c>
      <c r="M64" s="14" t="inlineStr">
        <is>
          <t>曹仁顶住了周瑜的攻势，周瑜也在这一战中中了箭。</t>
        </is>
      </c>
      <c r="N64" s="14" t="inlineStr">
        <is>
          <t>赤壁之后，周瑜围攻曹仁据守的南郡一年有余。曹仁坚守到最后才撤走，周瑜在这一战中所受的箭伤却始终未能痊愈。</t>
        </is>
      </c>
      <c r="O64" s="14" t="inlineStr">
        <is>
          <t>Zhou Yu Ferido por uma Flecha</t>
        </is>
      </c>
      <c r="P64" s="14" t="inlineStr">
        <is>
          <t>Cao Ren resistiu ao ataque de Zhou Yu, que nesta luta foi ferido por uma flecha.</t>
        </is>
      </c>
      <c r="Q64" s="14" t="inlineStr">
        <is>
          <t>Após os Penhascos Vermelhos, Zhou Yu atacou por mais de um ano Nanjun, defendida por Cao Ren. Cao Ren resistiu até o fim antes de recuar, e Zhou Yu jamais se curou da ferida de flecha recebida nessa luta.</t>
        </is>
      </c>
      <c r="R64" s="14" t="inlineStr">
        <is>
          <t>Zhou Yu Atingido por uma Flecha</t>
        </is>
      </c>
      <c r="S64" s="14" t="inlineStr">
        <is>
          <t>Cao Ren resistiu à ofensiva de Zhou Yu, e Zhou Yu foi atingido por uma flecha nesta batalha.</t>
        </is>
      </c>
      <c r="T64" s="14" t="inlineStr">
        <is>
          <t>Depois de Chibi, Zhou Yu atacou durante mais de um ano a comanderia de Nan, defendida por Cao Ren. Cao Ren aguentou até ao fim antes de se retirar, e Zhou Yu nunca chegou a sarar da ferida de flecha que ali sofreu.</t>
        </is>
      </c>
      <c r="U64" s="14" t="inlineStr">
        <is>
          <t>Zhou Yu colpito dalla freccia</t>
        </is>
      </c>
      <c r="V64" s="14" t="inlineStr">
        <is>
          <t>Cao Ren resistette all'assalto di Zhou Yu, che in quella battaglia fu colpito da una freccia.</t>
        </is>
      </c>
      <c r="W64" s="14" t="inlineStr">
        <is>
          <t>Dopo le Scogliere Rosse, Zhou Yu assediò per oltre un anno Nanjun, difesa da Cao Ren. Cao Ren resistette fino alla fine prima di ritirarsi, e Zhou Yu non guarì mai dalla ferita di freccia ricevuta in quella battaglia.</t>
        </is>
      </c>
      <c r="X64" s="14" t="inlineStr">
        <is>
          <t>Zhou Yu recibe una flecha</t>
        </is>
      </c>
      <c r="Y64" s="14" t="inlineStr">
        <is>
          <t>Cao Ren resistió la ofensiva de Zhou Yu, y en esa lucha Zhou Yu fue herido por una flecha.</t>
        </is>
      </c>
      <c r="Z64" s="14" t="inlineStr">
        <is>
          <t>Tras los Acantilados Rojos, Zhou Yu atacó durante más de un año Nanjun, defendida por Cao Ren. Cao Ren resistió hasta el final antes de retirarse, y Zhou Yu nunca sanó de la herida de flecha que recibió allí.</t>
        </is>
      </c>
      <c r="AA64" s="14" t="inlineStr">
        <is>
          <t>Чжоу Юй суманд оногдов</t>
        </is>
      </c>
      <c r="AB64" s="14" t="inlineStr">
        <is>
          <t>Цао Жэнь Чжоу Юйгийн довтолгоог тэсвэрлэж, Чжоу Юй энэ тулаанд суманд оногдов.</t>
        </is>
      </c>
      <c r="AC64" s="14" t="inlineStr">
        <is>
          <t>Чибийн дараа Чжоу Юй Цао Жэний сахисан Наньцзюньг жил гаруй довтлов. Цао Жэнь эцсээ хүртэл тэсээд ухарсан бөгөөд Чжоу Юй энэ тулаанд авсан сумны шархаа хэзээ ч эдгээж чадсангүй.</t>
        </is>
      </c>
      <c r="AD64" s="14" t="inlineStr">
        <is>
          <t>南郡攻防</t>
        </is>
      </c>
    </row>
    <row r="65">
      <c r="A65" t="n">
        <v>64</v>
      </c>
      <c r="B65" t="inlineStr">
        <is>
          <t>삼기주유</t>
        </is>
      </c>
      <c r="C65" s="14" t="inlineStr">
        <is>
          <t>Why Make Me, Then Him?</t>
        </is>
      </c>
      <c r="D65" s="14" t="inlineStr">
        <is>
          <t>“Heaven made Zhou Yu — why did it also make Zhuge Liang?” The last words of Zhou Yu, thrice outwitted.</t>
        </is>
      </c>
      <c r="E65" s="14" t="inlineStr">
        <is>
          <t>In the Romance, Zhou Yu was outwitted by Zhuge Liang three times and could not master his fury. When his arrow wound tore open for the last time, he sighed, “Heaven made Zhou Yu — why did it also make Zhuge Liang?” and breathed his last.</t>
        </is>
      </c>
      <c r="F65" s="14" t="inlineStr">
        <is>
          <t>天はなぜ亮をも生んだ</t>
        </is>
      </c>
      <c r="G65" s="14" t="inlineStr">
        <is>
          <t>「既に瑜を生みて、何ぞ亮を生むや」――三度策に敗れた周瑜が、息絶える間際に残した言葉。</t>
        </is>
      </c>
      <c r="H65" s="14" t="inlineStr">
        <is>
          <t>演義の周瑜は諸葛亮の策に三度敗れ、憤りを抑えられなかった。最後に矢傷が裂けた周瑜は「既に瑜を生みて、何ぞ亮を生むや」――天は周瑜を生みながら、なぜ諸葛亮をも生んだのか――と嘆いて息絶えた。</t>
        </is>
      </c>
      <c r="I65" s="14" t="inlineStr">
        <is>
          <t>既生瑜，何生亮</t>
        </is>
      </c>
      <c r="J65" s="14" t="inlineStr">
        <is>
          <t>「既生瑜，何生亮」——上天既生了周瑜，為何又生諸葛亮？三度中計的周瑜臨終留下這句話。</t>
        </is>
      </c>
      <c r="K65" s="14" t="inlineStr">
        <is>
          <t>演義中，周瑜三度中了諸葛亮的計，氣憤難平。最後箭傷迸裂，周瑜嘆道「既生瑜，何生亮」——上天既生了周瑜，為何又生諸葛亮——隨即氣絕。</t>
        </is>
      </c>
      <c r="L65" s="14" t="inlineStr">
        <is>
          <t>既生瑜，何生亮</t>
        </is>
      </c>
      <c r="M65" s="14" t="inlineStr">
        <is>
          <t>「既生瑜，何生亮」——上天既生了周瑜，为何又生诸葛亮？三度中计的周瑜临终留下这句话。</t>
        </is>
      </c>
      <c r="N65" s="14" t="inlineStr">
        <is>
          <t>演义中周瑜三次中了诸葛亮的计，气愤难平。最后箭疮迸裂，周瑜长叹「既生瑜，何生亮」——上天既生了周瑜，为何又生诸葛亮——随即气绝。</t>
        </is>
      </c>
      <c r="O65" s="14" t="inlineStr">
        <is>
          <t>Por que o Céu nos Fez a Ambos</t>
        </is>
      </c>
      <c r="P65" s="14" t="inlineStr">
        <is>
          <t>“Se o Céu criou Zhou Yu, por que criou também Zhuge Liang?” Palavras de Zhou Yu ao morrer, três vezes enganado.</t>
        </is>
      </c>
      <c r="Q65" s="14" t="inlineStr">
        <is>
          <t>No Romance, Zhou Yu cai três vezes nas artimanhas de Zhuge Liang e não suporta a raiva. Quando a ferida da flecha se abre de vez, ele suspira — “Se o Céu criou Zhou Yu, por que criou também Zhuge Liang?” — e dá o último suspiro.</t>
        </is>
      </c>
      <c r="R65" s="14" t="inlineStr">
        <is>
          <t>Porque Fez o Céu os Dois…</t>
        </is>
      </c>
      <c r="S65" s="14" t="inlineStr">
        <is>
          <t>«Se o Céu fez Zhou Yu, porque fez também Zhuge Liang?» — as últimas palavras de Zhou Yu, três vezes enganado.</t>
        </is>
      </c>
      <c r="T65" s="14" t="inlineStr">
        <is>
          <t>No Romance, Zhou Yu cai três vezes nas artimanhas de Zhuge Liang e não consegue conter a raiva. Quando a velha ferida de flecha se abre pela última vez, Zhou Yu suspira — «se o Céu fez Zhou Yu, porque fez também Zhuge Liang?» — e morre.</t>
        </is>
      </c>
      <c r="U65" s="14" t="inlineStr">
        <is>
          <t>Perché il Cielo mi fece nascere…</t>
        </is>
      </c>
      <c r="V65" s="14" t="inlineStr">
        <is>
          <t>«Se il Cielo ha creato Yu, perché ha creato anche Liang?» Le ultime parole di Zhou Yu, raggirato tre volte.</t>
        </is>
      </c>
      <c r="W65" s="14" t="inlineStr">
        <is>
          <t>Nel Romanzo, Zhou Yu cadde tre volte negli stratagemmi di Zhuge Liang e non riuscì a dominare la propria collera. Quando la ferita di freccia si riaprì per l'ultima volta, spirò sospirando: «Se il Cielo ha creato Yu, perché ha creato anche Liang?».</t>
        </is>
      </c>
      <c r="X65" s="14" t="inlineStr">
        <is>
          <t>¿Por qué nació también él?</t>
        </is>
      </c>
      <c r="Y65" s="14" t="inlineStr">
        <is>
          <t>«Si el Cielo creó a Zhou Yu, ¿por qué creó también a Zhuge Liang?» Las últimas palabras de Zhou Yu, burlado tres veces.</t>
        </is>
      </c>
      <c r="Z65" s="14" t="inlineStr">
        <is>
          <t>En la novela, Zhou Yu cae tres veces en las tretas de Zhuge Liang sin poder contener la rabia. Cuando se le abrió por última vez la herida de flecha, suspiró «si el Cielo creó a Zhou Yu, ¿por qué creó también a Zhuge Liang?» y expiró.</t>
        </is>
      </c>
      <c r="AA65" s="14" t="inlineStr">
        <is>
          <t>Тэнгэр яахин намайг төрүүлээд…</t>
        </is>
      </c>
      <c r="AB65" s="14" t="inlineStr">
        <is>
          <t>«既生瑜 何生亮» — Тэнгэр Чжоу Юйг төрүүлчихээд яахин Чжугэ Ляныг бас төрүүлэв. Гурван удаа залиа барагдсан Чжоу Юйгийн амьсгал хураахдаа үлдээсэн үг.</t>
        </is>
      </c>
      <c r="AC65" s="14" t="inlineStr">
        <is>
          <t>Туужид Чжоу Юй Чжугэ Ляны залинд гурван удаа орж, уураа барьж чадсангүй. Сүүлчийн сумны шарх нь сэдэрсэн Чжоу Юй «既生瑜 何生亮» — Тэнгэр Чжоу Юйг төрүүлчихээд яахин Чжугэ Ляныг бас төрүүлэв — хэмээн гасалсаар амьсгал хураажээ.</t>
        </is>
      </c>
      <c r="AD65" s="14" t="inlineStr">
        <is>
          <t>三气周瑜</t>
        </is>
      </c>
    </row>
    <row r="66">
      <c r="A66" t="n">
        <v>65</v>
      </c>
      <c r="B66" t="inlineStr">
        <is>
          <t>장사의 노장</t>
        </is>
      </c>
      <c r="C66" s="14" t="inlineStr">
        <is>
          <t>Huang Zhong at Sixty</t>
        </is>
      </c>
      <c r="D66" s="14" t="inlineStr">
        <is>
          <t>At sixty, Huang Zhong fought Guan Yu to a standstill.</t>
        </is>
      </c>
      <c r="E66" s="14" t="inlineStr">
        <is>
          <t>When Guan Yu came to take Changsha, the sixty-year-old veteran Huang Zhong rode out to meet him. A hundred bouts settled nothing. When Huang Zhong's horse stumbled and Guan Yu spared him, the next day Huang Zhong repaid him with an arrow that struck only the strap of Guan Yu's helmet.</t>
        </is>
      </c>
      <c r="F66" s="14" t="inlineStr">
        <is>
          <t>六十の黄忠</t>
        </is>
      </c>
      <c r="G66" s="14" t="inlineStr">
        <is>
          <t>六十歳の黄忠は関羽と渡り合い、優劣がつかなかった。</t>
        </is>
      </c>
      <c r="H66" s="14" t="inlineStr">
        <is>
          <t>長沙を攻めに来た関羽の前に、六十の老将・黄忠が進み出た。百合打ち合っても勝負はつかなかった。馬が倒れた黄忠を関羽が斬らずにおくと、翌日、黄忠は矢で関羽の兜の緒だけを射抜いて恩を返した。</t>
        </is>
      </c>
      <c r="I66" s="14" t="inlineStr">
        <is>
          <t>六十歲的黃忠</t>
        </is>
      </c>
      <c r="J66" s="14" t="inlineStr">
        <is>
          <t>年屆六十的黃忠與關羽交手，難分高下。</t>
        </is>
      </c>
      <c r="K66" s="14" t="inlineStr">
        <is>
          <t>關羽來攻長沙，六十歲的老將黃忠出陣迎戰。鬥了百回合仍不分勝負。黃忠馬失前蹄，關羽沒有趁機斬他；隔天黃忠一箭只射斷關羽的盔纓，以報此恩。</t>
        </is>
      </c>
      <c r="L66" s="14" t="inlineStr">
        <is>
          <t>六十岁的黄忠</t>
        </is>
      </c>
      <c r="M66" s="14" t="inlineStr">
        <is>
          <t>年过六十的黄忠与关羽交锋，难分高下。</t>
        </is>
      </c>
      <c r="N66" s="14" t="inlineStr">
        <is>
          <t>关羽来攻长沙，六十岁的老将黄忠出阵迎战。斗了一百回合不分胜负。黄忠马失前蹄，关羽却不杀他；次日黄忠只一箭射中关羽盔缨，以报其恩。</t>
        </is>
      </c>
      <c r="O66" s="14" t="inlineStr">
        <is>
          <t>Huang Zhong aos Sessenta</t>
        </is>
      </c>
      <c r="P66" s="14" t="inlineStr">
        <is>
          <t>Aos sessenta anos, Huang Zhong enfrentou Guan Yu sem que nenhum levasse vantagem.</t>
        </is>
      </c>
      <c r="Q66" s="14" t="inlineStr">
        <is>
          <t>Quando Guan Yu veio atacar Changsha, o veterano Huang Zhong, de sessenta anos, saiu a enfrentá-lo. Cem assaltos não decidiram nada. Como Guan Yu não o matou quando seu cavalo caiu, no dia seguinte Huang Zhong pagou a dívida acertando com a flecha só a correia do elmo de Guan Yu.</t>
        </is>
      </c>
      <c r="R66" s="14" t="inlineStr">
        <is>
          <t>Huang Zhong aos Sessenta</t>
        </is>
      </c>
      <c r="S66" s="14" t="inlineStr">
        <is>
          <t>Aos sessenta anos, Huang Zhong bateu-se com Guan Yu sem que nenhum levasse a melhor.</t>
        </is>
      </c>
      <c r="T66" s="14" t="inlineStr">
        <is>
          <t>Quando Guan Yu veio atacar Changsha, saiu-lhe ao encontro o velho Huang Zhong, de sessenta anos. Cem assaltos e nenhum vencedor. Como Guan Yu não o matou quando o cavalo dele tropeçou, no dia seguinte Huang Zhong pagou o favor acertando apenas na correia do seu elmo.</t>
        </is>
      </c>
      <c r="U66" s="14" t="inlineStr">
        <is>
          <t>Huang Zhong, sessant'anni</t>
        </is>
      </c>
      <c r="V66" s="14" t="inlineStr">
        <is>
          <t>A sessant'anni Huang Zhong tenne testa a Guan Yu senza che nessuno prevalesse.</t>
        </is>
      </c>
      <c r="W66" s="14" t="inlineStr">
        <is>
          <t>Quando Guan Yu attaccò Changsha, gli si oppose il sessantenne Huang Zhong. Cento scambi non bastarono a decidere lo scontro. Poiché Guan Yu non lo aveva ucciso quando il suo cavallo era caduto, il giorno dopo Huang Zhong ricambiò colpendo con una freccia solo il laccio del suo elmo.</t>
        </is>
      </c>
      <c r="X66" s="14" t="inlineStr">
        <is>
          <t>Huang Zhong, a los sesenta</t>
        </is>
      </c>
      <c r="Y66" s="14" t="inlineStr">
        <is>
          <t>A los sesenta años, Huang Zhong se batió con Guan Yu sin que ninguno se impusiera.</t>
        </is>
      </c>
      <c r="Z66" s="14" t="inlineStr">
        <is>
          <t>Cuando Guan Yu vino a tomar Changsha, salió a su encuentro el veterano Huang Zhong, de sesenta años. Cien asaltos no decidieron nada. Guan Yu no lo mató cuando su caballo cayó, y al día siguiente Huang Zhong pagó el favor acertando con su flecha solo en la cinta del yelmo de Guan Yu.</t>
        </is>
      </c>
      <c r="AA66" s="14" t="inlineStr">
        <is>
          <t>Жаран настай Хуан Чжун</t>
        </is>
      </c>
      <c r="AB66" s="14" t="inlineStr">
        <is>
          <t>Жаран настай Хуан Чжун Гуань Юйтай уралдаад хэн илүүг нь ялгаж чадсангүй.</t>
        </is>
      </c>
      <c r="AC66" s="14" t="inlineStr">
        <is>
          <t>Чанша руу довтолж ирсэн Гуань Юйн өмнө жаран настай хөгшин жанжин Хуан Чжун гарч ирэв. Зуун удаа мөргөлдөвч ялагч тодорсонгүй. Морь нь унасан Хуан Чжуныг Гуань Юй цавчаагүй тул маргааш нь Хуан Чжун суугаараа Гуань Юйн дуулганы оосрыг л онож ачийг нь хариулжээ.</t>
        </is>
      </c>
      <c r="AD66" s="14" t="inlineStr">
        <is>
          <t>长沙老将</t>
        </is>
      </c>
    </row>
    <row r="67">
      <c r="A67" t="n">
        <v>66</v>
      </c>
      <c r="B67" t="inlineStr">
        <is>
          <t>감로사</t>
        </is>
      </c>
      <c r="C67" s="14" t="inlineStr">
        <is>
          <t>A Marriage Made Real</t>
        </is>
      </c>
      <c r="D67" s="14" t="inlineStr">
        <is>
          <t>A marriage meant as a honey trap became a true one.</t>
        </is>
      </c>
      <c r="E67" s="14" t="inlineStr">
        <is>
          <t>Zhou Yu meant to use a marriage to Sun Quan's sister as bait to hold Liu Bei captive in Wu. But at Ganlu Temple, Sun Quan's mother, Lady Wu, saw Liu Bei and took a liking to him, and the false marriage became a real one.</t>
        </is>
      </c>
      <c r="F67" s="14" t="inlineStr">
        <is>
          <t>まことになった婚礼</t>
        </is>
      </c>
      <c r="G67" s="14" t="inlineStr">
        <is>
          <t>美人の計で引き留めるための婚礼が、まことの婚礼になった。</t>
        </is>
      </c>
      <c r="H67" s="14" t="inlineStr">
        <is>
          <t>周瑜は孫権の妹との婚礼を餌に、劉備を呉に留め置こうとした。だが甘露寺で劉備を見た孫権の母・呉国太が気に入り、偽りの婚礼はまことの婚礼となった。</t>
        </is>
      </c>
      <c r="I67" s="14" t="inlineStr">
        <is>
          <t>弄假成真的婚事</t>
        </is>
      </c>
      <c r="J67" s="14" t="inlineStr">
        <is>
          <t>本想以美人計扣人的假婚事，竟成了真姻緣。</t>
        </is>
      </c>
      <c r="K67" s="14" t="inlineStr">
        <is>
          <t>周瑜想以孫權之妹的婚事為餌，把劉備留在東吳。然而孫權之母吳國太在甘露寺見了劉備十分中意，假婚事於是成了真婚事。</t>
        </is>
      </c>
      <c r="L67" s="14" t="inlineStr">
        <is>
          <t>弄假成真的婚事</t>
        </is>
      </c>
      <c r="M67" s="14" t="inlineStr">
        <is>
          <t>本想以美人计扣人的婚事，成了真正的婚事。</t>
        </is>
      </c>
      <c r="N67" s="14" t="inlineStr">
        <is>
          <t>周瑜想以孙权之妹的婚事为饵，把刘备扣在东吴。但孙权之母吴国太在甘露寺见了刘备十分中意，假婚就此成了真婚。</t>
        </is>
      </c>
      <c r="O67" s="14" t="inlineStr">
        <is>
          <t>O Casamento que Virou Verdade</t>
        </is>
      </c>
      <c r="P67" s="14" t="inlineStr">
        <is>
          <t>O casamento armado como isca virou casamento de verdade.</t>
        </is>
      </c>
      <c r="Q67" s="14" t="inlineStr">
        <is>
          <t>Zhou Yu quis usar o casamento com a irmã de Sun Quan como isca para prender Liu Bei em Wu. Mas, no templo Ganlu, a mãe de Sun Quan, a Senhora Wu, gostou de Liu Bei, e o casamento falso tornou-se verdadeiro.</t>
        </is>
      </c>
      <c r="R67" s="14" t="inlineStr">
        <is>
          <t>O Casamento que Ficou a Sério</t>
        </is>
      </c>
      <c r="S67" s="14" t="inlineStr">
        <is>
          <t>Um casamento armado como armadilha tornou-se um casamento a sério.</t>
        </is>
      </c>
      <c r="T67" s="14" t="inlineStr">
        <is>
          <t>Zhou Yu quis usar o casamento com a irmã de Sun Quan como isco para reter Liu Bei em Wu. Mas, no templo de Ganlu, a senhora Wu, mãe de Sun Quan, simpatizou com Liu Bei, e o falso casamento tornou-se verdadeiro.</t>
        </is>
      </c>
      <c r="U67" s="14" t="inlineStr">
        <is>
          <t>Il matrimonio diventato vero</t>
        </is>
      </c>
      <c r="V67" s="14" t="inlineStr">
        <is>
          <t>Un matrimonio usato come trappola divenne un matrimonio vero.</t>
        </is>
      </c>
      <c r="W67" s="14" t="inlineStr">
        <is>
          <t>Zhou Yu volle usare le nozze con la sorella di Sun Quan come esca per trattenere Liu Bei a Wu. Ma al tempio Ganlu la madre di Sun Quan, Wu Guotai, vide Liu Bei e lo apprezzò, e il finto matrimonio divenne vero.</t>
        </is>
      </c>
      <c r="X67" s="14" t="inlineStr">
        <is>
          <t>La boda que se volvió real</t>
        </is>
      </c>
      <c r="Y67" s="14" t="inlineStr">
        <is>
          <t>La boda que debía ser una trampa terminó siendo una boda de verdad.</t>
        </is>
      </c>
      <c r="Z67" s="14" t="inlineStr">
        <is>
          <t>Zhou Yu quiso retener a Liu Bei en Wu con el cebo de una boda con la hermana de Sun Quan. Pero en el templo de Ganlu, la madre de Sun Quan, la Gran Dama Wu, quedó complacida con Liu Bei, y el matrimonio fingido se hizo real.</t>
        </is>
      </c>
      <c r="AA67" s="14" t="inlineStr">
        <is>
          <t>Үнэн болсон гэрлэлт</t>
        </is>
      </c>
      <c r="AB67" s="14" t="inlineStr">
        <is>
          <t>Гоо үзэсгэлэнгийн заль болох байсан гэрлэлт жинхэнэ гэрлэлт болов.</t>
        </is>
      </c>
      <c r="AC67" s="14" t="inlineStr">
        <is>
          <t>Чжоу Юй Сунь Цюаний эгчтэй гэрлэх явдлыг өгөөш болгож Лю Бэйг У улсад баривчлан байлгахыг санав. Гэвч Ганьлу сүмд Лю Бэйг харсан Сунь Цюаний эх У Гоутай түүнд таалагдаж, худал гэрлэлт жинхэнэ гэрлэлт болжээ.</t>
        </is>
      </c>
      <c r="AD67" s="14" t="inlineStr">
        <is>
          <t>甘露寺</t>
        </is>
      </c>
    </row>
    <row r="68">
      <c r="A68" t="n">
        <v>67</v>
      </c>
      <c r="B68" t="inlineStr">
        <is>
          <t>동작대부</t>
        </is>
      </c>
      <c r="C68" s="14" t="inlineStr">
        <is>
          <t>Cao Zhi's Song</t>
        </is>
      </c>
      <c r="D68" s="14" t="inlineStr">
        <is>
          <t>The song of Cao Zhi, whose every stroke of the brush became fine prose.</t>
        </is>
      </c>
      <c r="E68" s="14" t="inlineStr">
        <is>
          <t>When Cao Cao raised the Bronze Sparrow Terrace at Ye and asked his sons to compose rhapsodies, Cao Zhi took up his brush and wrote his in one breath. Cao Cao so prized that talent that he thought of making Cao Zhi his heir.</t>
        </is>
      </c>
      <c r="F68" s="14" t="inlineStr">
        <is>
          <t>曹植の賦</t>
        </is>
      </c>
      <c r="G68" s="14" t="inlineStr">
        <is>
          <t>筆を執ればそのまま文章になったという、曹植の賦。</t>
        </is>
      </c>
      <c r="H68" s="14" t="inlineStr">
        <is>
          <t>曹操が鄴に銅雀台を建て息子たちに賦を作らせると、曹植は筆を執って一気に書き上げた。その才に、曹操は曹植を後継者に考えるほど愛した。</t>
        </is>
      </c>
      <c r="I68" s="14" t="inlineStr">
        <is>
          <t>曹植之賦</t>
        </is>
      </c>
      <c r="J68" s="14" t="inlineStr">
        <is>
          <t>據說提筆便成文章的曹植之作。</t>
        </is>
      </c>
      <c r="K68" s="14" t="inlineStr">
        <is>
          <t>曹操在鄴城建成銅雀臺，命諸子作賦，曹植提筆一揮而就。曹操愛其才華，甚至一度想立他為繼承人。</t>
        </is>
      </c>
      <c r="L68" s="14" t="inlineStr">
        <is>
          <t>曹植之赋</t>
        </is>
      </c>
      <c r="M68" s="14" t="inlineStr">
        <is>
          <t>曹植的赋，据说下笔即成文章。</t>
        </is>
      </c>
      <c r="N68" s="14" t="inlineStr">
        <is>
          <t>曹操在邺城建成铜雀台，命诸子作赋，曹植提笔一挥而就。曹操爱惜其才，一度想立他为继承人。</t>
        </is>
      </c>
      <c r="O68" s="14" t="inlineStr">
        <is>
          <t>O Poema de Cao Zhi</t>
        </is>
      </c>
      <c r="P68" s="14" t="inlineStr">
        <is>
          <t>O poema de Cao Zhi, cujo pincel virava prosa perfeita ao tocar o papel.</t>
        </is>
      </c>
      <c r="Q68" s="14" t="inlineStr">
        <is>
          <t>Quando Cao Cao ergueu a Torre do Pássaro de Bronze em Ye e pediu aos filhos que compusessem odes, Cao Zhi escreveu a sua de um só fôlego. Por esse talento, Cao Cao o estimou a ponto de pensar nele como herdeiro.</t>
        </is>
      </c>
      <c r="R68" s="14" t="inlineStr">
        <is>
          <t>O Canto de Cao Zhi</t>
        </is>
      </c>
      <c r="S68" s="14" t="inlineStr">
        <is>
          <t>O canto de Cao Zhi, de quem se dizia que o pincel escrevia sozinho.</t>
        </is>
      </c>
      <c r="T68" s="14" t="inlineStr">
        <is>
          <t>Quando Cao Cao ergueu a Torre do Pardal de Bronze em Ye e pediu aos filhos que lhe dedicassem um poema, Cao Zhi pegou no pincel e escreveu-o de uma assentada. Cao Cao estimou tanto esse talento que chegou a pensar nele como herdeiro.</t>
        </is>
      </c>
      <c r="U68" s="14" t="inlineStr">
        <is>
          <t>Il canto di Cao Zhi</t>
        </is>
      </c>
      <c r="V68" s="14" t="inlineStr">
        <is>
          <t>Il canto di Cao Zhi, che appena preso il pennello componeva versi compiuti.</t>
        </is>
      </c>
      <c r="W68" s="14" t="inlineStr">
        <is>
          <t>Quando Cao Cao eresse la Terrazza del Passero di Bronzo a Ye e chiese ai figli di comporre un poema, Cao Zhi prese il pennello e lo scrisse di getto. Per quel talento Cao Cao lo amò al punto da pensare a lui come erede.</t>
        </is>
      </c>
      <c r="X68" s="14" t="inlineStr">
        <is>
          <t>El poema de Cao Zhi</t>
        </is>
      </c>
      <c r="Y68" s="14" t="inlineStr">
        <is>
          <t>El poema de Cao Zhi, que escribía prosa perfecta con solo tomar el pincel.</t>
        </is>
      </c>
      <c r="Z68" s="14" t="inlineStr">
        <is>
          <t>Cuando Cao Cao levantó la Torre del Pájaro de Bronce en Ye y pidió a sus hijos que compusieran un poema, Cao Zhi lo escribió de un tirón. Tanto lo apreció Cao Cao por su talento que llegó a pensar en él como heredero.</t>
        </is>
      </c>
      <c r="AA68" s="14" t="inlineStr">
        <is>
          <t>Цао Чжигийн дуулал</t>
        </is>
      </c>
      <c r="AB68" s="14" t="inlineStr">
        <is>
          <t>Бийр барингуут л зохиол болдог байсан Цао Чжигийн дуулал.</t>
        </is>
      </c>
      <c r="AC68" s="14" t="inlineStr">
        <is>
          <t>Цао Цао Е хотод Тунцюэ асар босгож хөвгүүддээ магтаал бичүүлэхэд Цао Чжи бийрээ барин нэг амьсгаагаар бичиж дуусгав. Тэр авьяасыг нь хараад Цао Цао түүнийг залгамжлагч болгохыг бодохуйц хайрладаг байжээ.</t>
        </is>
      </c>
      <c r="AD68" s="14" t="inlineStr">
        <is>
          <t>铜雀台赋</t>
        </is>
      </c>
    </row>
    <row r="69">
      <c r="A69" t="n">
        <v>68</v>
      </c>
      <c r="B69" t="inlineStr">
        <is>
          <t>동관의 마초</t>
        </is>
      </c>
      <c r="C69" s="14" t="inlineStr">
        <is>
          <t>Cao Cao Cuts His Beard</t>
        </is>
      </c>
      <c r="D69" s="14" t="inlineStr">
        <is>
          <t>Before Ma Chao, come to avenge his father, Cao Cao cut off his beard to escape.</t>
        </is>
      </c>
      <c r="E69" s="14" t="inlineStr">
        <is>
          <t>Ma Chao struck at Tong Pass to avenge his father Ma Teng, whom Cao Cao had killed. Hunted by Ma Chao, Cao Cao threw off his red robe and even cut his beard to flee, and only crossed the river because Xu Chu rowed him across.</t>
        </is>
      </c>
      <c r="F69" s="14" t="inlineStr">
        <is>
          <t>髭を切った曹操</t>
        </is>
      </c>
      <c r="G69" s="14" t="inlineStr">
        <is>
          <t>父の仇を討ちに来た馬超の前で、曹操は髭を切って逃げた。</t>
        </is>
      </c>
      <c r="H69" s="14" t="inlineStr">
        <is>
          <t>父・馬騰を殺した曹操に復讐するため、馬超は潼関を攻めた。馬超に追われた曹操は赤い戦袍を脱ぎ、髭まで切って逃げ、許褚が舟を漕いでかろうじて川を渡った。</t>
        </is>
      </c>
      <c r="I69" s="14" t="inlineStr">
        <is>
          <t>割鬚棄袍的曹操</t>
        </is>
      </c>
      <c r="J69" s="14" t="inlineStr">
        <is>
          <t>在前來為父報仇的馬超面前，曹操割去鬍鬚而逃。</t>
        </is>
      </c>
      <c r="K69" s="14" t="inlineStr">
        <is>
          <t>為向殺父的曹操報仇，馬超攻打潼關。被馬超追趕的曹操脫下紅袍、割去鬍鬚而逃，靠許褚划船才勉強渡過河去。</t>
        </is>
      </c>
      <c r="L69" s="14" t="inlineStr">
        <is>
          <t>割须弃袍</t>
        </is>
      </c>
      <c r="M69" s="14" t="inlineStr">
        <is>
          <t>面对前来报父仇的马超，曹操割了胡须逃命。</t>
        </is>
      </c>
      <c r="N69" s="14" t="inlineStr">
        <is>
          <t>为报杀父之仇，马超攻打潼关。被马超追赶的曹操脱下红袍，连胡须都割了才逃脱，全靠许褚撑船才勉强渡河。</t>
        </is>
      </c>
      <c r="O69" s="14" t="inlineStr">
        <is>
          <t>Cao Cao Corta a Barba</t>
        </is>
      </c>
      <c r="P69" s="14" t="inlineStr">
        <is>
          <t>Diante de Ma Chao, que vinha vingar o pai, Cao Cao cortou a barba para fugir.</t>
        </is>
      </c>
      <c r="Q69" s="14" t="inlineStr">
        <is>
          <t>Para vingar o pai, Ma Teng, morto por Cao Cao, Ma Chao atacou Tongguan. Perseguido, Cao Cao tirou o manto vermelho e até cortou a barba para fugir, e só cruzou o rio porque Xu Chu remou o barco.</t>
        </is>
      </c>
      <c r="R69" s="14" t="inlineStr">
        <is>
          <t>Cao Cao Corta a Barba</t>
        </is>
      </c>
      <c r="S69" s="14" t="inlineStr">
        <is>
          <t>Perante Ma Chao, que vinha vingar o pai, Cao Cao cortou a barba para fugir.</t>
        </is>
      </c>
      <c r="T69" s="14" t="inlineStr">
        <is>
          <t>Para vingar o pai, Ma Teng, morto por Cao Cao, Ma Chao atacou a Passagem de Tong. Perseguido, Cao Cao despiu o manto vermelho e cortou até a barba para fugir, e só atravessou o rio porque Xu Chu remou o barco.</t>
        </is>
      </c>
      <c r="U69" s="14" t="inlineStr">
        <is>
          <t>Cao Cao si taglia la barba</t>
        </is>
      </c>
      <c r="V69" s="14" t="inlineStr">
        <is>
          <t>Davanti a Ma Chao, venuto a vendicare il padre, Cao Cao si tagliò la barba per fuggire.</t>
        </is>
      </c>
      <c r="W69" s="14" t="inlineStr">
        <is>
          <t>Per vendicare il padre Ma Teng, ucciso da Cao Cao, Ma Chao attaccò il passo di Tong. Inseguito, Cao Cao si tolse il mantello rosso e si tagliò perfino la barba per fuggire, e solo grazie a Xu Chu che remava riuscì ad attraversare il fiume.</t>
        </is>
      </c>
      <c r="X69" s="14" t="inlineStr">
        <is>
          <t>Cao Cao se corta la barba</t>
        </is>
      </c>
      <c r="Y69" s="14" t="inlineStr">
        <is>
          <t>Ante Ma Chao, que venía a vengar a su padre, Cao Cao huyó cortándose la barba.</t>
        </is>
      </c>
      <c r="Z69" s="14" t="inlineStr">
        <is>
          <t>Para vengar a su padre Ma Teng, muerto por Cao Cao, Ma Chao atacó el paso de Tong. Perseguido, Cao Cao se quitó la capa roja y hasta se cortó la barba para huir, y cruzó el río a duras penas con Xu Chu remando.</t>
        </is>
      </c>
      <c r="AA69" s="14" t="inlineStr">
        <is>
          <t>Сахлаа тайрсан Цао Цао</t>
        </is>
      </c>
      <c r="AB69" s="14" t="inlineStr">
        <is>
          <t>Эцгийнхээ өшөөг авахаар ирсэн Ма Чаогийн өмнө Цао Цао сахлаа тайрч зугтав.</t>
        </is>
      </c>
      <c r="AC69" s="14" t="inlineStr">
        <is>
          <t>Эцэг Ма Тэнийг хөнөөсөн Цао Цаогоос өшөө авахаар Ма Чао Тунгуаныг довтлов. Ма Чаод хөөгдсөн Цао Цао улаан дээлээ тайлж, сахлаа хүртэл тайраад зугтсан бөгөөд Сюй Чу завь сэлүүрдэж байж арай гэж голыг гатлав.</t>
        </is>
      </c>
      <c r="AD69" s="14" t="inlineStr">
        <is>
          <t>潼关马超</t>
        </is>
      </c>
    </row>
    <row r="70">
      <c r="A70" t="n">
        <v>69</v>
      </c>
      <c r="B70" t="inlineStr">
        <is>
          <t>서천 지도</t>
        </is>
      </c>
      <c r="C70" s="14" t="inlineStr">
        <is>
          <t>A Single Map</t>
        </is>
      </c>
      <c r="D70" s="14" t="inlineStr">
        <is>
          <t>On the one map Zhang Song presented, every road into Yi Province was drawn.</t>
        </is>
      </c>
      <c r="E70" s="14" t="inlineStr">
        <is>
          <t>Snubbed by Cao Cao, Zhang Song, an aide of Yi Province, met Liu Bei on his way home. He presented a map of Yi Province's rivers, mountains and passes, and with Fa Zheng and Meng Da set out to bring Liu Bei into Yi.</t>
        </is>
      </c>
      <c r="F70" s="14" t="inlineStr">
        <is>
          <t>一枚の地図</t>
        </is>
      </c>
      <c r="G70" s="14" t="inlineStr">
        <is>
          <t>張松が献じた一枚の地図に、益州の道がすべて描かれていた。</t>
        </is>
      </c>
      <c r="H70" s="14" t="inlineStr">
        <is>
          <t>益州の別駕・張松は、曹操に冷遇された帰り道で劉備に出会った。彼は益州の山河と関所を描いた地図を献じ、法正・孟達とともに劉備を益州に迎えようとした。</t>
        </is>
      </c>
      <c r="I70" s="14" t="inlineStr">
        <is>
          <t>一張地圖</t>
        </is>
      </c>
      <c r="J70" s="14" t="inlineStr">
        <is>
          <t>張松獻上的一張地圖，畫盡了益州的道路。</t>
        </is>
      </c>
      <c r="K70" s="14" t="inlineStr">
        <is>
          <t>益州別駕張松受曹操冷落，在歸途中遇見劉備。他獻上畫有益州山川關隘的地圖，與法正、孟達一起謀劃迎劉備入益州。</t>
        </is>
      </c>
      <c r="L70" s="14" t="inlineStr">
        <is>
          <t>一张地图</t>
        </is>
      </c>
      <c r="M70" s="14" t="inlineStr">
        <is>
          <t>张松献上的一张地图，画尽了益州的道路。</t>
        </is>
      </c>
      <c r="N70" s="14" t="inlineStr">
        <is>
          <t>益州别驾张松受曹操冷遇，归途中遇见刘备。他献上绘有益州山川关隘的地图，与法正、孟达一同谋划迎刘备入蜀。</t>
        </is>
      </c>
      <c r="O70" s="14" t="inlineStr">
        <is>
          <t>Um Único Mapa</t>
        </is>
      </c>
      <c r="P70" s="14" t="inlineStr">
        <is>
          <t>No mapa que Zhang Song ofereceu estavam todos os caminhos de Yi.</t>
        </is>
      </c>
      <c r="Q70" s="14" t="inlineStr">
        <is>
          <t>Desprezado por Cao Cao, Zhang Song, oficial de Yi, encontrou Liu Bei no caminho de volta. Ofereceu-lhe um mapa dos rios, montanhas e passos de Yi e, com Fa Zheng e Meng Da, quis trazer Liu Bei para Yi.</t>
        </is>
      </c>
      <c r="R70" s="14" t="inlineStr">
        <is>
          <t>Um Único Mapa</t>
        </is>
      </c>
      <c r="S70" s="14" t="inlineStr">
        <is>
          <t>No mapa oferecido por Zhang Song estavam desenhados todos os caminhos de Yizhou.</t>
        </is>
      </c>
      <c r="T70" s="14" t="inlineStr">
        <is>
          <t>Desprezado por Cao Cao, Zhang Song, oficial de Yizhou, encontrou Liu Bei no regresso. Ofereceu-lhe um mapa dos montes, rios e passagens de Yizhou e, com Fa Zheng e Meng Da, quis trazer Liu Bei para Yizhou.</t>
        </is>
      </c>
      <c r="U70" s="14" t="inlineStr">
        <is>
          <t>Una sola mappa</t>
        </is>
      </c>
      <c r="V70" s="14" t="inlineStr">
        <is>
          <t>Nella mappa offerta da Zhang Song erano disegnate tutte le vie di Yizhou.</t>
        </is>
      </c>
      <c r="W70" s="14" t="inlineStr">
        <is>
          <t>Zhang Song, funzionario di Yizhou, trattato con sufficienza da Cao Cao, incontrò Liu Bei sulla via del ritorno. Gli offrì una mappa con i monti, i fiumi e i passi di Yizhou e, con Fa Zheng e Meng Da, cercò di accogliere Liu Bei nella provincia.</t>
        </is>
      </c>
      <c r="X70" s="14" t="inlineStr">
        <is>
          <t>Un solo mapa</t>
        </is>
      </c>
      <c r="Y70" s="14" t="inlineStr">
        <is>
          <t>En el mapa que entregó Zhang Song estaban dibujados todos los caminos de Yi.</t>
        </is>
      </c>
      <c r="Z70" s="14" t="inlineStr">
        <is>
          <t>Despreciado por Cao Cao, Zhang Song, funcionario de Yi, se encontró con Liu Bei al regresar. Le entregó un mapa con los montes, ríos y pasos de Yi y, junto con Fa Zheng y Meng Da, quiso llevar a Liu Bei a la provincia.</t>
        </is>
      </c>
      <c r="AA70" s="14" t="inlineStr">
        <is>
          <t>Нэг хуудас газрын зураг</t>
        </is>
      </c>
      <c r="AB70" s="14" t="inlineStr">
        <is>
          <t>Чжан Сунгийн өргөсөн нэг хуудас газрын зурагт Ичжоугийн бүх зам дүрслэгдсэн байв.</t>
        </is>
      </c>
      <c r="AC70" s="14" t="inlineStr">
        <is>
          <t>Ичжоугийн туслах түшмэл Чжан Сун Цао Цаод хайхрагдалгүй буцах замдаа Лю Бэйтэй уулзав. Тэрбээр Ичжоугийн уул ус, хаалгуудыг зурсан газрын зургийг өргөж, Фа Чжэн, Мэн Да нарын хамт Лю Бэйг Ичжоуд залахаар зэхжээ.</t>
        </is>
      </c>
      <c r="AD70" s="14" t="inlineStr">
        <is>
          <t>西川地图</t>
        </is>
      </c>
    </row>
    <row r="71">
      <c r="A71" t="n">
        <v>70</v>
      </c>
      <c r="B71" t="inlineStr">
        <is>
          <t>낙봉파</t>
        </is>
      </c>
      <c r="C71" s="14" t="inlineStr">
        <is>
          <t>The Fallen Phoenix</t>
        </is>
      </c>
      <c r="D71" s="14" t="inlineStr">
        <is>
          <t>Riding Liu Bei's borrowed white horse, the Young Phoenix fell to Zhang Ren's arrows.</t>
        </is>
      </c>
      <c r="E71" s="14" t="inlineStr">
        <is>
          <t>Marching into Yi Province, Pang Tong passed through the narrow gorge of Luofeng Slope. Riding the white horse he had borrowed from Liu Bei, he was taken for Liu Bei by Zhang Ren's ambushers, who rained arrows upon him, and the Young Phoenix fell at thirty-six.</t>
        </is>
      </c>
      <c r="F71" s="14" t="inlineStr">
        <is>
          <t>鳳凰、落つ</t>
        </is>
      </c>
      <c r="G71" s="14" t="inlineStr">
        <is>
          <t>劉備の白馬を借りて乗った鳳雛は、張任の矢に斃れた。</t>
        </is>
      </c>
      <c r="H71" s="14" t="inlineStr">
        <is>
          <t>益州へ進軍する龐統は、落鳳坡の狭い谷を通った。劉備から借りた白馬に乗る彼を、張任の伏兵は劉備と見て矢を浴びせ、鳳雛は三十六歳で斃れた。</t>
        </is>
      </c>
      <c r="I71" s="14" t="inlineStr">
        <is>
          <t>鳳凰墜落</t>
        </is>
      </c>
      <c r="J71" s="14" t="inlineStr">
        <is>
          <t>借騎劉備白馬的鳳雛，倒在張任的箭下。</t>
        </is>
      </c>
      <c r="K71" s="14" t="inlineStr">
        <is>
          <t>向益州進軍的龐統途經落鳳坡的狹谷。他騎著向劉備借來的白馬，張任的伏兵誤以為是劉備，萬箭齊發，鳳雛三十六歲便殞命。</t>
        </is>
      </c>
      <c r="L71" s="14" t="inlineStr">
        <is>
          <t>凤雏坠落</t>
        </is>
      </c>
      <c r="M71" s="14" t="inlineStr">
        <is>
          <t>借骑刘备白马的凤雏，倒在张任的箭下。</t>
        </is>
      </c>
      <c r="N71" s="14" t="inlineStr">
        <is>
          <t>进军益州的庞统经过落凤坡的狭窄山谷。张任的伏兵把骑着借来白马的他当成刘备，万箭齐发，凤雏殒命，年仅三十六。</t>
        </is>
      </c>
      <c r="O71" s="14" t="inlineStr">
        <is>
          <t>A Queda da Fênix</t>
        </is>
      </c>
      <c r="P71" s="14" t="inlineStr">
        <is>
          <t>Montado no cavalo branco de Liu Bei, a Jovem Fênix caiu sob as flechas de Zhang Ren.</t>
        </is>
      </c>
      <c r="Q71" s="14" t="inlineStr">
        <is>
          <t>Marchando para Yi, Pang Tong passou pelo estreito vale de Luofeng. Os emboscados de Zhang Ren o tomaram por Liu Bei, por causa do cavalo branco emprestado, e o cobriram de flechas: a Jovem Fênix caiu aos trinta e seis anos.</t>
        </is>
      </c>
      <c r="R71" s="14" t="inlineStr">
        <is>
          <t>A Queda da Fénix</t>
        </is>
      </c>
      <c r="S71" s="14" t="inlineStr">
        <is>
          <t>Montado no cavalo branco de Liu Bei, a Jovem Fénix caiu sob as flechas de Zhang Ren.</t>
        </is>
      </c>
      <c r="T71" s="14" t="inlineStr">
        <is>
          <t>A caminho de Yizhou, Pang Tong atravessou o estreito vale de Luofeng. Montava o cavalo branco que Liu Bei lhe emprestara, e a emboscada de Zhang Ren, tomando-o por Liu Bei, crivou-o de flechas: a Jovem Fénix caiu aos trinta e seis anos.</t>
        </is>
      </c>
      <c r="U71" s="14" t="inlineStr">
        <is>
          <t>La caduta della Fenice</t>
        </is>
      </c>
      <c r="V71" s="14" t="inlineStr">
        <is>
          <t>In sella al cavallo bianco prestatogli da Liu Bei, la Giovane Fenice cadde sotto le frecce di Zhang Ren.</t>
        </is>
      </c>
      <c r="W71" s="14" t="inlineStr">
        <is>
          <t>Marciando su Yizhou, Pang Tong attraversò la stretta gola di Luofengpo. In sella al cavallo bianco avuto da Liu Bei, fu scambiato per lui dall'imboscata di Zhang Ren e travolto dalle frecce: la Giovane Fenice cadde a trentasei anni.</t>
        </is>
      </c>
      <c r="X71" s="14" t="inlineStr">
        <is>
          <t>Cae el Fénix</t>
        </is>
      </c>
      <c r="Y71" s="14" t="inlineStr">
        <is>
          <t>El Joven Fénix, montado en el caballo blanco de Liu Bei, cayó ante las flechas de Zhang Ren.</t>
        </is>
      </c>
      <c r="Z71" s="14" t="inlineStr">
        <is>
          <t>Avanzando hacia Yi, Pang Tong cruzó el estrecho valle de Luofeng. Montaba un caballo blanco prestado por Liu Bei, y la emboscada de Zhang Ren, creyéndolo Liu Bei, lo acribilló: el Joven Fénix cayó a los treinta y seis años.</t>
        </is>
      </c>
      <c r="AA71" s="14" t="inlineStr">
        <is>
          <t>Галт шувуу унав</t>
        </is>
      </c>
      <c r="AB71" s="14" t="inlineStr">
        <is>
          <t>Лю Бэйн цагаан морийг зээлж унасан Галт шувууны дэгдээхэй Чжан Жэний суманд унав.</t>
        </is>
      </c>
      <c r="AC71" s="14" t="inlineStr">
        <is>
          <t>Ичжоу руу давшиж явсан Пан Тун Лофэнпогийн нарийн хавцлаар өнгөрөв. Лю Бэйгээс зээлсэн цагаан морь унасан түүнийг Чжан Жэний отолтынхон Лю Бэй гэж андуурч сум бороо мэт харвахад, Галт шувууны дэгдээхэй гучин зургаан насандаа унажээ.</t>
        </is>
      </c>
      <c r="AD71" s="14" t="inlineStr">
        <is>
          <t>落凤坡</t>
        </is>
      </c>
    </row>
    <row r="72">
      <c r="A72" t="n">
        <v>71</v>
      </c>
      <c r="B72" t="inlineStr">
        <is>
          <t>의석 엄안</t>
        </is>
      </c>
      <c r="C72" s="14" t="inlineStr">
        <is>
          <t>Sparing Yan Yan</t>
        </is>
      </c>
      <c r="D72" s="14" t="inlineStr">
        <is>
          <t>“There are generals who lose their heads, but none who surrender” — and Zhang Fei bowed before him.</t>
        </is>
      </c>
      <c r="E72" s="14" t="inlineStr">
        <is>
          <t>Captured by Zhang Fei at Ba Commandery, the old general Yan Yan rebuked him: “There are generals who lose their heads, but none who surrender.” Moved by his spirit, Zhang Fei untied the ropes with his own hands and gave him the seat of honor.</t>
        </is>
      </c>
      <c r="F72" s="14" t="inlineStr">
        <is>
          <t>義をもって厳顔を放つ</t>
        </is>
      </c>
      <c r="G72" s="14" t="inlineStr">
        <is>
          <t>「首を斬られる将軍はあっても、降る将軍はない」――張飛はその前に膝を折った。</t>
        </is>
      </c>
      <c r="H72" s="14" t="inlineStr">
        <is>
          <t>巴郡を攻めた張飛に捕らえられた老将・厳顔は「首を斬られる将軍はあっても、降る将軍はない」と叱りつけた。張飛はその気概に感じ入り、自ら縄を解いて上座に据えた。</t>
        </is>
      </c>
      <c r="I72" s="14" t="inlineStr">
        <is>
          <t>以義感動忠臣</t>
        </is>
      </c>
      <c r="J72" s="14" t="inlineStr">
        <is>
          <t>「但有斷頭將軍，無有降將軍」——張飛在他面前跪了下來。</t>
        </is>
      </c>
      <c r="K72" s="14" t="inlineStr">
        <is>
          <t>張飛攻打巴郡，生擒老將嚴顏，嚴顏怒斥道「但有斷頭將軍，無有降將軍」。張飛為其氣節所感動，親手解開繩索，請他上座。</t>
        </is>
      </c>
      <c r="L72" s="14" t="inlineStr">
        <is>
          <t>以义服忠臣</t>
        </is>
      </c>
      <c r="M72" s="14" t="inlineStr">
        <is>
          <t>「但有断头将军，无有降将军」——张飞向他折服。</t>
        </is>
      </c>
      <c r="N72" s="14" t="inlineStr">
        <is>
          <t>张飞攻破巴郡，被擒的老将严颜斥道「但有断头将军，无有降将军」。张飞感佩其气节，亲手解开绳索，请他上座。</t>
        </is>
      </c>
      <c r="O72" s="14" t="inlineStr">
        <is>
          <t>Comovido, Ganhou um Leal</t>
        </is>
      </c>
      <c r="P72" s="14" t="inlineStr">
        <is>
          <t>“Há generais que perdem a cabeça, não generais que se rendem” — Zhang Fei curvou-se diante dele.</t>
        </is>
      </c>
      <c r="Q72" s="14" t="inlineStr">
        <is>
          <t>Capturado por Zhang Fei em Bajun, o velho general Yan Yan o repreendeu: “Há generais que perdem a cabeça, não generais que se rendem.” Comovido com tamanha bravura, Zhang Fei desatou ele mesmo as cordas e o sentou no lugar de honra.</t>
        </is>
      </c>
      <c r="R72" s="14" t="inlineStr">
        <is>
          <t>Comover para Ganhar um Leal</t>
        </is>
      </c>
      <c r="S72" s="14" t="inlineStr">
        <is>
          <t>«Há generais que perdem a cabeça, não generais que se rendem» — e Zhang Fei curvou-se diante dele.</t>
        </is>
      </c>
      <c r="T72" s="14" t="inlineStr">
        <is>
          <t>Capturado por Zhang Fei em Ba, o velho Yan Yan repreendeu-o: «Há generais que perdem a cabeça, não generais que se rendem.» Comovido com tanta coragem, Zhang Fei desatou-lhe ele próprio as cordas e sentou-o no lugar de honra.</t>
        </is>
      </c>
      <c r="U72" s="14" t="inlineStr">
        <is>
          <t>Commuovere e conquistare</t>
        </is>
      </c>
      <c r="V72" s="14" t="inlineStr">
        <is>
          <t>«Ci sono generali decapitati, non generali che si arrendono.» Zhang Fei si inchinò davanti a lui.</t>
        </is>
      </c>
      <c r="W72" s="14" t="inlineStr">
        <is>
          <t>Catturato da Zhang Fei a Ba, il vecchio generale Yan Yan lo rimproverò: «Ci sono generali decapitati, non generali che si arrendono». Commosso da tanta fierezza, Zhang Fei sciolse lui stesso le sue corde e lo fece sedere al posto d'onore.</t>
        </is>
      </c>
      <c r="X72" s="14" t="inlineStr">
        <is>
          <t>Ganar a un leal con respeto</t>
        </is>
      </c>
      <c r="Y72" s="14" t="inlineStr">
        <is>
          <t>«Hay generales que pierden la cabeza, no generales que se rinden» — Zhang Fei se arrodilló ante él.</t>
        </is>
      </c>
      <c r="Z72" s="14" t="inlineStr">
        <is>
          <t>Capturado por Zhang Fei en Ba, el viejo general Yan Yan lo increpó: «Hay generales que pierden la cabeza, pero no generales que se rinden». Admirado por su temple, Zhang Fei le desató las cuerdas con sus propias manos y le dio el sitio de honor.</t>
        </is>
      </c>
      <c r="AA72" s="14" t="inlineStr">
        <is>
          <t>Сэтгэл хөдөлгөж үнэнчийг олов</t>
        </is>
      </c>
      <c r="AB72" s="14" t="inlineStr">
        <is>
          <t>«Толгойгоо өгөх жанжин байдаг ч бууж өгөх жанжин үгүй» — Чжан Фэй түүний өмнө өвдөг сөгдөв.</t>
        </is>
      </c>
      <c r="AC72" s="14" t="inlineStr">
        <is>
          <t>Бацзюньг довтолсон Чжан Фэйд олзлогдсон хөгшин жанжин Янь Янь «Толгойгоо өгөх жанжин байдаг ч бууж өгөх жанжин үгүй» хэмээн зэмлэв. Чжан Фэй тэр зоригт нь бишрэн өөрийн гараар хүлээсийг нь тайлж, дээд суудалд залжээ.</t>
        </is>
      </c>
      <c r="AD72" s="14" t="inlineStr">
        <is>
          <t>义释严颜</t>
        </is>
      </c>
    </row>
    <row r="73">
      <c r="A73" t="n">
        <v>72</v>
      </c>
      <c r="B73" t="inlineStr">
        <is>
          <t>가맹관 야전</t>
        </is>
      </c>
      <c r="C73" s="14" t="inlineStr">
        <is>
          <t>Duel by Torchlight</t>
        </is>
      </c>
      <c r="D73" s="14" t="inlineStr">
        <is>
          <t>They fought all night by torchlight, yet Zhang Fei and Ma Chao could not settle it.</t>
        </is>
      </c>
      <c r="E73" s="14" t="inlineStr">
        <is>
          <t>Zhang Fei and Ma Chao clashed at Jiameng Pass. When the sun set they lit torches and fought through the night without a victor, and not long after, Ma Chao joined Liu Bei.</t>
        </is>
      </c>
      <c r="F73" s="14" t="inlineStr">
        <is>
          <t>松明の下の勝負</t>
        </is>
      </c>
      <c r="G73" s="14" t="inlineStr">
        <is>
          <t>松明をともして夜通し戦ったが、張飛と馬超は勝負がつかなかった。</t>
        </is>
      </c>
      <c r="H73" s="14" t="inlineStr">
        <is>
          <t>葭萌関で張飛と馬超がぶつかった。日が暮れると松明をともして夜通し戦ったが勝負はつかず、馬超はほどなく劉備に帰順した。</t>
        </is>
      </c>
      <c r="I73" s="14" t="inlineStr">
        <is>
          <t>火把下的勝負</t>
        </is>
      </c>
      <c r="J73" s="14" t="inlineStr">
        <is>
          <t>點起火把徹夜廝殺，張飛與馬超仍分不出勝負。</t>
        </is>
      </c>
      <c r="K73" s="14" t="inlineStr">
        <is>
          <t>張飛與馬超在葭萌關交鋒。日落後點起火把徹夜廝殺，依然不分勝負，不久之後馬超便歸順了劉備。</t>
        </is>
      </c>
      <c r="L73" s="14" t="inlineStr">
        <is>
          <t>火把下的胜负</t>
        </is>
      </c>
      <c r="M73" s="14" t="inlineStr">
        <is>
          <t>点起火把彻夜鏖战，张飞与马超仍未分出胜负。</t>
        </is>
      </c>
      <c r="N73" s="14" t="inlineStr">
        <is>
          <t>张飞与马超在葭萌关交锋。天黑后点起火把彻夜酣战，依旧难分胜负，不久马超便归顺了刘备。</t>
        </is>
      </c>
      <c r="O73" s="14" t="inlineStr">
        <is>
          <t>Duelo à Luz das Tochas</t>
        </is>
      </c>
      <c r="P73" s="14" t="inlineStr">
        <is>
          <t>Lutaram a noite toda à luz de tochas, e Zhang Fei e Ma Chao não chegaram a um vencedor.</t>
        </is>
      </c>
      <c r="Q73" s="14" t="inlineStr">
        <is>
          <t>No Passo de Jiameng, Zhang Fei e Ma Chao se enfrentaram. Ao cair do sol, acenderam tochas e lutaram a noite inteira sem vencedor, e pouco depois Ma Chao se juntou a Liu Bei.</t>
        </is>
      </c>
      <c r="R73" s="14" t="inlineStr">
        <is>
          <t>Duelo à Luz das Tochas</t>
        </is>
      </c>
      <c r="S73" s="14" t="inlineStr">
        <is>
          <t>Lutaram toda a noite à luz das tochas, mas Zhang Fei e Ma Chao não chegaram a um vencedor.</t>
        </is>
      </c>
      <c r="T73" s="14" t="inlineStr">
        <is>
          <t>Zhang Fei e Ma Chao enfrentaram-se na Passagem de Jiameng. Ao cair do sol acenderam tochas e lutaram a noite inteira sem que houvesse vencedor, e pouco depois Ma Chao passou-se para Liu Bei.</t>
        </is>
      </c>
      <c r="U73" s="14" t="inlineStr">
        <is>
          <t>Il duello alla luce delle torce</t>
        </is>
      </c>
      <c r="V73" s="14" t="inlineStr">
        <is>
          <t>Combatterono tutta la notte alla luce delle torce, ma Zhang Fei e Ma Chao non trovarono un vincitore.</t>
        </is>
      </c>
      <c r="W73" s="14" t="inlineStr">
        <is>
          <t>Al passo di Jiameng si affrontarono Zhang Fei e Ma Chao. Calato il sole, accesero le torce e combatterono per tutta la notte senza vincitore; poco dopo Ma Chao passò dalla parte di Liu Bei.</t>
        </is>
      </c>
      <c r="X73" s="14" t="inlineStr">
        <is>
          <t>Duelo a la luz de las antorchas</t>
        </is>
      </c>
      <c r="Y73" s="14" t="inlineStr">
        <is>
          <t>Lucharon toda la noche a la luz de las antorchas, y Zhang Fei y Ma Chao no lograron decidir nada.</t>
        </is>
      </c>
      <c r="Z73" s="14" t="inlineStr">
        <is>
          <t>En el paso de Jiameng, Zhang Fei y Ma Chao se enfrentaron. Al caer el sol encendieron antorchas y lucharon toda la noche sin vencedor, y poco después Ma Chao se pasó al bando de Liu Bei.</t>
        </is>
      </c>
      <c r="AA73" s="14" t="inlineStr">
        <is>
          <t>Бамбарын доорх тулаан</t>
        </is>
      </c>
      <c r="AB73" s="14" t="inlineStr">
        <is>
          <t>Бамбар асааж шөнөжин тулалдсан ч Чжан Фэй, Ма Чао хоёр ялагчаа тодруулсангүй.</t>
        </is>
      </c>
      <c r="AC73" s="14" t="inlineStr">
        <is>
          <t>Цзямэн хаалганд Чжан Фэй, Ма Чао хоёр тулав. Нар жаргахад бамбар асааж шөнөжин тулалдсан ч ялагч тодроогүй бөгөөд Ма Чао удалгүй Лю Бэйд дагав.</t>
        </is>
      </c>
      <c r="AD73" s="14" t="inlineStr">
        <is>
          <t>葭萌关夜战</t>
        </is>
      </c>
    </row>
    <row r="74">
      <c r="A74" t="n">
        <v>73</v>
      </c>
      <c r="B74" t="inlineStr">
        <is>
          <t>익주의 유장</t>
        </is>
      </c>
      <c r="C74" s="14" t="inlineStr">
        <is>
          <t>A Lord Unfit for Chaos</t>
        </is>
      </c>
      <c r="D74" s="14" t="inlineStr">
        <is>
          <t>A kindly lord, but not one who could hold his land in an age of chaos.</t>
        </is>
      </c>
      <c r="E74" s="14" t="inlineStr">
        <is>
          <t>Liu Zhang, who inherited Yi Province from his father Liu Yan, was a kindly ruler, but he invited Liu Bei in to hold off Zhang Lu. Huang Quan and Wang Lei begged him to reconsider at the risk of their lives, but he would not listen, and in the end he lost Yi Province.</t>
        </is>
      </c>
      <c r="F74" s="14" t="inlineStr">
        <is>
          <t>乱世に似合わぬ主</t>
        </is>
      </c>
      <c r="G74" s="14" t="inlineStr">
        <is>
          <t>仁徳ある主ではあったが、乱世を守る器ではなかった。</t>
        </is>
      </c>
      <c r="H74" s="14" t="inlineStr">
        <is>
          <t>劉璋は父・劉焉から益州を受け継いだ仁徳ある主であったが、張魯を防ぐために劉備を招き入れた。黄権・王累が命をかけて諫めても聞かず、ついに益州を失った。</t>
        </is>
      </c>
      <c r="I74" s="14" t="inlineStr">
        <is>
          <t>不合亂世的主人</t>
        </is>
      </c>
      <c r="J74" s="14" t="inlineStr">
        <is>
          <t>雖是仁厚之主，卻不是能守住亂世的器量。</t>
        </is>
      </c>
      <c r="K74" s="14" t="inlineStr">
        <is>
          <t>劉璋從父親劉焉手中繼承益州，是個仁厚的主人，卻為了抵禦張魯而請劉備入蜀。黃權、王累以死相諫，他仍不聽，終於失去了益州。</t>
        </is>
      </c>
      <c r="L74" s="14" t="inlineStr">
        <is>
          <t>不合乱世的主公</t>
        </is>
      </c>
      <c r="M74" s="14" t="inlineStr">
        <is>
          <t>是位仁厚的主公，却不是守得住乱世的人。</t>
        </is>
      </c>
      <c r="N74" s="14" t="inlineStr">
        <is>
          <t>刘璋从父亲刘焉手中继承益州，为人仁厚，却为抵御张鲁而引刘备入蜀。黄权、王累以死相谏，他仍不听，最终失去了益州。</t>
        </is>
      </c>
      <c r="O74" s="14" t="inlineStr">
        <is>
          <t>Um Senhor Fora de seu Tempo</t>
        </is>
      </c>
      <c r="P74" s="14" t="inlineStr">
        <is>
          <t>Um senhor bondoso, mas sem estofo para defender uma era de caos.</t>
        </is>
      </c>
      <c r="Q74" s="14" t="inlineStr">
        <is>
          <t>Liu Zhang herdou Yi do pai, Liu Yan, e era um senhor bondoso, mas chamou Liu Bei para conter Zhang Lu. Huang Quan e Wang Lei arriscaram a vida para dissuadi-lo, ele não ouviu, e acabou perdendo Yi.</t>
        </is>
      </c>
      <c r="R74" s="14" t="inlineStr">
        <is>
          <t>Um Senhor Fora do Seu Tempo</t>
        </is>
      </c>
      <c r="S74" s="14" t="inlineStr">
        <is>
          <t>Era um senhor bondoso, mas não talhado para tempos de caos.</t>
        </is>
      </c>
      <c r="T74" s="14" t="inlineStr">
        <is>
          <t>Liu Zhang herdara Yizhou do pai, Liu Yan, e era um senhor bondoso, mas chamou Liu Bei para o defender de Zhang Lu. Huang Quan e Wang Lei arriscaram a vida para o dissuadir; não os ouviu, e acabou por perder Yizhou.</t>
        </is>
      </c>
      <c r="U74" s="14" t="inlineStr">
        <is>
          <t>Un signore fuori dal suo tempo</t>
        </is>
      </c>
      <c r="V74" s="14" t="inlineStr">
        <is>
          <t>Era un signore benevolo, ma non della tempra per difendersi in un'epoca di caos.</t>
        </is>
      </c>
      <c r="W74" s="14" t="inlineStr">
        <is>
          <t>Liu Zhang, che aveva ereditato Yizhou dal padre Liu Yan, era un signore benevolo, ma per fermare Zhang Lu chiamò Liu Bei. Huang Quan e Wang Lei lo scongiurarono a rischio della vita, ma non li ascoltò e finì per perdere Yizhou.</t>
        </is>
      </c>
      <c r="X74" s="14" t="inlineStr">
        <is>
          <t>Un señor fuera de su tiempo</t>
        </is>
      </c>
      <c r="Y74" s="14" t="inlineStr">
        <is>
          <t>Era un señor bondadoso, pero no tenía la talla para resistir una era de caos.</t>
        </is>
      </c>
      <c r="Z74" s="14" t="inlineStr">
        <is>
          <t>Liu Zhang, señor bondadoso que heredó Yi de su padre Liu Yan, llamó a Liu Bei para contener a Zhang Lu. Huang Quan y Wang Lei le suplicaron jugándose la vida que no lo hiciera, pero no los escuchó, y acabó perdiendo Yi.</t>
        </is>
      </c>
      <c r="AA74" s="14" t="inlineStr">
        <is>
          <t>Самуун үед тохироогүй эзэн</t>
        </is>
      </c>
      <c r="AB74" s="14" t="inlineStr">
        <is>
          <t>Энэрэнгүй эзэн байсан ч самуун цагийг сахих хэмжээний хүн биш байв.</t>
        </is>
      </c>
      <c r="AC74" s="14" t="inlineStr">
        <is>
          <t>Лю Чжан эцэг Лю Яниасаа Ичжоуг өвлөсөн энэрэнгүй эзэн байсан ч Чжан Луг хаахын тулд Лю Бэйг урив. Хуан Цюань, Ван Лэй нар амиа дэнчин тавин хориглосон ч сонссонгүй, эцэст нь Ичжоугаа алджээ.</t>
        </is>
      </c>
      <c r="AD74" s="14" t="inlineStr">
        <is>
          <t>益州刘璋</t>
        </is>
      </c>
    </row>
    <row r="75">
      <c r="A75" t="n">
        <v>74</v>
      </c>
      <c r="B75" t="inlineStr">
        <is>
          <t>단도부회</t>
        </is>
      </c>
      <c r="C75" s="14" t="inlineStr">
        <is>
          <t>One Blade Is Enough</t>
        </is>
      </c>
      <c r="D75" s="14" t="inlineStr">
        <is>
          <t>Guan Yu went to a feast in the enemy camp with only his blade.</t>
        </is>
      </c>
      <c r="E75" s="14" t="inlineStr">
        <is>
          <t>Invited by Lu Su to discuss returning Jing Province, Guan Yu went to the feast at Lukou with only his blade and Zhou Cang. He walked out to his boat holding Lu Su by the hand, and the soldiers in ambush could not lift a finger.</t>
        </is>
      </c>
      <c r="F75" s="14" t="inlineStr">
        <is>
          <t>刀一本あれば足りる</t>
        </is>
      </c>
      <c r="G75" s="14" t="inlineStr">
        <is>
          <t>刀一本だけを携え、敵陣の宴に臨んだ関羽。</t>
        </is>
      </c>
      <c r="H75" s="14" t="inlineStr">
        <is>
          <t>荊州を返せという魯粛の招きに、関羽は刀一本と周倉だけを連れて陸口の宴に赴いた。魯粛の手を取って船まで歩いて出たので、伏兵たちは手を出せなかった。</t>
        </is>
      </c>
      <c r="I75" s="14" t="inlineStr">
        <is>
          <t>一把刀就夠了</t>
        </is>
      </c>
      <c r="J75" s="14" t="inlineStr">
        <is>
          <t>關羽只帶一把刀，便赴敵營的宴會。</t>
        </is>
      </c>
      <c r="K75" s="14" t="inlineStr">
        <is>
          <t>魯肅邀宴討還荊州，關羽只帶一把刀和周倉赴陸口之會。他拉著魯肅的手一路走到船邊，埋伏的士兵始終無從下手。</t>
        </is>
      </c>
      <c r="L75" s="14" t="inlineStr">
        <is>
          <t>一把刀足矣</t>
        </is>
      </c>
      <c r="M75" s="14" t="inlineStr">
        <is>
          <t>只带一把刀，赴敌营宴会的关羽。</t>
        </is>
      </c>
      <c r="N75" s="14" t="inlineStr">
        <is>
          <t>鲁肃邀宴讨还荆州，关羽只带一把刀和周仓赴陆口之会。他挽着鲁肃的手一路走到船边，埋伏的兵士竟无法下手。</t>
        </is>
      </c>
      <c r="O75" s="14" t="inlineStr">
        <is>
          <t>Basta uma Espada</t>
        </is>
      </c>
      <c r="P75" s="14" t="inlineStr">
        <is>
          <t>Guan Yu foi ao banquete no campo inimigo levando só uma espada.</t>
        </is>
      </c>
      <c r="Q75" s="14" t="inlineStr">
        <is>
          <t>Convidado por Lu Su, que exigia a devolução de Jing, Guan Yu foi ao banquete de Lukou levando apenas sua espada e Zhou Cang. Segurando a mão de Lu Su, caminhou até o barco, e os soldados emboscados nada puderam fazer.</t>
        </is>
      </c>
      <c r="R75" s="14" t="inlineStr">
        <is>
          <t>Basta Uma Espada</t>
        </is>
      </c>
      <c r="S75" s="14" t="inlineStr">
        <is>
          <t>Guan Yu foi ao banquete inimigo apenas com a sua espada.</t>
        </is>
      </c>
      <c r="T75" s="14" t="inlineStr">
        <is>
          <t>Convidado por Lu Su, que lhe pedia a devolução de Jingzhou, Guan Yu foi ao banquete de Lukou levando só a espada e Zhou Cang. Saiu de mão dada com Lu Su até ao barco, e os soldados emboscados nada puderam fazer.</t>
        </is>
      </c>
      <c r="U75" s="14" t="inlineStr">
        <is>
          <t>Basta una spada</t>
        </is>
      </c>
      <c r="V75" s="14" t="inlineStr">
        <is>
          <t>Guan Yu si presentò al banchetto nemico con una sola spada.</t>
        </is>
      </c>
      <c r="W75" s="14" t="inlineStr">
        <is>
          <t>Invitato da Lu Su, che reclamava la restituzione di Jingzhou, Guan Yu andò al banchetto di Lukou con una sola spada e il solo Zhou Cang. Tenendo Lu Su per mano camminò fino alla barca, e i soldati in agguato non poterono muovere un dito.</t>
        </is>
      </c>
      <c r="X75" s="14" t="inlineStr">
        <is>
          <t>Basta una sola espada</t>
        </is>
      </c>
      <c r="Y75" s="14" t="inlineStr">
        <is>
          <t>Guan Yu acudió al banquete enemigo con una sola espada.</t>
        </is>
      </c>
      <c r="Z75" s="14" t="inlineStr">
        <is>
          <t>Invitado por Lu Su, que reclamaba la devolución de Jing, Guan Yu acudió al banquete de Lukou con una sola espada y solo Zhou Cang a su lado. Salió de la mano de Lu Su hasta su barco, y los soldados emboscados no pudieron hacer nada.</t>
        </is>
      </c>
      <c r="AA75" s="14" t="inlineStr">
        <is>
          <t>Ганц илд хангалттай</t>
        </is>
      </c>
      <c r="AB75" s="14" t="inlineStr">
        <is>
          <t>Ганцхан илд барьж дайсны найранд очсон Гуань Юй.</t>
        </is>
      </c>
      <c r="AC75" s="14" t="inlineStr">
        <is>
          <t>Цзинчжоуг буцааж өгөхийг хүссэн Лу Сугийн урилгаар Гуань Юй ганц илд, Чжоу Цанг л дагуулан Лукоугийн найранд очив. Лу Сугийн гарыг атгасаар завь хүртэл алхаж гарахад отолтонд байсан цэргүүд гар хүрч чадсангүй.</t>
        </is>
      </c>
      <c r="AD75" s="14" t="inlineStr">
        <is>
          <t>单刀赴会</t>
        </is>
      </c>
    </row>
    <row r="76">
      <c r="A76" t="n">
        <v>75</v>
      </c>
      <c r="B76" t="inlineStr">
        <is>
          <t>유수구</t>
        </is>
      </c>
      <c r="C76" s="14" t="inlineStr">
        <is>
          <t>A Son Like Sun Quan</t>
        </is>
      </c>
      <c r="D76" s="14" t="inlineStr">
        <is>
          <t>“If I am to have a son, let him be like Sun Zhongmou.”</t>
        </is>
      </c>
      <c r="E76" s="14" t="inlineStr">
        <is>
          <t>Facing Sun Quan at Ruxu, Cao Cao looked upon the orderly camps of Wu and sighed: “If I am to have a son, let him be like Sun Zhongmou. Liu Jingsheng's sons are mere dogs and swine.”</t>
        </is>
      </c>
      <c r="F76" s="14" t="inlineStr">
        <is>
          <t>子を生まば孫権の如く</t>
        </is>
      </c>
      <c r="G76" s="14" t="inlineStr">
        <is>
          <t>「子を生まば、まさに孫仲謀の如くなるべし」</t>
        </is>
      </c>
      <c r="H76" s="14" t="inlineStr">
        <is>
          <t>濡須口で孫権と対峙した曹操は、呉軍の整然とした陣を見て嘆息した。「子を生まば、まさに孫仲謀の如くなるべし。劉景升の子は豚犬のみ」</t>
        </is>
      </c>
      <c r="I76" s="14" t="inlineStr">
        <is>
          <t>生子當如孫仲謀</t>
        </is>
      </c>
      <c r="J76" s="14" t="inlineStr">
        <is>
          <t>「生子當如孫仲謀。」</t>
        </is>
      </c>
      <c r="K76" s="14" t="inlineStr">
        <is>
          <t>曹操在濡須口與孫權對峙，望見吳軍陣容嚴整，不禁感嘆：「生子當如孫仲謀，劉景升的兒子不過豬狗而已。」</t>
        </is>
      </c>
      <c r="L76" s="14" t="inlineStr">
        <is>
          <t>生子当如孙仲谋</t>
        </is>
      </c>
      <c r="M76" s="14" t="inlineStr">
        <is>
          <t>「生子当如孙仲谋。」</t>
        </is>
      </c>
      <c r="N76" s="14" t="inlineStr">
        <is>
          <t>在濡须口与孙权对峙的曹操，看到吴军阵容严整，叹道：「生子当如孙仲谋，刘景升儿子若豚犬耳。」</t>
        </is>
      </c>
      <c r="O76" s="14" t="inlineStr">
        <is>
          <t>Um Filho Como Sun Quan</t>
        </is>
      </c>
      <c r="P76" s="14" t="inlineStr">
        <is>
          <t>“Se é para ter um filho, que seja como Sun Zhongmou.”</t>
        </is>
      </c>
      <c r="Q76" s="14" t="inlineStr">
        <is>
          <t>Diante de Sun Quan em Ruxukou, Cao Cao viu a disciplina das fileiras de Wu e suspirou: “Se é para ter um filho, que seja como Sun Zhongmou. Os filhos de Liu Jingsheng não passam de cães e porcos.”</t>
        </is>
      </c>
      <c r="R76" s="14" t="inlineStr">
        <is>
          <t>Um Filho Como Sun Quan</t>
        </is>
      </c>
      <c r="S76" s="14" t="inlineStr">
        <is>
          <t>«Quem tiver um filho, que seja como Sun Zhongmou.»</t>
        </is>
      </c>
      <c r="T76" s="14" t="inlineStr">
        <is>
          <t>Frente a Sun Quan em Ruxukou, Cao Cao observou o acampamento impecável de Wu e suspirou: «Quem tiver um filho, que seja como Sun Zhongmou. Os filhos de Liu Jingsheng não passam de cães e porcos.»</t>
        </is>
      </c>
      <c r="U76" s="14" t="inlineStr">
        <is>
          <t>Un figlio come Sun Quan</t>
        </is>
      </c>
      <c r="V76" s="14" t="inlineStr">
        <is>
          <t>«Se si deve avere un figlio, che sia come Sun Zhongmou.»</t>
        </is>
      </c>
      <c r="W76" s="14" t="inlineStr">
        <is>
          <t>Fronteggiando Sun Quan a Ruxukou, Cao Cao osservò l'ordinato schieramento di Wu e sospirò: «Se si deve avere un figlio, che sia come Sun Zhongmou. I figli di Liu Jingsheng non sono che cani e porci».</t>
        </is>
      </c>
      <c r="X76" s="14" t="inlineStr">
        <is>
          <t>Un hijo como Sun Quan</t>
        </is>
      </c>
      <c r="Y76" s="14" t="inlineStr">
        <is>
          <t>«Si he de tener un hijo, que sea como Sun Zhongmou.»</t>
        </is>
      </c>
      <c r="Z76" s="14" t="inlineStr">
        <is>
          <t>Frente a Sun Quan en Ruxu, Cao Cao contempló el orden del campamento de Wu y suspiró: «Si he de tener un hijo, que sea como Sun Zhongmou. Los hijos de Liu Jingsheng no son más que perros y cerdos».</t>
        </is>
      </c>
      <c r="AA76" s="14" t="inlineStr">
        <is>
          <t>Хүү төрүүлбэл Сунь Цюань шиг</t>
        </is>
      </c>
      <c r="AB76" s="14" t="inlineStr">
        <is>
          <t>«Хүү төрүүлэх юм бол Сунь Чжунмоу шиг байх ёстой.»</t>
        </is>
      </c>
      <c r="AC76" s="14" t="inlineStr">
        <is>
          <t>Жусюйкоуд Сунь Цюаньтай тулсан Цао Цао У-гийн цэргийн эмх цэгцтэй хуаранг хараад санаа алдав. «Хүү төрүүлэх юм бол Сунь Чжунмоу шиг байх ёстой. Лю Цзиншэнгийн хүүхдүүд бол нохой гахай л юм.»</t>
        </is>
      </c>
      <c r="AD76" s="14" t="inlineStr">
        <is>
          <t>濡须口</t>
        </is>
      </c>
    </row>
    <row r="77">
      <c r="A77" t="n">
        <v>76</v>
      </c>
      <c r="B77" t="inlineStr">
        <is>
          <t>빈 찬합</t>
        </is>
      </c>
      <c r="C77" s="14" t="inlineStr">
        <is>
          <t>The Empty Food Box</t>
        </is>
      </c>
      <c r="D77" s="14" t="inlineStr">
        <is>
          <t>The food box Cao Cao sent was empty. That night, Xun Yu drank poison.</t>
        </is>
      </c>
      <c r="E77" s="14" t="inlineStr">
        <is>
          <t>When Cao Cao sought the title of Duke of Wei, Xun Yu opposed him. Soon after, Xun Yu opened a food box sent by Cao Cao and found it empty — and understanding its meaning, it is said, he drank poison.</t>
        </is>
      </c>
      <c r="F77" s="14" t="inlineStr">
        <is>
          <t>空の器</t>
        </is>
      </c>
      <c r="G77" s="14" t="inlineStr">
        <is>
          <t>曹操が贈った食器は空だった。荀彧はその夜、毒を仰いだ。</t>
        </is>
      </c>
      <c r="H77" s="14" t="inlineStr">
        <is>
          <t>曹操が魏公の位に就こうとすると、荀彧は反対した。しばらくして曹操から届いた食器を開けると中は空で、荀彧はその意を悟って毒を仰いだと伝わる。</t>
        </is>
      </c>
      <c r="I77" s="14" t="inlineStr">
        <is>
          <t>空空的食盒</t>
        </is>
      </c>
      <c r="J77" s="14" t="inlineStr">
        <is>
          <t>曹操送來的食盒是空的。荀彧當夜飲藥而亡。</t>
        </is>
      </c>
      <c r="K77" s="14" t="inlineStr">
        <is>
          <t>曹操想登上魏公之位，荀彧表示反對。不久曹操送來一個食盒，打開一看空無一物，據說荀彧明白其意，便服藥自盡。</t>
        </is>
      </c>
      <c r="L77" s="14" t="inlineStr">
        <is>
          <t>空食盒</t>
        </is>
      </c>
      <c r="M77" s="14" t="inlineStr">
        <is>
          <t>曹操送来的食盒是空的。荀彧当夜服了药。</t>
        </is>
      </c>
      <c r="N77" s="14" t="inlineStr">
        <is>
          <t>曹操欲进位魏公，荀彧表示反对。不久曹操送来一只食盒，打开却空无一物，相传荀彧明白其意，服药而死。</t>
        </is>
      </c>
      <c r="O77" s="14" t="inlineStr">
        <is>
          <t>A Caixa Vazia</t>
        </is>
      </c>
      <c r="P77" s="14" t="inlineStr">
        <is>
          <t>A caixa de comida enviada por Cao Cao estava vazia. Naquela noite, Xun Yu tomou veneno.</t>
        </is>
      </c>
      <c r="Q77" s="14" t="inlineStr">
        <is>
          <t>Quando Cao Cao quis tornar-se Duque de Wei, Xun Yu se opôs. Pouco depois, abriu uma caixa de comida enviada por Cao Cao e a encontrou vazia; dizem que entendeu o recado e tomou veneno.</t>
        </is>
      </c>
      <c r="R77" s="14" t="inlineStr">
        <is>
          <t>A Caixa Vazia</t>
        </is>
      </c>
      <c r="S77" s="14" t="inlineStr">
        <is>
          <t>A caixa de comida enviada por Cao Cao estava vazia. Nessa noite, Xun Yu bebeu veneno.</t>
        </is>
      </c>
      <c r="T77" s="14" t="inlineStr">
        <is>
          <t>Quando Cao Cao quis tornar-se Duque de Wei, Xun Yu opôs-se. Pouco depois, abriu uma caixa de comida enviada por Cao Cao e encontrou-a vazia; percebendo a mensagem, diz-se que bebeu veneno.</t>
        </is>
      </c>
      <c r="U77" s="14" t="inlineStr">
        <is>
          <t>La scatola vuota</t>
        </is>
      </c>
      <c r="V77" s="14" t="inlineStr">
        <is>
          <t>La scatola mandata da Cao Cao era vuota. Quella notte Xun Yu bevve il veleno.</t>
        </is>
      </c>
      <c r="W77" s="14" t="inlineStr">
        <is>
          <t>Quando Cao Cao volle assumere il titolo di Duca di Wei, Xun Yu si oppose. Poco dopo, aprendo una scatola di cibo mandata da Cao Cao, la trovò vuota; si narra che Xun Yu ne comprese il senso e bevve il veleno.</t>
        </is>
      </c>
      <c r="X77" s="14" t="inlineStr">
        <is>
          <t>La caja vacía</t>
        </is>
      </c>
      <c r="Y77" s="14" t="inlineStr">
        <is>
          <t>La caja de comida que envió Cao Cao estaba vacía. Esa noche, Xun Yu bebió el veneno.</t>
        </is>
      </c>
      <c r="Z77" s="14" t="inlineStr">
        <is>
          <t>Xun Yu se opuso a que Cao Cao tomara el título de duque de Wei. Poco después, al abrir una caja de comida que le envió Cao Cao, la encontró vacía; se cuenta que entendió el mensaje y bebió veneno.</t>
        </is>
      </c>
      <c r="AA77" s="14" t="inlineStr">
        <is>
          <t>Хоосон хоолны сав</t>
        </is>
      </c>
      <c r="AB77" s="14" t="inlineStr">
        <is>
          <t>Цао Цаогийн илгээсэн хоолны сав хоосон байв. Сюнь Юй тэр шөнө хор уув.</t>
        </is>
      </c>
      <c r="AC77" s="14" t="inlineStr">
        <is>
          <t>Цао Цао Вэй гүний суудалд суухыг завдахад Сюнь Юй эсэргүүцэв. Удалгүй Цао Цаогийн илгээсэн хоолны савыг нээвэл хов хоосон байсан бөгөөд Сюнь Юй утгыг нь ухаарч хор уусан гэдэг.</t>
        </is>
      </c>
      <c r="AD77" s="14" t="inlineStr">
        <is>
          <t>空食盒</t>
        </is>
      </c>
    </row>
    <row r="78">
      <c r="A78" t="n">
        <v>77</v>
      </c>
      <c r="B78" t="inlineStr">
        <is>
          <t>백기겁위영</t>
        </is>
      </c>
      <c r="C78" s="14" t="inlineStr">
        <is>
          <t>A Hundred Riders by Night</t>
        </is>
      </c>
      <c r="D78" s="14" t="inlineStr">
        <is>
          <t>With a hundred riders he tore through Cao Cao's camp and did not lose a man.</t>
        </is>
      </c>
      <c r="E78" s="14" t="inlineStr">
        <is>
          <t>At Ruxu, Gan Ning led a hundred horsemen in a night raid through Cao Cao's camp. When he returned without losing a single man, Sun Quan said, “Mengde has Zhang Liao, and I have Gan Ning.”</t>
        </is>
      </c>
      <c r="F78" s="14" t="inlineStr">
        <is>
          <t>百騎の夜襲</t>
        </is>
      </c>
      <c r="G78" s="14" t="inlineStr">
        <is>
          <t>百騎で曹操の陣営をかき乱し、一人も失わなかった。</t>
        </is>
      </c>
      <c r="H78" s="14" t="inlineStr">
        <is>
          <t>濡須口で、甘寧は百騎を率いて夜に曹操の陣営をかき乱した。一人も失わずに戻ると、孫権は「孟徳に張遼あらば、我に甘寧あり」と言った。</t>
        </is>
      </c>
      <c r="I78" s="14" t="inlineStr">
        <is>
          <t>百騎夜襲</t>
        </is>
      </c>
      <c r="J78" s="14" t="inlineStr">
        <is>
          <t>以百名騎兵攪亂曹營，竟未折損一人。</t>
        </is>
      </c>
      <c r="K78" s="14" t="inlineStr">
        <is>
          <t>在濡須口，甘寧率領百名騎兵夜襲曹操營寨。歸來時一人未損，孫權說：「孟德有張遼，孤有甘興霸。」</t>
        </is>
      </c>
      <c r="L78" s="14" t="inlineStr">
        <is>
          <t>百骑夜袭</t>
        </is>
      </c>
      <c r="M78" s="14" t="inlineStr">
        <is>
          <t>以百骑搅乱曹营，未折一人。</t>
        </is>
      </c>
      <c r="N78" s="14" t="inlineStr">
        <is>
          <t>濡须口之战，甘宁率百骑夜袭曹营。一人未损而还，孙权说：「孟德有张辽，孤有甘兴霸。」</t>
        </is>
      </c>
      <c r="O78" s="14" t="inlineStr">
        <is>
          <t>Ataque Noturno de Cem Cavaleiros</t>
        </is>
      </c>
      <c r="P78" s="14" t="inlineStr">
        <is>
          <t>Com cem cavaleiros, revirou o acampamento de Cao Cao sem perder um só homem.</t>
        </is>
      </c>
      <c r="Q78" s="14" t="inlineStr">
        <is>
          <t>Em Ruxukou, Gan Ning liderou cem cavaleiros num ataque noturno ao acampamento de Cao Cao. Voltaram sem perder ninguém, e Sun Quan disse: “Mengde tem Zhang Liao; eu tenho Gan Ning.”</t>
        </is>
      </c>
      <c r="R78" s="14" t="inlineStr">
        <is>
          <t>Cem Cavaleiros na Noite</t>
        </is>
      </c>
      <c r="S78" s="14" t="inlineStr">
        <is>
          <t>Com cem cavaleiros varreu o acampamento de Cao Cao sem perder um único homem.</t>
        </is>
      </c>
      <c r="T78" s="14" t="inlineStr">
        <is>
          <t>Em Ruxukou, Gan Ning levou cem cavaleiros a semear o caos no acampamento de Cao Cao durante a noite. Voltaram sem perder um homem, e Sun Quan disse: «Se Mengde tem Zhang Liao, eu tenho Gan Ning.»</t>
        </is>
      </c>
      <c r="U78" s="14" t="inlineStr">
        <is>
          <t>Cento cavalieri nella notte</t>
        </is>
      </c>
      <c r="V78" s="14" t="inlineStr">
        <is>
          <t>Con cento cavalieri sconvolse il campo di Cao Cao senza perdere un solo uomo.</t>
        </is>
      </c>
      <c r="W78" s="14" t="inlineStr">
        <is>
          <t>A Ruxukou Gan Ning guidò cento cavalieri in un assalto notturno al campo di Cao Cao. Tornato senza perdere un uomo, Sun Quan disse: «Se Mengde ha Zhang Liao, io ho Gan Ning».</t>
        </is>
      </c>
      <c r="X78" s="14" t="inlineStr">
        <is>
          <t>El asalto nocturno de cien jinetes</t>
        </is>
      </c>
      <c r="Y78" s="14" t="inlineStr">
        <is>
          <t>Con cien jinetes sembró el caos en el campamento de Cao Cao sin perder a uno solo.</t>
        </is>
      </c>
      <c r="Z78" s="14" t="inlineStr">
        <is>
          <t>En Ruxu, Gan Ning llevó cien jinetes a sembrar el caos de noche en el campamento de Cao Cao. Volvieron sin perder un hombre, y Sun Quan dijo: «Si Mengde tiene a Zhang Liao, yo tengo a Gan Ning».</t>
        </is>
      </c>
      <c r="AA78" s="14" t="inlineStr">
        <is>
          <t>Зуун морьтны шөнийн дайралт</t>
        </is>
      </c>
      <c r="AB78" s="14" t="inlineStr">
        <is>
          <t>Зуун морьтноор Цао Цаогийн хуаранг самарч, нэг ч хүн алдсангүй.</t>
        </is>
      </c>
      <c r="AC78" s="14" t="inlineStr">
        <is>
          <t>Жусюйкоуд Гань Нин зуун морьтон дагуулан шөнө Цао Цаогийн хуаранг самарчээ. Нэг ч хүн алдалгүй буцаж ирэхэд Сунь Цюань «Мэндэд Чжан Ляо байдаг бол надад Гань Нин бий» гэжээ.</t>
        </is>
      </c>
      <c r="AD78" s="14" t="inlineStr">
        <is>
          <t>百骑劫魏营</t>
        </is>
      </c>
    </row>
    <row r="79">
      <c r="A79" t="n">
        <v>78</v>
      </c>
      <c r="B79" t="inlineStr">
        <is>
          <t>합비 소요진</t>
        </is>
      </c>
      <c r="C79" s="14" t="inlineStr">
        <is>
          <t>The Name That Stops Tears</t>
        </is>
      </c>
      <c r="D79" s="14" t="inlineStr">
        <is>
          <t>With eight hundred riders he broke a hundred thousand. The children of Jiangdong stopped crying at his name.</t>
        </is>
      </c>
      <c r="E79" s="14" t="inlineStr">
        <is>
          <t>When Sun Quan attacked Hefei with a hundred thousand men, Zhang Liao picked eight hundred and charged at dawn. At Xiaoyao Ford, Sun Quan barely escaped by leaping his horse over a broken bridge, and the children of Jiangdong stopped crying at the mere sound of Zhang Liao's name.</t>
        </is>
      </c>
      <c r="F79" s="14" t="inlineStr">
        <is>
          <t>泣く子も黙る名</t>
        </is>
      </c>
      <c r="G79" s="14" t="inlineStr">
        <is>
          <t>八百騎で十万を破った。江東の子どもたちはその名に泣き止んだ。</t>
        </is>
      </c>
      <c r="H79" s="14" t="inlineStr">
        <is>
          <t>孫権が十万で合肥を攻めると、張遼は八百人を選んで夜明けに突撃した。逍遥津で孫権は橋を落とされ、馬を跳ばせてかろうじて逃れ、江東の子どもたちは張遼の名を聞いただけで泣き止んだ。</t>
        </is>
      </c>
      <c r="I79" s="14" t="inlineStr">
        <is>
          <t>止住哭聲的名字</t>
        </is>
      </c>
      <c r="J79" s="14" t="inlineStr">
        <is>
          <t>以八百騎擊破十萬大軍，江東小兒聽到這名字便不敢再哭。</t>
        </is>
      </c>
      <c r="K79" s="14" t="inlineStr">
        <is>
          <t>孫權以十萬大軍攻打合肥，張遼挑選八百人於拂曉突擊。在逍遙津，孫權因橋被拆斷，只得躍馬才勉強逃脫，從此江東小兒一聽張遼之名便止住哭聲。</t>
        </is>
      </c>
      <c r="L79" s="14" t="inlineStr">
        <is>
          <t>止住啼哭的名字</t>
        </is>
      </c>
      <c r="M79" s="14" t="inlineStr">
        <is>
          <t>以八百骑破十万。江东小儿闻其名便不敢啼哭。</t>
        </is>
      </c>
      <c r="N79" s="14" t="inlineStr">
        <is>
          <t>孙权率十万攻合肥，张辽挑选八百人于拂晓突击。逍遥津桥断，孙权跃马才勉强逃脱，江东小儿一听张辽之名便止住了啼哭。</t>
        </is>
      </c>
      <c r="O79" s="14" t="inlineStr">
        <is>
          <t>O Nome que Calava o Choro</t>
        </is>
      </c>
      <c r="P79" s="14" t="inlineStr">
        <is>
          <t>Com oitocentos cavaleiros venceu cem mil. As crianças de Jiangdong paravam de chorar ao ouvir seu nome.</t>
        </is>
      </c>
      <c r="Q79" s="14" t="inlineStr">
        <is>
          <t>Quando Sun Quan atacou Hefei com cem mil, Zhang Liao escolheu oitocentos homens e investiu ao amanhecer. Em Xiaoyao, com a ponte destruída, Sun Quan só escapou fazendo o cavalo saltar, e as crianças de Jiangdong paravam de chorar só de ouvir o nome de Zhang Liao.</t>
        </is>
      </c>
      <c r="R79" s="14" t="inlineStr">
        <is>
          <t>O Nome que Calava o Choro</t>
        </is>
      </c>
      <c r="S79" s="14" t="inlineStr">
        <is>
          <t>Com oitocentos cavaleiros venceu cem mil. As crianças de Jiangdong paravam de chorar ao ouvir o seu nome.</t>
        </is>
      </c>
      <c r="T79" s="14" t="inlineStr">
        <is>
          <t>Quando Sun Quan atacou Hefei com cem mil homens, Zhang Liao escolheu oitocentos e carregou ao amanhecer. Em Xiaoyao Jin, com a ponte cortada, Sun Quan escapou por pouco fazendo saltar o cavalo, e as crianças de Jiangdong paravam de chorar só de ouvir o nome de Zhang Liao.</t>
        </is>
      </c>
      <c r="U79" s="14" t="inlineStr">
        <is>
          <t>Il nome che zittiva i bambini</t>
        </is>
      </c>
      <c r="V79" s="14" t="inlineStr">
        <is>
          <t>Con ottocento cavalieri sconfisse centomila uomini. A quel nome i bambini di Jiangdong smettevano di piangere.</t>
        </is>
      </c>
      <c r="W79" s="14" t="inlineStr">
        <is>
          <t>Quando Sun Quan attaccò Hefei con centomila uomini, Zhang Liao scelse ottocento soldati e caricò all'alba. A Xiaoyaojin, col ponte crollato, Sun Quan si salvò a stento facendo saltare il cavallo, e i bambini di Jiangdong smettevano di piangere al solo udire il nome di Zhang Liao.</t>
        </is>
      </c>
      <c r="X79" s="14" t="inlineStr">
        <is>
          <t>El nombre que callaba el llanto</t>
        </is>
      </c>
      <c r="Y79" s="14" t="inlineStr">
        <is>
          <t>Con ochocientos jinetes venció a cien mil. Los niños de Jiangdong dejaban de llorar al oír su nombre.</t>
        </is>
      </c>
      <c r="Z79" s="14" t="inlineStr">
        <is>
          <t>Cuando Sun Quan atacó Hefei con cien mil hombres, Zhang Liao escogió a ochocientos y cargó al amanecer. En Xiaoyao Jin, con el puente cortado, Sun Quan escapó de milagro haciendo saltar a su caballo, y en Jiangdong los niños dejaban de llorar con solo oír el nombre de Zhang Liao.</t>
        </is>
      </c>
      <c r="AA79" s="14" t="inlineStr">
        <is>
          <t>Уйлахыг зогсоосон нэр</t>
        </is>
      </c>
      <c r="AB79" s="14" t="inlineStr">
        <is>
          <t>Найман зуун морьтноор зуун мянгыг бут цохив. Цзяндуны хүүхдүүд тэр нэрийг сонсоод уйлахаа больдог байв.</t>
        </is>
      </c>
      <c r="AC79" s="14" t="inlineStr">
        <is>
          <t>Сунь Цюань зуун мянган цэргээр Хэфэйг довтлоход Чжан Ляо найман зуун хүн шилж үүрээр дайрав. Сяояоцзиньд гүүр тасарсан тул Сунь Цюань морио харайлгаж арай гэж зугтсан бөгөөд Цзяндуны хүүхдүүд Чжан Ляогийн нэрийг сонсоод л уйлахаа больдог болжээ.</t>
        </is>
      </c>
      <c r="AD79" s="14" t="inlineStr">
        <is>
          <t>逍遥津</t>
        </is>
      </c>
    </row>
    <row r="80">
      <c r="A80" t="n">
        <v>79</v>
      </c>
      <c r="B80" t="inlineStr">
        <is>
          <t>괄목상대</t>
        </is>
      </c>
      <c r="C80" s="14" t="inlineStr">
        <is>
          <t>Seeing with New Eyes</t>
        </is>
      </c>
      <c r="D80" s="14" t="inlineStr">
        <is>
          <t>“When a scholar has been away three days, you must rub your eyes and look at him anew.”</t>
        </is>
      </c>
      <c r="E80" s="14" t="inlineStr">
        <is>
          <t>Lü Meng, who knew only the arts of war, began to read at Sun Quan's urging. Later, when Lu Su spoke with him and was astonished, Lü Meng replied, “When a scholar has been away three days, you must rub your eyes and look at him anew.”</t>
        </is>
      </c>
      <c r="F80" s="14" t="inlineStr">
        <is>
          <t>刮目して相待すべし</t>
        </is>
      </c>
      <c r="G80" s="14" t="inlineStr">
        <is>
          <t>「士別れて三日、即ち更に刮目して相待すべし」</t>
        </is>
      </c>
      <c r="H80" s="14" t="inlineStr">
        <is>
          <t>武芸しか知らなかった呂蒙は、孫権の勧めで書を読み始めた。のちに魯粛が彼と語って驚くと、呂蒙は「士別れて三日、即ち更に刮目して相待すべし」と答えた。</t>
        </is>
      </c>
      <c r="I80" s="14" t="inlineStr">
        <is>
          <t>刮目相看</t>
        </is>
      </c>
      <c r="J80" s="14" t="inlineStr">
        <is>
          <t>「士別三日，即更刮目相待。」</t>
        </is>
      </c>
      <c r="K80" s="14" t="inlineStr">
        <is>
          <t>只懂武藝的呂蒙在孫權勸說下開始讀書。後來魯肅與他交談後大為驚訝，呂蒙答道：「士別三日，即更刮目相待。」</t>
        </is>
      </c>
      <c r="L80" s="14" t="inlineStr">
        <is>
          <t>刮目相待</t>
        </is>
      </c>
      <c r="M80" s="14" t="inlineStr">
        <is>
          <t>「士别三日，即更刮目相待。」</t>
        </is>
      </c>
      <c r="N80" s="14" t="inlineStr">
        <is>
          <t>只懂武艺的吕蒙经孙权劝说开始读书。后来鲁肃与他交谈后大为惊讶，吕蒙答道：「士别三日，即更刮目相待。」</t>
        </is>
      </c>
      <c r="O80" s="14" t="inlineStr">
        <is>
          <t>Olhos Esfregados de Espanto</t>
        </is>
      </c>
      <c r="P80" s="14" t="inlineStr">
        <is>
          <t>“Após três dias longe, um letrado deve ser visto com outros olhos.”</t>
        </is>
      </c>
      <c r="Q80" s="14" t="inlineStr">
        <is>
          <t>Lü Meng, que só conhecia as armas, começou a ler a conselho de Sun Quan. Mais tarde, quando Lu Su se espantou ao conversar com ele, Lü Meng respondeu: “Após três dias longe, um letrado deve ser visto com outros olhos.”</t>
        </is>
      </c>
      <c r="R80" s="14" t="inlineStr">
        <is>
          <t>Esfregar os Olhos e Voltar a Ver</t>
        </is>
      </c>
      <c r="S80" s="14" t="inlineStr">
        <is>
          <t>«Um letrado afastado três dias deve ser visto com outros olhos.»</t>
        </is>
      </c>
      <c r="T80" s="14" t="inlineStr">
        <is>
          <t>Lü Meng, que só conhecia as armas, começou a ler por insistência de Sun Quan. Mais tarde, quando Lu Su se espantou a conversar com ele, Lü Meng respondeu: «Um letrado afastado três dias deve ser visto com outros olhos.»</t>
        </is>
      </c>
      <c r="U80" s="14" t="inlineStr">
        <is>
          <t>Strofinarsi gli occhi</t>
        </is>
      </c>
      <c r="V80" s="14" t="inlineStr">
        <is>
          <t>«Un uomo di lettere, dopo tre giorni di lontananza, va guardato strofinandosi gli occhi.»</t>
        </is>
      </c>
      <c r="W80" s="14" t="inlineStr">
        <is>
          <t>Lü Meng, che conosceva solo le armi, cominciò a leggere su consiglio di Sun Quan. Quando in seguito Lu Su, parlandogli, rimase stupito, Lü Meng rispose: «Un uomo di lettere, dopo tre giorni di lontananza, va guardato strofinandosi gli occhi».</t>
        </is>
      </c>
      <c r="X80" s="14" t="inlineStr">
        <is>
          <t>Mirar con otros ojos</t>
        </is>
      </c>
      <c r="Y80" s="14" t="inlineStr">
        <is>
          <t>«A un letrado que no ves en tres días hay que frotarse los ojos para mirarlo de nuevo.»</t>
        </is>
      </c>
      <c r="Z80" s="14" t="inlineStr">
        <is>
          <t>Lü Meng, que solo sabía de armas, empezó a leer por consejo de Sun Quan. Años después, cuando Lu Su habló con él y quedó asombrado, Lü Meng respondió: «A un letrado que no ves en tres días hay que frotarse los ojos para mirarlo de nuevo».</t>
        </is>
      </c>
      <c r="AA80" s="14" t="inlineStr">
        <is>
          <t>Нүдээ нухаж дахин харах</t>
        </is>
      </c>
      <c r="AB80" s="14" t="inlineStr">
        <is>
          <t>«Эрдэмтэнтэй гурван өдөр салсан бол нүдээ нухаж дахин харах хэрэгтэй.»</t>
        </is>
      </c>
      <c r="AC80" s="14" t="inlineStr">
        <is>
          <t>Зөвхөн байлдааны эрдэм мэддэг байсан Люй Мэн Сунь Цюаний ятгалгаар ном унших болов. Хожим Лу Су түүнтэй ярилцаад гайхахад Люй Мэн «Эрдэмтэнтэй гурван өдөр салсан бол нүдээ нухаж дахин харах хэрэгтэй» хэмээн хариулжээ.</t>
        </is>
      </c>
      <c r="AD80" s="14" t="inlineStr">
        <is>
          <t>刮目相待</t>
        </is>
      </c>
    </row>
    <row r="81">
      <c r="A81" t="n">
        <v>80</v>
      </c>
      <c r="B81" t="inlineStr">
        <is>
          <t>정군산</t>
        </is>
      </c>
      <c r="C81" s="14" t="inlineStr">
        <is>
          <t>Never Underestimate an Old Man</t>
        </is>
      </c>
      <c r="D81" s="14" t="inlineStr">
        <is>
          <t>When Fa Zheng waved the flag, Huang Zhong came down the mountain and cut down Xiahou Yuan.</t>
        </is>
      </c>
      <c r="E81" s="14" t="inlineStr">
        <is>
          <t>At Mount Dingjun, in the struggle for Hanzhong, Fa Zheng waved a flag from the summit and the veteran Huang Zhong came charging down to the beat of drums, slaying Xiahou Yuan. With this battle Liu Bei won Hanzhong.</t>
        </is>
      </c>
      <c r="F81" s="14" t="inlineStr">
        <is>
          <t>老将を侮るなかれ</t>
        </is>
      </c>
      <c r="G81" s="14" t="inlineStr">
        <is>
          <t>法正が旗を振ると、黄忠が山を駆け下りて夏侯淵を斬った。</t>
        </is>
      </c>
      <c r="H81" s="14" t="inlineStr">
        <is>
          <t>漢中を争う定軍山で、法正が山上から旗を振ると、老将・黄忠が太鼓を鳴らして駆け下り、夏侯淵を斬った。この戦いで劉備は漢中を得た。</t>
        </is>
      </c>
      <c r="I81" s="14" t="inlineStr">
        <is>
          <t>千萬別小看老人</t>
        </is>
      </c>
      <c r="J81" s="14" t="inlineStr">
        <is>
          <t>法正一揮旗，黃忠便衝下山，斬了夏侯淵。</t>
        </is>
      </c>
      <c r="K81" s="14" t="inlineStr">
        <is>
          <t>在爭奪漢中的定軍山，法正在山頂揮動旗幟，老將黃忠擂鼓衝下，斬殺夏侯淵。劉備憑此戰取得了漢中。</t>
        </is>
      </c>
      <c r="L81" s="14" t="inlineStr">
        <is>
          <t>莫小看老将</t>
        </is>
      </c>
      <c r="M81" s="14" t="inlineStr">
        <is>
          <t>法正挥动旗帜，黄忠下山斩了夏侯渊。</t>
        </is>
      </c>
      <c r="N81" s="14" t="inlineStr">
        <is>
          <t>在争夺汉中的定军山，法正于山上挥旗，老将黄忠擂鼓下山，斩杀夏侯渊。此战之后，刘备得了汉中。</t>
        </is>
      </c>
      <c r="O81" s="14" t="inlineStr">
        <is>
          <t>Nunca Subestime um Velho</t>
        </is>
      </c>
      <c r="P81" s="14" t="inlineStr">
        <is>
          <t>Fa Zheng agitou a bandeira, e Huang Zhong desceu a montanha e matou Xiahou Yuan.</t>
        </is>
      </c>
      <c r="Q81" s="14" t="inlineStr">
        <is>
          <t>No monte Dingjun, na disputa por Hanzhong, Fa Zheng agitou a bandeira do alto e o veterano Huang Zhong desceu ao som dos tambores e matou Xiahou Yuan. Com essa vitória, Liu Bei conquistou Hanzhong.</t>
        </is>
      </c>
      <c r="R81" s="14" t="inlineStr">
        <is>
          <t>Nunca Subestimes um Velho</t>
        </is>
      </c>
      <c r="S81" s="14" t="inlineStr">
        <is>
          <t>Fa Zheng agitou a bandeira, e Huang Zhong desceu a montanha e abateu Xiahou Yuan.</t>
        </is>
      </c>
      <c r="T81" s="14" t="inlineStr">
        <is>
          <t>No monte Dingjun, disputado por causa de Hanzhong, Fa Zheng agitou uma bandeira lá no alto, e o velho Huang Zhong desceu a rufar os tambores e abateu Xiahou Yuan. Com esta batalha, Liu Bei ganhou Hanzhong.</t>
        </is>
      </c>
      <c r="U81" s="14" t="inlineStr">
        <is>
          <t>Mai sottovalutare un vecchio</t>
        </is>
      </c>
      <c r="V81" s="14" t="inlineStr">
        <is>
          <t>Quando Fa Zheng agitò la bandiera, Huang Zhong scese dal monte e abbatté Xiahou Yuan.</t>
        </is>
      </c>
      <c r="W81" s="14" t="inlineStr">
        <is>
          <t>Al monte Dingjun, conteso per Hanzhong, Fa Zheng agitò una bandiera dalla cima, e il vecchio Huang Zhong scese al rullo dei tamburi e abbatté Xiahou Yuan. Con quella battaglia Liu Bei conquistò Hanzhong.</t>
        </is>
      </c>
      <c r="X81" s="14" t="inlineStr">
        <is>
          <t>Nunca subestimes a un anciano</t>
        </is>
      </c>
      <c r="Y81" s="14" t="inlineStr">
        <is>
          <t>Cuando Fa Zheng agitó la bandera, Huang Zhong bajó del monte y abatió a Xiahou Yuan.</t>
        </is>
      </c>
      <c r="Z81" s="14" t="inlineStr">
        <is>
          <t>En el monte Dingjun, en la lucha por Hanzhong, Fa Zheng agitó la bandera desde la cima y el veterano Huang Zhong bajó entre tambores para abatir a Xiahou Yuan. Con esa batalla, Liu Bei se hizo con Hanzhong.</t>
        </is>
      </c>
      <c r="AA81" s="14" t="inlineStr">
        <is>
          <t>Хөгшчүүдийг бүү басамжил</t>
        </is>
      </c>
      <c r="AB81" s="14" t="inlineStr">
        <is>
          <t>Фа Чжэн туг даллахад Хуан Чжун уулнаас бууж Сяхоу Юанийг цавчив.</t>
        </is>
      </c>
      <c r="AC81" s="14" t="inlineStr">
        <is>
          <t>Ханьчжуны төлөө тэмцсэн Динцзюнь ууланд Фа Чжэн уулан дээрээс туг даллахад хөгшин жанжин Хуан Чжун бөмбөр дэлдүүлэн бууж Сяхоу Юанийг цавчив. Энэ тулаанаар Лю Бэй Ханьчжуныг олжээ.</t>
        </is>
      </c>
      <c r="AD81" s="14" t="inlineStr">
        <is>
          <t>定军山</t>
        </is>
      </c>
    </row>
    <row r="82">
      <c r="A82" t="n">
        <v>81</v>
      </c>
      <c r="B82" t="inlineStr">
        <is>
          <t>계륵</t>
        </is>
      </c>
      <c r="C82" s="14" t="inlineStr">
        <is>
          <t>Chicken Ribs</t>
        </is>
      </c>
      <c r="D82" s="14" t="inlineStr">
        <is>
          <t>“Chicken ribs.” — Yang Xiu, who packed up on hearing that password, understood Cao Cao far too well.</t>
        </is>
      </c>
      <c r="E82" s="14" t="inlineStr">
        <is>
          <t>Stuck in Hanzhong, unable to advance or retreat, Cao Cao set that night's password as “chicken ribs.” When Yang Xiu began packing, saying it meant “nothing to eat, yet a pity to throw away,” Cao Cao had him executed for unsettling the army.</t>
        </is>
      </c>
      <c r="F82" s="14" t="inlineStr">
        <is>
          <t>鶏肋</t>
        </is>
      </c>
      <c r="G82" s="14" t="inlineStr">
        <is>
          <t>「鶏肋だ」――その合言葉を聞いて荷をまとめた楊修は、曹操の胸の内を知りすぎていた。</t>
        </is>
      </c>
      <c r="H82" s="14" t="inlineStr">
        <is>
          <t>漢中で進むことも退くこともできずにいた曹操は、その夜の合言葉を「鶏肋」とした。楊修が「食べる肉はないが捨てるには惜しいという意味だ」と荷をまとめると、曹操は軍心を乱したとして彼を斬った。</t>
        </is>
      </c>
      <c r="I82" s="14" t="inlineStr">
        <is>
          <t>雞肋</t>
        </is>
      </c>
      <c r="J82" s="14" t="inlineStr">
        <is>
          <t>「雞肋。」——聽到口令便收拾行裝的楊修，太懂曹操的心思了。</t>
        </is>
      </c>
      <c r="K82" s="14" t="inlineStr">
        <is>
          <t>在漢中進退兩難的曹操，當晚將口令定為「雞肋」。楊修說這是「食之無味，棄之可惜」之意，便收拾行裝，曹操以擾亂軍心為由將他斬首。</t>
        </is>
      </c>
      <c r="L82" s="14" t="inlineStr">
        <is>
          <t>鸡肋</t>
        </is>
      </c>
      <c r="M82" s="14" t="inlineStr">
        <is>
          <t>「鸡肋。」——听到口令就收拾行装的杨修，太懂曹操的心思了。</t>
        </is>
      </c>
      <c r="N82" s="14" t="inlineStr">
        <is>
          <t>在汉中进退两难的曹操，当晚以「鸡肋」为口令。杨修说「食之无肉，弃之可惜」，便收拾行装，曹操以扰乱军心为由将他斩首。</t>
        </is>
      </c>
      <c r="O82" s="14" t="inlineStr">
        <is>
          <t>Costela de Galinha</t>
        </is>
      </c>
      <c r="P82" s="14" t="inlineStr">
        <is>
          <t>“Costela de galinha.” — Yang Xiu, que fez as malas ao ouvir a senha, conhecia Cao Cao bem demais.</t>
        </is>
      </c>
      <c r="Q82" s="14" t="inlineStr">
        <is>
          <t>Em Hanzhong, sem poder avançar nem recuar, Cao Cao deu como senha naquela noite “costela de galinha”. Yang Xiu fez as malas dizendo que significava “nada para comer, mas dá pena jogar fora”, e Cao Cao o executou por perturbar o exército.</t>
        </is>
      </c>
      <c r="R82" s="14" t="inlineStr">
        <is>
          <t>Costelas de Galinha</t>
        </is>
      </c>
      <c r="S82" s="14" t="inlineStr">
        <is>
          <t>«Costelas de galinha.» — ao ouvir a senha, Yang Xiu fez as malas; conhecia bem demais o íntimo de Cao Cao.</t>
        </is>
      </c>
      <c r="T82" s="14" t="inlineStr">
        <is>
          <t>Sem poder avançar nem recuar em Hanzhong, Cao Cao deu nessa noite a senha «costelas de galinha». Yang Xiu fez as malas, explicando que «não há nada para comer, mas custa deitar fora», e Cao Cao mandou executá-lo por semear a desordem no exército.</t>
        </is>
      </c>
      <c r="U82" s="14" t="inlineStr">
        <is>
          <t>Costola di pollo</t>
        </is>
      </c>
      <c r="V82" s="14" t="inlineStr">
        <is>
          <t>«Costola di pollo.» Yang Xiu, che a quella parola d'ordine fece i bagagli, conosceva fin troppo bene Cao Cao.</t>
        </is>
      </c>
      <c r="W82" s="14" t="inlineStr">
        <is>
          <t>Bloccato a Hanzhong, incapace di avanzare o ritirarsi, quella notte Cao Cao diede come parola d'ordine «costola di pollo». Quando Yang Xiu fece i bagagli spiegando «poca carne da mangiare, ma un peccato buttarla», Cao Cao lo fece giustiziare per aver turbato le truppe.</t>
        </is>
      </c>
      <c r="X82" s="14" t="inlineStr">
        <is>
          <t>Costilla de pollo</t>
        </is>
      </c>
      <c r="Y82" s="14" t="inlineStr">
        <is>
          <t>«Costilla de pollo.» Yang Xiu, que hizo el equipaje al oír la contraseña, conocía demasiado bien a Cao Cao.</t>
        </is>
      </c>
      <c r="Z82" s="14" t="inlineStr">
        <is>
          <t>Atascado en Hanzhong, sin poder avanzar ni retroceder, Cao Cao dio esa noche la contraseña «costilla de pollo». Yang Xiu hizo el equipaje explicando que «no tiene carne, pero da pena tirarla», y Cao Cao lo hizo ejecutar por sembrar la confusión en el ejército.</t>
        </is>
      </c>
      <c r="AA82" s="14" t="inlineStr">
        <is>
          <t>Тахианы хавирга</t>
        </is>
      </c>
      <c r="AB82" s="14" t="inlineStr">
        <is>
          <t>«Тахианы хавирга.» — Тэр нууц үгийг сонсоод ачаагаа баглаасан Ян Сю Цао Цаогийн санааг хэтэрхий сайн мэдэж байв.</t>
        </is>
      </c>
      <c r="AC82" s="14" t="inlineStr">
        <is>
          <t>Ханьчжунд урагшлах ч, ухрах ч аргагүй болсон Цао Цао тэр шөнийн нууц үгийг «Тахианы хавирга» гэж тогтоов. Ян Сю «Идэх юм алга ч хаяхад харамсалтай гэсэн утга» хэмээн ачаагаа баглахад Цао Цао цэргийн сэтгэлийг самууруулав хэмээн түүнийг цаазлав.</t>
        </is>
      </c>
      <c r="AD82" s="14" t="inlineStr">
        <is>
          <t>鸡肋</t>
        </is>
      </c>
    </row>
    <row r="83">
      <c r="A83" t="n">
        <v>82</v>
      </c>
      <c r="B83" t="inlineStr">
        <is>
          <t>수엄칠군</t>
        </is>
      </c>
      <c r="C83" s="14" t="inlineStr">
        <is>
          <t>Flooding the Seven Armies</t>
        </is>
      </c>
      <c r="D83" s="14" t="inlineStr">
        <is>
          <t>The swollen Han River swallowed Yu Jin's seven armies.</t>
        </is>
      </c>
      <c r="E83" s="14" t="inlineStr">
        <is>
          <t>When Guan Yu besieged Fancheng, Cao Cao sent Yu Jin with seven armies to relieve it. Heavy rains flooded the Han River, and Guan Yu attacked by boat and captured Yu Jin. Guan Yu's might shook the realm.</t>
        </is>
      </c>
      <c r="F83" s="14" t="inlineStr">
        <is>
          <t>七軍を呑んだ水</t>
        </is>
      </c>
      <c r="G83" s="14" t="inlineStr">
        <is>
          <t>あふれた漢水が于禁の七軍を呑み込んだ。</t>
        </is>
      </c>
      <c r="H83" s="14" t="inlineStr">
        <is>
          <t>関羽が樊城を包囲すると、曹操は于禁に七軍を与えて救援させた。折しも大雨で漢水があふれると、関羽は船で攻め込み于禁を捕らえた。関羽の威名は天下を震わせた。</t>
        </is>
      </c>
      <c r="I83" s="14" t="inlineStr">
        <is>
          <t>吞沒七軍的大水</t>
        </is>
      </c>
      <c r="J83" s="14" t="inlineStr">
        <is>
          <t>暴漲的漢水吞沒了于禁的七軍。</t>
        </is>
      </c>
      <c r="K83" s="14" t="inlineStr">
        <is>
          <t>關羽圍攻樊城，曹操派于禁統率七軍前往救援。適逢大雨，漢水氾濫，關羽乘船殺入，生擒于禁，威震天下。</t>
        </is>
      </c>
      <c r="L83" s="14" t="inlineStr">
        <is>
          <t>吞没七军的大水</t>
        </is>
      </c>
      <c r="M83" s="14" t="inlineStr">
        <is>
          <t>暴涨的汉水吞没了于禁的七军。</t>
        </is>
      </c>
      <c r="N83" s="14" t="inlineStr">
        <is>
          <t>关羽围攻樊城，曹操派于禁率七军救援。恰逢大雨汉水泛滥，关羽乘船杀来，生擒于禁。关羽威震天下。</t>
        </is>
      </c>
      <c r="O83" s="14" t="inlineStr">
        <is>
          <t>Águas que Tragaram Sete Exércitos</t>
        </is>
      </c>
      <c r="P83" s="14" t="inlineStr">
        <is>
          <t>O rio Han transbordado tragou os sete exércitos de Yu Jin.</t>
        </is>
      </c>
      <c r="Q83" s="14" t="inlineStr">
        <is>
          <t>Quando Guan Yu cercou Fancheng, Cao Cao mandou Yu Jin socorrê-la com sete exércitos. Grandes chuvas fizeram o Han transbordar, e Guan Yu atacou de barco e capturou Yu Jin — sua majestade fez o império tremer.</t>
        </is>
      </c>
      <c r="R83" s="14" t="inlineStr">
        <is>
          <t>A Cheia que Engoliu Sete Exércitos</t>
        </is>
      </c>
      <c r="S83" s="14" t="inlineStr">
        <is>
          <t>O rio Han em cheia engoliu os sete exércitos de Yu Jin.</t>
        </is>
      </c>
      <c r="T83" s="14" t="inlineStr">
        <is>
          <t>Quando Guan Yu cercou Fancheng, Cao Cao enviou Yu Jin com sete exércitos em socorro. Chuvas torrenciais fizeram transbordar o rio Han; Guan Yu atacou de barco e capturou Yu Jin, e a sua fama fez tremer o império.</t>
        </is>
      </c>
      <c r="U83" s="14" t="inlineStr">
        <is>
          <t>L'acqua che inghiottì sette armate</t>
        </is>
      </c>
      <c r="V83" s="14" t="inlineStr">
        <is>
          <t>Il fiume Han in piena inghiottì le sette armate di Yu Jin.</t>
        </is>
      </c>
      <c r="W83" s="14" t="inlineStr">
        <is>
          <t>Quando Guan Yu assediò Fancheng, Cao Cao affidò a Yu Jin sette armate per soccorrerla. Proprio allora le grandi piogge fecero straripare il fiume Han, e Guan Yu, assaltandoli in barca, catturò Yu Jin. La fama di Guan Yu fece tremare l'impero.</t>
        </is>
      </c>
      <c r="X83" s="14" t="inlineStr">
        <is>
          <t>El agua que tragó siete ejércitos</t>
        </is>
      </c>
      <c r="Y83" s="14" t="inlineStr">
        <is>
          <t>El río Han desbordado se tragó los siete ejércitos de Yu Jin.</t>
        </is>
      </c>
      <c r="Z83" s="14" t="inlineStr">
        <is>
          <t>Cuando Guan Yu cercó Fancheng, Cao Cao dio siete ejércitos a Yu Jin para socorrerla. Las grandes lluvias desbordaron el Han, y Guan Yu atacó en barco y capturó a Yu Jin. Su prestigio hizo temblar a todo el reino.</t>
        </is>
      </c>
      <c r="AA83" s="14" t="inlineStr">
        <is>
          <t>Долоон цэргийг залгисан ус</t>
        </is>
      </c>
      <c r="AB83" s="14" t="inlineStr">
        <is>
          <t>Үерлэсэн Хань мөрөн Юй Цзиний долоон цэргийг залгив.</t>
        </is>
      </c>
      <c r="AC83" s="14" t="inlineStr">
        <is>
          <t>Гуань Юй Фаньчэнг бүслэхэд Цао Цао Юй Цзиньд долоон цэрэг өгч аврахаар илгээв. Яг тэр үед их бороонд Хань мөрөн халихад Гуань Юй завиар дайран орж Юй Цзинийг олзлов. Гуань Юйн сүр хүч тэнгэрийн дорыг доргиожээ.</t>
        </is>
      </c>
      <c r="AD83" s="14" t="inlineStr">
        <is>
          <t>水淹七军</t>
        </is>
      </c>
    </row>
    <row r="84">
      <c r="A84" t="n">
        <v>83</v>
      </c>
      <c r="B84" t="inlineStr">
        <is>
          <t>관을 멘 방덕</t>
        </is>
      </c>
      <c r="C84" s="14" t="inlineStr">
        <is>
          <t>Pang De and His Coffin</t>
        </is>
      </c>
      <c r="D84" s="14" t="inlineStr">
        <is>
          <t>Pang De, who marched out carrying his own coffin, never bent the knee.</t>
        </is>
      </c>
      <c r="E84" s="14" t="inlineStr">
        <is>
          <t>Setting out to fight Guan Yu, Pang De carried a coffin with him, resolved to die. He fought Guan Yu for a hundred bouts, but was captured after the seven armies drowned, and died without ever bowing.</t>
        </is>
      </c>
      <c r="F84" s="14" t="inlineStr">
        <is>
          <t>棺を担ぐ龐徳</t>
        </is>
      </c>
      <c r="G84" s="14" t="inlineStr">
        <is>
          <t>棺を担いで出陣した龐徳は、最後まで膝を屈しなかった。</t>
        </is>
      </c>
      <c r="H84" s="14" t="inlineStr">
        <is>
          <t>龐徳は関羽との戦いに臨んで棺を担いで行き、死を覚悟した。関羽と百合打ち合ったが、七軍が水に沈んだのち捕らえられ、最後まで膝を屈することなく死んだ。</t>
        </is>
      </c>
      <c r="I84" s="14" t="inlineStr">
        <is>
          <t>抬棺出戰的龐德</t>
        </is>
      </c>
      <c r="J84" s="14" t="inlineStr">
        <is>
          <t>扛著棺材出陣的龐德，至死不肯屈膝。</t>
        </is>
      </c>
      <c r="K84" s="14" t="inlineStr">
        <is>
          <t>龐德出戰關羽時抬著棺材隨行，決意赴死。他與關羽鬥了百回合，七軍遭水淹後被擒，始終不肯下跪，從容就死。</t>
        </is>
      </c>
      <c r="L84" s="14" t="inlineStr">
        <is>
          <t>抬棺出战的庞德</t>
        </is>
      </c>
      <c r="M84" s="14" t="inlineStr">
        <is>
          <t>抬着棺材出战的庞德，至死不肯屈膝。</t>
        </is>
      </c>
      <c r="N84" s="14" t="inlineStr">
        <is>
          <t>庞德出战关羽时抬棺随行，誓以死战。他与关羽斗了百回合，七军被淹后被擒，终究不肯下跪，慷慨赴死。</t>
        </is>
      </c>
      <c r="O84" s="14" t="inlineStr">
        <is>
          <t>Pang De e seu Caixão</t>
        </is>
      </c>
      <c r="P84" s="14" t="inlineStr">
        <is>
          <t>Pang De partiu levando o próprio caixão e nunca se ajoelhou.</t>
        </is>
      </c>
      <c r="Q84" s="14" t="inlineStr">
        <is>
          <t>Ao sair para enfrentar Guan Yu, Pang De levou o próprio caixão, decidido a morrer. Lutou cem assaltos com Guan Yu, foi capturado quando os sete exércitos afundaram, e morreu sem jamais se ajoelhar.</t>
        </is>
      </c>
      <c r="R84" s="14" t="inlineStr">
        <is>
          <t>Pang De e o Caixão</t>
        </is>
      </c>
      <c r="S84" s="14" t="inlineStr">
        <is>
          <t>Pang De partiu com o caixão às costas e nunca se ajoelhou.</t>
        </is>
      </c>
      <c r="T84" s="14" t="inlineStr">
        <is>
          <t>Ao partir contra Guan Yu, Pang De levou consigo um caixão, pronto a morrer. Bateu-se cem assaltos com Guan Yu, mas foi capturado depois de os sete exércitos ficarem submersos, e morreu sem nunca se ajoelhar.</t>
        </is>
      </c>
      <c r="U84" s="14" t="inlineStr">
        <is>
          <t>Pang De e la bara</t>
        </is>
      </c>
      <c r="V84" s="14" t="inlineStr">
        <is>
          <t>Partito con la bara in spalla, Pang De non piegò mai le ginocchia.</t>
        </is>
      </c>
      <c r="W84" s="14" t="inlineStr">
        <is>
          <t>Partendo contro Guan Yu, Pang De portò con sé una bara, pronto a morire. Tenne testa a Guan Yu per cento scambi, ma fu catturato dopo che le sette armate finirono sott'acqua, e morì senza mai inginocchiarsi.</t>
        </is>
      </c>
      <c r="X84" s="14" t="inlineStr">
        <is>
          <t>Pang De y su ataúd</t>
        </is>
      </c>
      <c r="Y84" s="14" t="inlineStr">
        <is>
          <t>Pang De salió a combatir cargando su ataúd, y nunca se arrodilló.</t>
        </is>
      </c>
      <c r="Z84" s="14" t="inlineStr">
        <is>
          <t>Pang De salió a enfrentarse a Guan Yu llevando su propio ataúd, dispuesto a morir. Combatió cien asaltos con Guan Yu, pero fue capturado tras la inundación de los siete ejércitos, y murió sin arrodillarse.</t>
        </is>
      </c>
      <c r="AA84" s="14" t="inlineStr">
        <is>
          <t>Авс үүрсэн Пан Дэ</t>
        </is>
      </c>
      <c r="AB84" s="14" t="inlineStr">
        <is>
          <t>Авс үүрч гарсан Пан Дэ эцсээ хүртэл өвдөг сөгдсөнгүй.</t>
        </is>
      </c>
      <c r="AC84" s="14" t="inlineStr">
        <is>
          <t>Пан Дэ Гуань Юйтай тулалдахаар гарахдаа авс үүрч, үхэхэд бэлэн гэдгээ харуулав. Гуань Юйтай зуун удаа мөргөлдсөн ч долоон цэрэг усанд живсний дараа олзлогдож, эцсээ хүртэл өвдөг сөгдөлгүй үхжээ.</t>
        </is>
      </c>
      <c r="AD84" s="14" t="inlineStr">
        <is>
          <t>抬榇决战</t>
        </is>
      </c>
    </row>
    <row r="85">
      <c r="A85" t="n">
        <v>84</v>
      </c>
      <c r="B85" t="inlineStr">
        <is>
          <t>백의도강</t>
        </is>
      </c>
      <c r="C85" s="14" t="inlineStr">
        <is>
          <t>Crossing the River in White</t>
        </is>
      </c>
      <c r="D85" s="14" t="inlineStr">
        <is>
          <t>Soldiers disguised as merchants in white crossed the river and took Jing Province.</t>
        </is>
      </c>
      <c r="E85" s="14" t="inlineStr">
        <is>
          <t>Lü Meng withdrew on the pretext of illness and handed his post to Lu Xun. When Guan Yu let down his guard, Lü Meng disguised his soldiers as merchants in white, sent them across the river, silently seized the beacon towers, and took Jing Province.</t>
        </is>
      </c>
      <c r="F85" s="14" t="inlineStr">
        <is>
          <t>白衣、江を渡る</t>
        </is>
      </c>
      <c r="G85" s="14" t="inlineStr">
        <is>
          <t>白装束の商人に扮した兵が川を渡り、荊州を奪った。</t>
        </is>
      </c>
      <c r="H85" s="14" t="inlineStr">
        <is>
          <t>呂蒙は病を口実に退き、陸遜に後を譲った。関羽が油断すると、兵を白装束の商人に扮させて川を渡らせ、烽火台を音もなく押さえて荊州を奪った。</t>
        </is>
      </c>
      <c r="I85" s="14" t="inlineStr">
        <is>
          <t>白衣渡江</t>
        </is>
      </c>
      <c r="J85" s="14" t="inlineStr">
        <is>
          <t>扮成白衣商人的士兵渡過江去，奪取了荊州。</t>
        </is>
      </c>
      <c r="K85" s="14" t="inlineStr">
        <is>
          <t>呂蒙託病退下，把職位讓給陸遜。趁關羽鬆懈之際，他讓士兵扮成白衣商人渡江，無聲無息地控制了烽火臺，奪取了荊州。</t>
        </is>
      </c>
      <c r="L85" s="14" t="inlineStr">
        <is>
          <t>白衣渡江</t>
        </is>
      </c>
      <c r="M85" s="14" t="inlineStr">
        <is>
          <t>扮成白衣商人的士兵渡过江去，夺下了荆州。</t>
        </is>
      </c>
      <c r="N85" s="14" t="inlineStr">
        <is>
          <t>吕蒙称病退下，把位置让给陆逊。待关羽松懈，他让士兵扮成白衣商人渡江，悄无声息地拿下烽火台，夺取了荆州。</t>
        </is>
      </c>
      <c r="O85" s="14" t="inlineStr">
        <is>
          <t>Vestidos de Branco Cruzam o Rio</t>
        </is>
      </c>
      <c r="P85" s="14" t="inlineStr">
        <is>
          <t>Soldados disfarçados de mercadores de branco cruzaram o rio e tomaram Jing.</t>
        </is>
      </c>
      <c r="Q85" s="14" t="inlineStr">
        <is>
          <t>Alegando doença, Lü Meng se afastou e passou o posto a Lu Xun. Quando Guan Yu baixou a guarda, Lü Meng fez seus soldados cruzarem o rio disfarçados de mercadores vestidos de branco, tomou em silêncio as torres de sinalização e conquistou Jing.</t>
        </is>
      </c>
      <c r="R85" s="14" t="inlineStr">
        <is>
          <t>Atravessar o Rio de Branco</t>
        </is>
      </c>
      <c r="S85" s="14" t="inlineStr">
        <is>
          <t>Soldados disfarçados de mercadores de branco atravessaram o rio e tomaram Jingzhou.</t>
        </is>
      </c>
      <c r="T85" s="14" t="inlineStr">
        <is>
          <t>Lü Meng retirou-se a pretexto de doença e deixou o lugar a Lu Xun. Quando Guan Yu baixou a guarda, disfarçou os soldados de mercadores vestidos de branco, fê-los atravessar o rio, tomou em silêncio as torres de sinais e arrebatou Jingzhou.</t>
        </is>
      </c>
      <c r="U85" s="14" t="inlineStr">
        <is>
          <t>Attraverso il fiume in bianco</t>
        </is>
      </c>
      <c r="V85" s="14" t="inlineStr">
        <is>
          <t>Soldati travestiti da mercanti in bianco attraversarono il fiume e presero Jingzhou.</t>
        </is>
      </c>
      <c r="W85" s="14" t="inlineStr">
        <is>
          <t>Fingendosi malato, Lü Meng si ritirò e lasciò il posto a Lu Xun. Quando Guan Yu abbassò la guardia, fece attraversare il fiume ai soldati travestiti da mercanti vestiti di bianco, prese senza un rumore le torri di segnalazione e strappò Jingzhou.</t>
        </is>
      </c>
      <c r="X85" s="14" t="inlineStr">
        <is>
          <t>Cruzar el río vestidos de blanco</t>
        </is>
      </c>
      <c r="Y85" s="14" t="inlineStr">
        <is>
          <t>Soldados disfrazados de mercaderes de blanco cruzaron el río y tomaron Jing.</t>
        </is>
      </c>
      <c r="Z85" s="14" t="inlineStr">
        <is>
          <t>Lü Meng se retiró fingiendo enfermedad y cedió su puesto a Lu Xun. Cuando Guan Yu bajó la guardia, hizo cruzar el río a sus soldados disfrazados de mercaderes vestidos de blanco, tomó las torres de señales sin un ruido y arrebató Jing.</t>
        </is>
      </c>
      <c r="AA85" s="14" t="inlineStr">
        <is>
          <t>Цагаан хувцастай голыг гатлав</t>
        </is>
      </c>
      <c r="AB85" s="14" t="inlineStr">
        <is>
          <t>Цагаан хувцастай худалдаачин мэт хувирсан цэргүүд голыг гаталж Цзинчжоуг булаав.</t>
        </is>
      </c>
      <c r="AC85" s="14" t="inlineStr">
        <is>
          <t>Люй Мэн өвчний шалтгаар ухарч, суудлаа Лу Сюньд шилжүүлэв. Гуань Юй хайхрамжгүй болоход цэргүүдээ цагаан хувцастай худалдаачин болгон хувиргаж голыг гатлуулан, дохионы цамхгуудыг чимээгүй эзэлж Цзинчжоуг булаажээ.</t>
        </is>
      </c>
      <c r="AD85" s="14" t="inlineStr">
        <is>
          <t>白衣渡江</t>
        </is>
      </c>
    </row>
    <row r="86">
      <c r="A86" t="n">
        <v>85</v>
      </c>
      <c r="B86" t="inlineStr">
        <is>
          <t>맥성</t>
        </is>
      </c>
      <c r="C86" s="14" t="inlineStr">
        <is>
          <t>Guan Yu Is Captured</t>
        </is>
      </c>
      <c r="D86" s="14" t="inlineStr">
        <is>
          <t>No relief came, and Guan Yu and his son could not escape Maicheng.</t>
        </is>
      </c>
      <c r="E86" s="14" t="inlineStr">
        <is>
          <t>Having lost Jing Province, Guan Yu was driven into Maicheng. Liao Hua begged Liu Feng and Meng Da at Shangyong for relief, but they did not come. Guan Yu and his son were captured at Linju trying to slip out of the city.</t>
        </is>
      </c>
      <c r="F86" s="14" t="inlineStr">
        <is>
          <t>関羽、捕らわる</t>
        </is>
      </c>
      <c r="G86" s="14" t="inlineStr">
        <is>
          <t>援軍は来ず、関羽父子は麦城を抜け出せなかった。</t>
        </is>
      </c>
      <c r="H86" s="14" t="inlineStr">
        <is>
          <t>荊州を失った関羽は麦城に追い込まれた。廖化が上庸の劉封・孟達に救援を求めたが、彼らは来なかった。関羽父子は城を抜け出す途中、臨沮で捕らえられた。</t>
        </is>
      </c>
      <c r="I86" s="14" t="inlineStr">
        <is>
          <t>關羽被擒</t>
        </is>
      </c>
      <c r="J86" s="14" t="inlineStr">
        <is>
          <t>援軍沒有到來，關羽父子未能逃出麥城。</t>
        </is>
      </c>
      <c r="K86" s="14" t="inlineStr">
        <is>
          <t>失去荊州的關羽被逼入麥城。廖化向上庸的劉封、孟達求援，但他們沒有來。關羽父子突圍出城，在臨沮被擒。</t>
        </is>
      </c>
      <c r="L86" s="14" t="inlineStr">
        <is>
          <t>关羽被擒</t>
        </is>
      </c>
      <c r="M86" s="14" t="inlineStr">
        <is>
          <t>援军始终未至，关羽父子没能逃出麦城。</t>
        </is>
      </c>
      <c r="N86" s="14" t="inlineStr">
        <is>
          <t>失去荆州的关羽被逼入麦城。廖化向上庸的刘封、孟达求援，他们却没有来。关羽父子突围出城，在临沮被擒。</t>
        </is>
      </c>
      <c r="O86" s="14" t="inlineStr">
        <is>
          <t>Guan Yu é Capturado</t>
        </is>
      </c>
      <c r="P86" s="14" t="inlineStr">
        <is>
          <t>O socorro não veio, e Guan Yu e o filho não escaparam de Maicheng.</t>
        </is>
      </c>
      <c r="Q86" s="14" t="inlineStr">
        <is>
          <t>Perdida Jing, Guan Yu foi encurralado em Maicheng. Liao Hua pediu socorro a Liu Feng e Meng Da em Shangyong, mas eles não vieram. Tentando escapar, Guan Yu e o filho foram capturados em Linju.</t>
        </is>
      </c>
      <c r="R86" s="14" t="inlineStr">
        <is>
          <t>Guan Yu É Capturado</t>
        </is>
      </c>
      <c r="S86" s="14" t="inlineStr">
        <is>
          <t>O socorro não veio, e Guan Yu e o filho não escaparam de Maicheng.</t>
        </is>
      </c>
      <c r="T86" s="14" t="inlineStr">
        <is>
          <t>Perdida Jingzhou, Guan Yu ficou encurralado em Maicheng. Liao Hua pediu socorro a Liu Feng e Meng Da, em Shangyong, mas eles não vieram. Ao tentar escapar, Guan Yu e o filho foram capturados em Linju.</t>
        </is>
      </c>
      <c r="U86" s="14" t="inlineStr">
        <is>
          <t>La cattura di Guan Yu</t>
        </is>
      </c>
      <c r="V86" s="14" t="inlineStr">
        <is>
          <t>I soccorsi non arrivarono, e Guan Yu e il figlio non riuscirono a uscire da Maicheng.</t>
        </is>
      </c>
      <c r="W86" s="14" t="inlineStr">
        <is>
          <t>Perduta Jingzhou, Guan Yu fu respinto fino a Maicheng. Liao Hua chiese aiuto a Liu Feng e Meng Da a Shangyong, ma non vennero. Guan Yu e il figlio, tentando di uscire dalla città, furono catturati a Linju.</t>
        </is>
      </c>
      <c r="X86" s="14" t="inlineStr">
        <is>
          <t>La captura de Guan Yu</t>
        </is>
      </c>
      <c r="Y86" s="14" t="inlineStr">
        <is>
          <t>La ayuda nunca llegó, y Guan Yu y su hijo no lograron salir de Maicheng.</t>
        </is>
      </c>
      <c r="Z86" s="14" t="inlineStr">
        <is>
          <t>Tras perder Jing, Guan Yu quedó acorralado en Maicheng. Liao Hua pidió auxilio a Liu Feng y Meng Da en Shangyong, pero no acudieron. Guan Yu y su hijo intentaron escapar y fueron capturados en Linju.</t>
        </is>
      </c>
      <c r="AA86" s="14" t="inlineStr">
        <is>
          <t>Гуань Юй баригдав</t>
        </is>
      </c>
      <c r="AB86" s="14" t="inlineStr">
        <is>
          <t>Тусламж ирсэнгүй, Гуань Юй эцэг хүү Майчэнээс гарч чадсангүй.</t>
        </is>
      </c>
      <c r="AC86" s="14" t="inlineStr">
        <is>
          <t>Цзинчжоугаа алдсан Гуань Юй Майчэн рүү шахагдав. Ляо Хуа Шанъюны Лю Фэн, Мэн Да хоёроос тусламж гуйсан ч тэд ирсэнгүй. Гуань Юй эцэг хүү хотоос гарч явахдаа Линьцзюд олзлогджээ.</t>
        </is>
      </c>
      <c r="AD86" s="14" t="inlineStr">
        <is>
          <t>走麦城</t>
        </is>
      </c>
    </row>
    <row r="87">
      <c r="A87" t="n">
        <v>86</v>
      </c>
      <c r="B87" t="inlineStr">
        <is>
          <t>수선대</t>
        </is>
      </c>
      <c r="C87" s="14" t="inlineStr">
        <is>
          <t>Four Centuries End</t>
        </is>
      </c>
      <c r="D87" s="14" t="inlineStr">
        <is>
          <t>Four hundred years of Han ended atop the Abdication Terrace.</t>
        </is>
      </c>
      <c r="E87" s="14" t="inlineStr">
        <is>
          <t>After Cao Cao's death, his son Cao Pi pressured Emperor Xian into handing over the throne at the Abdication Terrace. Four centuries of Han came to an end, and Wei arose.</t>
        </is>
      </c>
      <c r="F87" s="14" t="inlineStr">
        <is>
          <t>四百年の終わり</t>
        </is>
      </c>
      <c r="G87" s="14" t="inlineStr">
        <is>
          <t>四百年続いた漢は、受禅台の上で終わった。</t>
        </is>
      </c>
      <c r="H87" s="14" t="inlineStr">
        <is>
          <t>曹操が死ぬと、子の曹丕は献帝に迫り、受禅台で帝位を譲り受けた。四百年の漢が終わり、魏が立った。</t>
        </is>
      </c>
      <c r="I87" s="14" t="inlineStr">
        <is>
          <t>四百年的終結</t>
        </is>
      </c>
      <c r="J87" s="14" t="inlineStr">
        <is>
          <t>四百年的漢朝，在受禪臺上落幕。</t>
        </is>
      </c>
      <c r="K87" s="14" t="inlineStr">
        <is>
          <t>曹操死後，其子曹丕逼迫獻帝，在受禪臺上接受禪讓。四百年漢朝就此終結，魏國建立。</t>
        </is>
      </c>
      <c r="L87" s="14" t="inlineStr">
        <is>
          <t>四百年终结</t>
        </is>
      </c>
      <c r="M87" s="14" t="inlineStr">
        <is>
          <t>四百年汉室，终结在受禅台上。</t>
        </is>
      </c>
      <c r="N87" s="14" t="inlineStr">
        <is>
          <t>曹操死后，其子曹丕逼迫献帝在受禅台让出帝位。四百年的汉朝就此终结，魏国建立。</t>
        </is>
      </c>
      <c r="O87" s="14" t="inlineStr">
        <is>
          <t>Fim de Quatrocentos Anos</t>
        </is>
      </c>
      <c r="P87" s="14" t="inlineStr">
        <is>
          <t>Quatrocentos anos de Han terminaram no Altar da Abdicação.</t>
        </is>
      </c>
      <c r="Q87" s="14" t="inlineStr">
        <is>
          <t>Morto Cao Cao, seu filho Cao Pi pressionou o Imperador Xian a lhe ceder o trono no Altar da Abdicação. Terminavam quatrocentos anos de Han, e nascia Wei.</t>
        </is>
      </c>
      <c r="R87" s="14" t="inlineStr">
        <is>
          <t>Quatrocentos Anos Chegam ao Fim</t>
        </is>
      </c>
      <c r="S87" s="14" t="inlineStr">
        <is>
          <t>Os quatrocentos anos dos Han terminaram no Altar da Abdicação.</t>
        </is>
      </c>
      <c r="T87" s="14" t="inlineStr">
        <is>
          <t>Morto Cao Cao, o filho Cao Pi pressionou o Imperador Xian e recebeu o trono no Altar da Abdicação. Terminavam quatrocentos anos de Han e nascia Wei.</t>
        </is>
      </c>
      <c r="U87" s="14" t="inlineStr">
        <is>
          <t>La fine dei quattrocento anni</t>
        </is>
      </c>
      <c r="V87" s="14" t="inlineStr">
        <is>
          <t>I quattrocento anni degli Han finirono sulla Terrazza dell'Abdicazione.</t>
        </is>
      </c>
      <c r="W87" s="14" t="inlineStr">
        <is>
          <t>Morto Cao Cao, il figlio Cao Pi costrinse l'Imperatore Xian a cedergli il trono sulla Terrazza dell'Abdicazione. I quattrocento anni degli Han ebbero fine e nacque Wei.</t>
        </is>
      </c>
      <c r="X87" s="14" t="inlineStr">
        <is>
          <t>Fin de cuatro siglos</t>
        </is>
      </c>
      <c r="Y87" s="14" t="inlineStr">
        <is>
          <t>Los cuatrocientos años de los Han terminaron sobre el Altar de la Abdicación.</t>
        </is>
      </c>
      <c r="Z87" s="14" t="inlineStr">
        <is>
          <t>Muerto Cao Cao, su hijo Cao Pi presionó al Emperador Xian y recibió el trono en el Altar de la Abdicación. Así acabaron los cuatrocientos años de los Han y nació Wei.</t>
        </is>
      </c>
      <c r="AA87" s="14" t="inlineStr">
        <is>
          <t>Дөрвөн зуун жил өндөрлөв</t>
        </is>
      </c>
      <c r="AB87" s="14" t="inlineStr">
        <is>
          <t>Дөрвөн зуун жилийн Хань улс Ширээ залгамжлах индэр дээр төгсөв.</t>
        </is>
      </c>
      <c r="AC87" s="14" t="inlineStr">
        <is>
          <t>Цао Цао нас барахад хүү Цао Пи нь Сянь-ди хааныг шахаж, Ширээ залгамжлах индэр дээр хаан ширээг шилжүүлэн авав. Дөрвөн зуун жилийн Хань улс төгсөж, Вэй улс байгуулагдлаа.</t>
        </is>
      </c>
      <c r="AD87" s="14" t="inlineStr">
        <is>
          <t>受禅台</t>
        </is>
      </c>
    </row>
    <row r="88">
      <c r="A88" t="n">
        <v>87</v>
      </c>
      <c r="B88" t="inlineStr">
        <is>
          <t>칠보시</t>
        </is>
      </c>
      <c r="C88" s="14" t="inlineStr">
        <is>
          <t>Poem of Seven Steps</t>
        </is>
      </c>
      <c r="D88" s="14" t="inlineStr">
        <is>
          <t>“They burn the beanstalks to boil the beans” — a poem made within seven steps.</t>
        </is>
      </c>
      <c r="E88" s="14" t="inlineStr">
        <is>
          <t>Jealous of his brother Cao Zhi, Cao Pi swore to kill him unless he composed a poem within seven steps. When Cao Zhi recited, “They burn the beanstalks to boil the beans,” Cao Pi was shamed and let him go.</t>
        </is>
      </c>
      <c r="F88" s="14" t="inlineStr">
        <is>
          <t>七歩の詩</t>
        </is>
      </c>
      <c r="G88" s="14" t="inlineStr">
        <is>
          <t>「豆を煮るに豆萁を燃やす」――七歩のうちに作った詩。</t>
        </is>
      </c>
      <c r="H88" s="14" t="inlineStr">
        <is>
          <t>曹丕は弟・曹植を妬み、七歩歩くうちに詩を作れなければ殺すと言った。曹植が「豆を煮るに豆萁を燃やす」と詠むと、曹丕は恥じ入って彼を許した。</t>
        </is>
      </c>
      <c r="I88" s="14" t="inlineStr">
        <is>
          <t>七步之詩</t>
        </is>
      </c>
      <c r="J88" s="14" t="inlineStr">
        <is>
          <t>「煮豆燃豆萁」——七步之內作成的詩。</t>
        </is>
      </c>
      <c r="K88" s="14" t="inlineStr">
        <is>
          <t>曹丕忌妒弟弟曹植，說七步之內作不出詩就要處死他。曹植吟出「煮豆燃豆萁」，曹丕面有愧色，放過了他。</t>
        </is>
      </c>
      <c r="L88" s="14" t="inlineStr">
        <is>
          <t>七步之诗</t>
        </is>
      </c>
      <c r="M88" s="14" t="inlineStr">
        <is>
          <t>「煮豆燃豆萁」——七步之内作成的诗。</t>
        </is>
      </c>
      <c r="N88" s="14" t="inlineStr">
        <is>
          <t>曹丕猜忌弟弟曹植，命他七步之内作诗，否则处死。曹植吟出「煮豆燃豆萁」，曹丕面有愧色，放了他。</t>
        </is>
      </c>
      <c r="O88" s="14" t="inlineStr">
        <is>
          <t>O Poema dos Sete Passos</t>
        </is>
      </c>
      <c r="P88" s="14" t="inlineStr">
        <is>
          <t>“Queimam-se as vagens para cozer o feijão” — um poema composto em sete passos.</t>
        </is>
      </c>
      <c r="Q88" s="14" t="inlineStr">
        <is>
          <t>Invejoso do irmão Cao Zhi, Cao Pi ameaçou matá-lo se não compusesse um poema em sete passos. Quando Cao Zhi recitou “queimam-se as vagens para cozer o feijão”, Cao Pi, envergonhado, o deixou ir.</t>
        </is>
      </c>
      <c r="R88" s="14" t="inlineStr">
        <is>
          <t>O Poema dos Sete Passos</t>
        </is>
      </c>
      <c r="S88" s="14" t="inlineStr">
        <is>
          <t>«Queimam-se as vagens para cozer os feijões» — um poema feito em sete passos.</t>
        </is>
      </c>
      <c r="T88" s="14" t="inlineStr">
        <is>
          <t>Invejoso do irmão Cao Zhi, Cao Pi ameaçou matá-lo se não compusesse um poema em sete passos. Quando Cao Zhi recitou «queimam-se as vagens para cozer os feijões», Cao Pi, envergonhado, deixou-o ir.</t>
        </is>
      </c>
      <c r="U88" s="14" t="inlineStr">
        <is>
          <t>La poesia dei sette passi</t>
        </is>
      </c>
      <c r="V88" s="14" t="inlineStr">
        <is>
          <t>«Si bruciano i gusci per cuocere i fagioli»: versi composti in sette passi.</t>
        </is>
      </c>
      <c r="W88" s="14" t="inlineStr">
        <is>
          <t>Geloso del fratello Cao Zhi, Cao Pi minacciò di ucciderlo se non avesse composto una poesia in sette passi. Quando Cao Zhi recitò «Si bruciano i gusci per cuocere i fagioli», Cao Pi si vergognò e lo lasciò andare.</t>
        </is>
      </c>
      <c r="X88" s="14" t="inlineStr">
        <is>
          <t>El poema de los siete pasos</t>
        </is>
      </c>
      <c r="Y88" s="14" t="inlineStr">
        <is>
          <t>«Queman los tallos para cocer las habas»: un poema compuesto en siete pasos.</t>
        </is>
      </c>
      <c r="Z88" s="14" t="inlineStr">
        <is>
          <t>Celoso de su hermano Cao Zhi, Cao Pi le dijo que lo mataría si no componía un poema en siete pasos. Cuando Cao Zhi recitó «queman los tallos para cocer las habas», Cao Pi sintió vergüenza y lo dejó ir.</t>
        </is>
      </c>
      <c r="AA88" s="14" t="inlineStr">
        <is>
          <t>Долоон алхмын шүлэг</t>
        </is>
      </c>
      <c r="AB88" s="14" t="inlineStr">
        <is>
          <t>«Буурцгийн ишийг шатааж буурцаг чанавай» — долоон алхмын дотор зохиосон шүлэг.</t>
        </is>
      </c>
      <c r="AC88" s="14" t="inlineStr">
        <is>
          <t>Цао Пи дүү Цао Чжиг атаархаж, долоон алхмын дотор шүлэг зохиож чадахгүй бол ална гэв. Цао Чжи «Буурцгийн ишийг шатааж буурцаг чанавай» хэмээн уншихад Цао Пи ичиж түүнийг суллажээ.</t>
        </is>
      </c>
      <c r="AD88" s="14" t="inlineStr">
        <is>
          <t>七步诗</t>
        </is>
      </c>
    </row>
    <row r="89">
      <c r="A89" t="n">
        <v>88</v>
      </c>
      <c r="B89" t="inlineStr">
        <is>
          <t>아버지의 원수</t>
        </is>
      </c>
      <c r="C89" s="14" t="inlineStr">
        <is>
          <t>In Their Fathers' Names</t>
        </is>
      </c>
      <c r="D89" s="14" t="inlineStr">
        <is>
          <t>The sons of Guan Yu and Zhang Fei inherited even their fathers' oath of brotherhood.</t>
        </is>
      </c>
      <c r="E89" s="14" t="inlineStr">
        <is>
          <t>After Guan Yu and Zhang Fei died, their sons Guan Xing and Zhang Bao swore brotherhood just as their fathers had. Together they followed Liu Bei toward Yiling to avenge their fathers.</t>
        </is>
      </c>
      <c r="F89" s="14" t="inlineStr">
        <is>
          <t>父の名にかけて</t>
        </is>
      </c>
      <c r="G89" s="14" t="inlineStr">
        <is>
          <t>関羽と張飛の息子たちは、義兄弟の誓いまで受け継いだ。</t>
        </is>
      </c>
      <c r="H89" s="14" t="inlineStr">
        <is>
          <t>関羽と張飛が死んだのち、二人の息子・関興と張苞は父たちのように義兄弟の契りを結んだ。二人は夷陵へ向かう劉備に従い、父の仇を討ちに出陣した。</t>
        </is>
      </c>
      <c r="I89" s="14" t="inlineStr">
        <is>
          <t>以父親之名</t>
        </is>
      </c>
      <c r="J89" s="14" t="inlineStr">
        <is>
          <t>關羽與張飛的兒子，連結義的誓言也一併繼承了。</t>
        </is>
      </c>
      <c r="K89" s="14" t="inlineStr">
        <is>
          <t>關羽與張飛死後，兩人之子關興與張苞也像父親一樣結為兄弟。二人隨劉備前往夷陵，為父報仇。</t>
        </is>
      </c>
      <c r="L89" s="14" t="inlineStr">
        <is>
          <t>以父之名</t>
        </is>
      </c>
      <c r="M89" s="14" t="inlineStr">
        <is>
          <t>关羽与张飞的儿子们，连结义的誓言也一并继承了。</t>
        </is>
      </c>
      <c r="N89" s="14" t="inlineStr">
        <is>
          <t>关羽、张飞死后，二人之子关兴与张苞像父辈一样结为兄弟。他们随刘备奔赴夷陵，为父报仇。</t>
        </is>
      </c>
      <c r="O89" s="14" t="inlineStr">
        <is>
          <t>Em Nome dos Pais</t>
        </is>
      </c>
      <c r="P89" s="14" t="inlineStr">
        <is>
          <t>Os filhos de Guan Yu e Zhang Fei herdaram até o juramento de irmandade.</t>
        </is>
      </c>
      <c r="Q89" s="14" t="inlineStr">
        <is>
          <t>Mortos Guan Yu e Zhang Fei, seus filhos Guan Xing e Zhang Bao juraram irmandade como os pais. Juntos, seguiram Liu Bei rumo a Yiling para vingá-los.</t>
        </is>
      </c>
      <c r="R89" s="14" t="inlineStr">
        <is>
          <t>Em Nome dos Pais</t>
        </is>
      </c>
      <c r="S89" s="14" t="inlineStr">
        <is>
          <t>Os filhos de Guan Yu e Zhang Fei herdaram até o juramento de irmãos.</t>
        </is>
      </c>
      <c r="T89" s="14" t="inlineStr">
        <is>
          <t>Mortos Guan Yu e Zhang Fei, os filhos Guan Xing e Zhang Bao juraram-se irmãos como os pais. Os dois seguiram Liu Bei rumo a Yiling para vingar os pais.</t>
        </is>
      </c>
      <c r="U89" s="14" t="inlineStr">
        <is>
          <t>Nel nome dei padri</t>
        </is>
      </c>
      <c r="V89" s="14" t="inlineStr">
        <is>
          <t>I figli di Guan Yu e Zhang Fei ereditarono persino il giuramento di fratellanza.</t>
        </is>
      </c>
      <c r="W89" s="14" t="inlineStr">
        <is>
          <t>Dopo la morte di Guan Yu e Zhang Fei, i loro figli Guan Xing e Zhang Bao si giurarono fratelli come i padri. Insieme seguirono Liu Bei verso Yiling per vendicare i genitori.</t>
        </is>
      </c>
      <c r="X89" s="14" t="inlineStr">
        <is>
          <t>En nombre de los padres</t>
        </is>
      </c>
      <c r="Y89" s="14" t="inlineStr">
        <is>
          <t>Los hijos de Guan Yu y Zhang Fei heredaron incluso el juramento de hermandad.</t>
        </is>
      </c>
      <c r="Z89" s="14" t="inlineStr">
        <is>
          <t>Tras la muerte de Guan Yu y Zhang Fei, sus hijos Guan Xing y Zhang Bao se juraron hermanos como sus padres. Ambos siguieron a Liu Bei rumbo a Yiling para vengarlos.</t>
        </is>
      </c>
      <c r="AA89" s="14" t="inlineStr">
        <is>
          <t>Эцгүүдийн нэрээр</t>
        </is>
      </c>
      <c r="AB89" s="14" t="inlineStr">
        <is>
          <t>Гуань Юй, Чжан Фэй хоёрын хөвгүүд ах дүүсийн тангаргийг хүртэл өвлөв.</t>
        </is>
      </c>
      <c r="AC89" s="14" t="inlineStr">
        <is>
          <t>Гуань Юй, Чжан Фэй хоёр нас барсны дараа тэдний хөвгүүд Гуань Син, Чжан Бао хоёр эцгүүдийнхээ адил ах дүүсийн тангараг өргөв. Хоёул Илин рүү мордсон Лю Бэйг дагаж, эцгүүдийнхээ өшөөг авахаар гарчээ.</t>
        </is>
      </c>
      <c r="AD89" s="14" t="inlineStr">
        <is>
          <t>关兴张苞</t>
        </is>
      </c>
    </row>
    <row r="90">
      <c r="A90" t="n">
        <v>89</v>
      </c>
      <c r="B90" t="inlineStr">
        <is>
          <t>오계의 만왕</t>
        </is>
      </c>
      <c r="C90" s="14" t="inlineStr">
        <is>
          <t>The Arrow That Felled Gan Ning</t>
        </is>
      </c>
      <c r="D90" s="14" t="inlineStr">
        <is>
          <t>On the road to Yiling, Shamoke's arrow brought down Gan Ning.</t>
        </is>
      </c>
      <c r="E90" s="14" t="inlineStr">
        <is>
          <t>When Liu Bei marched east, Shamoke, king of the Wuxi tribes of Wuling, joined him with his warriors. The Romance tells that his arrow brought down Wu's fierce general Gan Ning.</t>
        </is>
      </c>
      <c r="F90" s="14" t="inlineStr">
        <is>
          <t>甘寧を射倒した矢</t>
        </is>
      </c>
      <c r="G90" s="14" t="inlineStr">
        <is>
          <t>夷陵への道で、沙摩柯の矢が甘寧を射倒した。</t>
        </is>
      </c>
      <c r="H90" s="14" t="inlineStr">
        <is>
          <t>劉備の東征に、武陵の五渓蛮王・沙摩柯が兵を率いて加わった。演義は、彼の矢が呉の猛将・甘寧を射倒したと伝える。</t>
        </is>
      </c>
      <c r="I90" s="14" t="inlineStr">
        <is>
          <t>射倒甘寧之箭</t>
        </is>
      </c>
      <c r="J90" s="14" t="inlineStr">
        <is>
          <t>在夷陵途中，沙摩柯的箭射倒了甘寧。</t>
        </is>
      </c>
      <c r="K90" s="14" t="inlineStr">
        <is>
          <t>劉備東征時，武陵五溪蠻王沙摩柯率軍來會。演義說，正是他的箭射倒了東吳猛將甘寧。</t>
        </is>
      </c>
      <c r="L90" s="14" t="inlineStr">
        <is>
          <t>射倒甘宁的一箭</t>
        </is>
      </c>
      <c r="M90" s="14" t="inlineStr">
        <is>
          <t>夷陵途中，沙摩柯的箭射倒了甘宁。</t>
        </is>
      </c>
      <c r="N90" s="14" t="inlineStr">
        <is>
          <t>刘备东征时，武陵五溪蛮王沙摩柯率兵前来会合。演义说，他的箭射倒了吴国猛将甘宁。</t>
        </is>
      </c>
      <c r="O90" s="14" t="inlineStr">
        <is>
          <t>A Flecha que Derrubou Gan Ning</t>
        </is>
      </c>
      <c r="P90" s="14" t="inlineStr">
        <is>
          <t>No caminho de Yiling, a flecha de Shamoke derrubou Gan Ning.</t>
        </is>
      </c>
      <c r="Q90" s="14" t="inlineStr">
        <is>
          <t>Na campanha de Liu Bei para o leste, Shamoke, rei dos bárbaros de Wuling, juntou-se a ele com suas tropas. O Romance conta que sua flecha derrubou Gan Ning, o bravo general de Wu.</t>
        </is>
      </c>
      <c r="R90" s="14" t="inlineStr">
        <is>
          <t>A Flecha que Derrubou Gan Ning</t>
        </is>
      </c>
      <c r="S90" s="14" t="inlineStr">
        <is>
          <t>No caminho de Yiling, uma flecha de Shamoke derrubou Gan Ning.</t>
        </is>
      </c>
      <c r="T90" s="14" t="inlineStr">
        <is>
          <t>Na campanha de Liu Bei para leste, Shamoke, rei dos bárbaros de Wuling, juntou-se a ele com as suas tropas. O Romance conta que foi a sua flecha que derrubou Gan Ning, o bravo de Wu.</t>
        </is>
      </c>
      <c r="U90" s="14" t="inlineStr">
        <is>
          <t>La freccia che abbatté Gan Ning</t>
        </is>
      </c>
      <c r="V90" s="14" t="inlineStr">
        <is>
          <t>Sulla via di Yiling, la freccia di Shamoke abbatté Gan Ning.</t>
        </is>
      </c>
      <c r="W90" s="14" t="inlineStr">
        <is>
          <t>Alla spedizione di Liu Bei verso est si unì con le sue truppe Shamoke, re dei Wuxi Man di Wuling. Il Romanzo narra che la sua freccia abbatté Gan Ning, il prode generale di Wu.</t>
        </is>
      </c>
      <c r="X90" s="14" t="inlineStr">
        <is>
          <t>La flecha que abatió a Gan Ning</t>
        </is>
      </c>
      <c r="Y90" s="14" t="inlineStr">
        <is>
          <t>En el camino de Yiling, una flecha de Shamoke abatió a Gan Ning.</t>
        </is>
      </c>
      <c r="Z90" s="14" t="inlineStr">
        <is>
          <t>Cuando Liu Bei marchó al este, Shamoke, rey de los bárbaros de los Cinco Arroyos de Wuling, se le unió con sus tropas. La novela cuenta que su flecha abatió a Gan Ning, el bravo general de Wu.</t>
        </is>
      </c>
      <c r="AA90" s="14" t="inlineStr">
        <is>
          <t>Гань Ниныг унагасан сум</t>
        </is>
      </c>
      <c r="AB90" s="14" t="inlineStr">
        <is>
          <t>Илингийн замд Шамокэгийн сум Гань Ниныг унагав.</t>
        </is>
      </c>
      <c r="AC90" s="14" t="inlineStr">
        <is>
          <t>Лю Бэйн дорнын аянд Улины таван голын овгийн ван Шамокэ цэргээ дагуулан нэгдэв. Туужид түүний сум У улсын баатар Гань Ниныг унагасан хэмээн өгүүлдэг.</t>
        </is>
      </c>
      <c r="AD90" s="14" t="inlineStr">
        <is>
          <t>沙摩柯</t>
        </is>
      </c>
    </row>
    <row r="91">
      <c r="A91" t="n">
        <v>90</v>
      </c>
      <c r="B91" t="inlineStr">
        <is>
          <t>이릉대전</t>
        </is>
      </c>
      <c r="C91" s="14" t="inlineStr">
        <is>
          <t>Battle of Yiling</t>
        </is>
      </c>
      <c r="D91" s="14" t="inlineStr">
        <is>
          <t>Seven hundred li of linked camps vanished in a single night of fire.</t>
        </is>
      </c>
      <c r="E91" s="14" t="inlineStr">
        <is>
          <t>To avenge Guan Yu, Liu Bei led a great army against Wu. Lu Xun refused battle and waited, then in the summer heat set fire all at once to the Shu camps strung out for seven hundred li through the forest.</t>
        </is>
      </c>
      <c r="F91" s="14" t="inlineStr">
        <is>
          <t>七百里を焼いた炎</t>
        </is>
      </c>
      <c r="G91" s="14" t="inlineStr">
        <is>
          <t>七百里の連営が、一夜の炎に消えた。</t>
        </is>
      </c>
      <c r="H91" s="14" t="inlineStr">
        <is>
          <t>関羽の仇を討つため、劉備は大軍を率いて呉を攻めた。陸遜は正面から当たらずに持ちこたえ、酷暑の中、森に七百里にわたって連なる蜀の陣営に一斉に火を放った。</t>
        </is>
      </c>
      <c r="I91" s="14" t="inlineStr">
        <is>
          <t>焚盡七百里的火</t>
        </is>
      </c>
      <c r="J91" s="14" t="inlineStr">
        <is>
          <t>七百里連營，一夜之間在火中化為烏有。</t>
        </is>
      </c>
      <c r="K91" s="14" t="inlineStr">
        <is>
          <t>為替關羽報仇，劉備率大軍攻打東吳。陸遜堅守不戰，等到酷暑時節，對沿林綿延七百里的蜀軍營寨同時放火。</t>
        </is>
      </c>
      <c r="L91" s="14" t="inlineStr">
        <is>
          <t>火烧七百里</t>
        </is>
      </c>
      <c r="M91" s="14" t="inlineStr">
        <is>
          <t>七百里连营，一夜之间化为灰烬。</t>
        </is>
      </c>
      <c r="N91" s="14" t="inlineStr">
        <is>
          <t>为报关羽之仇，刘备率大军伐吴。陆逊坚守不战，趁酷暑时节蜀军在林中连营七百里，一齐放火。</t>
        </is>
      </c>
      <c r="O91" s="14" t="inlineStr">
        <is>
          <t>O Fogo de Setecentos Li</t>
        </is>
      </c>
      <c r="P91" s="14" t="inlineStr">
        <is>
          <t>Setecentos li de acampamentos sumiram numa só noite de fogo.</t>
        </is>
      </c>
      <c r="Q91" s="14" t="inlineStr">
        <is>
          <t>Para vingar Guan Yu, Liu Bei marchou contra Wu com um grande exército. Lu Xun não deu combate e resistiu, até que, no calor do verão, ateou fogo de uma vez aos acampamentos de Shu, estendidos por setecentos li de mata.</t>
        </is>
      </c>
      <c r="R91" s="14" t="inlineStr">
        <is>
          <t>O Fogo que Varreu Setecentos Li</t>
        </is>
      </c>
      <c r="S91" s="14" t="inlineStr">
        <is>
          <t>Setecentos li de acampamentos desapareceram numa noite de chamas.</t>
        </is>
      </c>
      <c r="T91" s="14" t="inlineStr">
        <is>
          <t>Para vingar Guan Yu, Liu Bei lançou um grande exército contra Wu. Lu Xun não aceitou batalha e resistiu, até que, em pleno calor, pegou fogo de uma só vez aos acampamentos de Shu, estendidos por setecentos li de floresta.</t>
        </is>
      </c>
      <c r="U91" s="14" t="inlineStr">
        <is>
          <t>Il fuoco lungo settecento li</t>
        </is>
      </c>
      <c r="V91" s="14" t="inlineStr">
        <is>
          <t>Settecento li di accampamenti scomparvero tra le fiamme in una sola notte.</t>
        </is>
      </c>
      <c r="W91" s="14" t="inlineStr">
        <is>
          <t>Per vendicare Guan Yu, Liu Bei marciò su Wu con un grande esercito. Lu Xun non accettò battaglia e resistette, poi, nella calura estiva, diede fuoco tutto insieme agli accampamenti di Shu distesi per settecento li tra i boschi.</t>
        </is>
      </c>
      <c r="X91" s="14" t="inlineStr">
        <is>
          <t>El fuego de setecientos li</t>
        </is>
      </c>
      <c r="Y91" s="14" t="inlineStr">
        <is>
          <t>Setecientos li de campamentos desaparecieron en una sola noche de llamas.</t>
        </is>
      </c>
      <c r="Z91" s="14" t="inlineStr">
        <is>
          <t>Para vengar a Guan Yu, Liu Bei atacó Wu con un gran ejército. Lu Xun no presentó batalla y resistió, hasta que, en pleno calor, incendió de golpe los campamentos de Shu extendidos setecientos li por el bosque.</t>
        </is>
      </c>
      <c r="AA91" s="14" t="inlineStr">
        <is>
          <t>Долоон зуун газрыг шатаасан гал</t>
        </is>
      </c>
      <c r="AB91" s="14" t="inlineStr">
        <is>
          <t>Долоон зуун газар үргэлжилсэн хуарангууд нэг шөнийн галд үгүй болов.</t>
        </is>
      </c>
      <c r="AC91" s="14" t="inlineStr">
        <is>
          <t>Гуань Юйн өшөөг авахаар Лю Бэй их цэрэг удирдан У улсыг довтлов. Лу Сюнь нүүр тулалгүй тэвчсээр байгаад, халуунд ойн дотор долоон зуун газар цувран буусан Шу улсын хуарангуудад нэгэн зэрэг гал тавьжээ.</t>
        </is>
      </c>
      <c r="AD91" s="14" t="inlineStr">
        <is>
          <t>夷陵之战</t>
        </is>
      </c>
    </row>
    <row r="92">
      <c r="A92" t="n">
        <v>91</v>
      </c>
      <c r="B92" t="inlineStr">
        <is>
          <t>백제성 탁고</t>
        </is>
      </c>
      <c r="C92" s="14" t="inlineStr">
        <is>
          <t>Liu Bei's Final Charge</t>
        </is>
      </c>
      <c r="D92" s="14" t="inlineStr">
        <is>
          <t>“Your talent is ten times Cao Pi's. If my son proves unworthy, take the throne yourself.”</t>
        </is>
      </c>
      <c r="E92" s="14" t="inlineStr">
        <is>
          <t>Defeated at Yiling, Liu Bei fell ill at Baidi and summoned Zhuge Liang. “If my son is worth supporting, support him; if not, take the throne yourself.” Weeping, Zhuge Liang swore loyalty until death.</t>
        </is>
      </c>
      <c r="F92" s="14" t="inlineStr">
        <is>
          <t>劉備、逝く</t>
        </is>
      </c>
      <c r="G92" s="14" t="inlineStr">
        <is>
          <t>「君の才は曹丕に十倍す。子が足らずば、君自ら取るべし」</t>
        </is>
      </c>
      <c r="H92" s="14" t="inlineStr">
        <is>
          <t>夷陵に敗れた劉備は白帝城で病に倒れ、諸葛亮を呼んだ。「子が補佐するに足れば助け、そうでなければ君が取れ」。諸葛亮は涙ながらに、死ぬまで忠を尽くすと答えた。</t>
        </is>
      </c>
      <c r="I92" s="14" t="inlineStr">
        <is>
          <t>劉備辭世</t>
        </is>
      </c>
      <c r="J92" s="14" t="inlineStr">
        <is>
          <t>「君才十倍曹丕。若嗣子不才，君可自取。」</t>
        </is>
      </c>
      <c r="K92" s="14" t="inlineStr">
        <is>
          <t>兵敗夷陵的劉備在白帝城病重，召來諸葛亮。「若嗣子可輔，輔之；如其不才，君可自取。」諸葛亮涕泣而答，願效忠至死。</t>
        </is>
      </c>
      <c r="L92" s="14" t="inlineStr">
        <is>
          <t>刘备驾崩</t>
        </is>
      </c>
      <c r="M92" s="14" t="inlineStr">
        <is>
          <t>「君才十倍曹丕。若嗣子不才，君可自取。」</t>
        </is>
      </c>
      <c r="N92" s="14" t="inlineStr">
        <is>
          <t>夷陵兵败的刘备在白帝城病重，召来诸葛亮。「若嗣子可辅，辅之；如其不才，君可自取。」诸葛亮泣答，愿竭股肱之力，效忠至死。</t>
        </is>
      </c>
      <c r="O92" s="14" t="inlineStr">
        <is>
          <t>A Morte de Liu Bei</t>
        </is>
      </c>
      <c r="P92" s="14" t="inlineStr">
        <is>
          <t>“Seu talento é dez vezes o de Cao Pi. Se meu filho não estiver à altura, tome o trono.”</t>
        </is>
      </c>
      <c r="Q92" s="14" t="inlineStr">
        <is>
          <t>Derrotado em Yiling, Liu Bei adoeceu em Baidi e chamou Zhuge Liang. “Se meu filho merecer ajuda, ajude-o; se não, tome o trono.” Em lágrimas, Zhuge Liang respondeu que lhe seria leal até a morte.</t>
        </is>
      </c>
      <c r="R92" s="14" t="inlineStr">
        <is>
          <t>A Morte de Liu Bei</t>
        </is>
      </c>
      <c r="S92" s="14" t="inlineStr">
        <is>
          <t>«O teu talento vale dez vezes o de Cao Pi. Se o meu filho não estiver à altura, toma o trono.»</t>
        </is>
      </c>
      <c r="T92" s="14" t="inlineStr">
        <is>
          <t>Derrotado em Yiling, Liu Bei adoeceu em Baidicheng e mandou chamar Zhuge Liang. «Se o meu filho for digno de ajuda, ajuda-o; se não for, toma tu o trono.» Zhuge Liang, em lágrimas, jurou ser-lhe leal até à morte.</t>
        </is>
      </c>
      <c r="U92" s="14" t="inlineStr">
        <is>
          <t>Gli ultimi giorni di Liu Bei</t>
        </is>
      </c>
      <c r="V92" s="14" t="inlineStr">
        <is>
          <t>«Il tuo talento vale dieci volte quello di Cao Pi. Se mio figlio non è all'altezza, prendi tu il trono.»</t>
        </is>
      </c>
      <c r="W92" s="14" t="inlineStr">
        <is>
          <t>Sconfitto a Yiling, Liu Bei si ammalò a Baidicheng e chiamò Zhuge Liang. «Se mio figlio merita di essere aiutato, aiutalo; altrimenti prendi tu il trono.» Zhuge Liang, in lacrime, rispose che gli sarebbe stato fedele fino alla morte.</t>
        </is>
      </c>
      <c r="X92" s="14" t="inlineStr">
        <is>
          <t>La muerte de Liu Bei</t>
        </is>
      </c>
      <c r="Y92" s="14" t="inlineStr">
        <is>
          <t>«Tu talento es diez veces el de Cao Pi. Si mi hijo no está a la altura, toma tú el trono.»</t>
        </is>
      </c>
      <c r="Z92" s="14" t="inlineStr">
        <is>
          <t>Derrotado en Yiling, Liu Bei enfermó en Baidicheng y llamó a Zhuge Liang. «Si mi hijo merece tu apoyo, ayúdalo; si no, toma tú el trono.» Zhuge Liang respondió entre lágrimas que le sería leal hasta la muerte.</t>
        </is>
      </c>
      <c r="AA92" s="14" t="inlineStr">
        <is>
          <t>Лю Бэй таалал төгсөв</t>
        </is>
      </c>
      <c r="AB92" s="14" t="inlineStr">
        <is>
          <t>«Чиний авьяас Цао Пигийнхээс арав дахин илүү. Хүү минь чадамжгүй бол чи өөрөө ширээг ав.»</t>
        </is>
      </c>
      <c r="AC92" s="14" t="inlineStr">
        <is>
          <t>Илинд ялагдсан Лю Бэй Байдичэнд өвчилж Чжугэ Ляныг дуудав. «Хүү минь туслах зохистой бол туслаарай, үгүй бол чи өөрөө ширээг ав.» Чжугэ Лян уйлж, үхэн үхтлээ үнэнч байхаа амлажээ.</t>
        </is>
      </c>
      <c r="AD92" s="14" t="inlineStr">
        <is>
          <t>白帝城托孤</t>
        </is>
      </c>
    </row>
    <row r="93">
      <c r="A93" t="n">
        <v>92</v>
      </c>
      <c r="B93" t="inlineStr">
        <is>
          <t>서성의 가짜 성벽</t>
        </is>
      </c>
      <c r="C93" s="14" t="inlineStr">
        <is>
          <t>Xu Sheng's False Walls</t>
        </is>
      </c>
      <c r="D93" s="14" t="inlineStr">
        <is>
          <t>Walls of reeds raised in a single night turned back Cao Pi's great army.</t>
        </is>
      </c>
      <c r="E93" s="14" t="inlineStr">
        <is>
          <t>When Cao Pi reached Guangling with a great army, Xu Sheng raised false walls of reeds and timber for hundreds of li along the river in a single night. Awed by the sight, Cao Pi withdrew, saying, “Even a thousand warriors in Wei would be of no use here.”</t>
        </is>
      </c>
      <c r="F93" s="14" t="inlineStr">
        <is>
          <t>徐盛の偽りの城壁</t>
        </is>
      </c>
      <c r="G93" s="14" t="inlineStr">
        <is>
          <t>一夜で築いた葦の城壁に、曹丕の大軍は退いた。</t>
        </is>
      </c>
      <c r="H93" s="14" t="inlineStr">
        <is>
          <t>曹丕が大軍で広陵に至ると、徐盛は川岸に葦と木で数百里の偽の城壁を一夜で築いた。曹丕はその威容に驚き「魏に武士千人ありといえども用いるところなし」と言って退いた。</t>
        </is>
      </c>
      <c r="I93" s="14" t="inlineStr">
        <is>
          <t>徐盛的假城牆</t>
        </is>
      </c>
      <c r="J93" s="14" t="inlineStr">
        <is>
          <t>一夜之間築起的蘆葦城牆，逼退了曹丕的大軍。</t>
        </is>
      </c>
      <c r="K93" s="14" t="inlineStr">
        <is>
          <t>曹丕率大軍抵達廣陵，徐盛一夜之間在江邊以蘆葦和木材築起數百里的假城牆。曹丕見其聲勢大驚，嘆道「魏雖有武士千群，無所用之」，於是撤退。</t>
        </is>
      </c>
      <c r="L93" s="14" t="inlineStr">
        <is>
          <t>徐盛的假城墙</t>
        </is>
      </c>
      <c r="M93" s="14" t="inlineStr">
        <is>
          <t>一夜筑起的芦苇城墙，吓退了曹丕的大军。</t>
        </is>
      </c>
      <c r="N93" s="14" t="inlineStr">
        <is>
          <t>曹丕率大军抵达广陵，徐盛一夜之间在江边用芦苇和木头筑起绵延数百里的假城墙。曹丕被其声势所惊，叹道「魏虽有武士千群，无所用之」，随即退兵。</t>
        </is>
      </c>
      <c r="O93" s="14" t="inlineStr">
        <is>
          <t>As Falsas Muralhas de Xu Sheng</t>
        </is>
      </c>
      <c r="P93" s="14" t="inlineStr">
        <is>
          <t>Muralhas de junco erguidas numa noite fizeram recuar o grande exército de Cao Pi.</t>
        </is>
      </c>
      <c r="Q93" s="14" t="inlineStr">
        <is>
          <t>Quando Cao Pi chegou a Guangling com um grande exército, Xu Sheng ergueu numa só noite, à beira do rio, centenas de li de falsas muralhas de junco e madeira. Assombrado, Cao Pi recuou dizendo: “Mesmo com mil guerreiros, Wei nada pode fazer aqui.”</t>
        </is>
      </c>
      <c r="R93" s="14" t="inlineStr">
        <is>
          <t>As Falsas Muralhas de Xu Sheng</t>
        </is>
      </c>
      <c r="S93" s="14" t="inlineStr">
        <is>
          <t>Muralhas de cana erguidas numa só noite fizeram recuar o grande exército de Cao Pi.</t>
        </is>
      </c>
      <c r="T93" s="14" t="inlineStr">
        <is>
          <t>Quando Cao Pi chegou a Guangling com um grande exército, Xu Sheng ergueu numa só noite, ao longo do rio, centenas de li de falsas muralhas de cana e madeira. Impressionado, Cao Pi retirou-se: «Nem mil guerreiros em Wei serviriam de nada aqui.»</t>
        </is>
      </c>
      <c r="U93" s="14" t="inlineStr">
        <is>
          <t>Le false mura di Xu Sheng</t>
        </is>
      </c>
      <c r="V93" s="14" t="inlineStr">
        <is>
          <t>Davanti a mura di canne erette in una notte, il grande esercito di Cao Pi si ritirò.</t>
        </is>
      </c>
      <c r="W93" s="14" t="inlineStr">
        <is>
          <t>Quando Cao Pi giunse a Guangling con un grande esercito, Xu Sheng eresse in una sola notte, lungo il fiume, false mura di canne e legno lunghe centinaia di li. Sbalordito da quella vista, Cao Pi si ritirò dicendo: «Anche mille guerrieri a Wei non servirebbero a nulla».</t>
        </is>
      </c>
      <c r="X93" s="14" t="inlineStr">
        <is>
          <t>La falsa muralla de Xu Sheng</t>
        </is>
      </c>
      <c r="Y93" s="14" t="inlineStr">
        <is>
          <t>Ante una muralla de cañas alzada en una noche, el gran ejército de Cao Pi se retiró.</t>
        </is>
      </c>
      <c r="Z93" s="14" t="inlineStr">
        <is>
          <t>Cuando Cao Pi llegó a Guangling con un gran ejército, Xu Sheng levantó en una sola noche, a orillas del río, cientos de li de falsas murallas de caña y madera. Impresionado, Cao Pi se retiró diciendo: «Aunque Wei tenga mil guerreros, aquí no sirven de nada».</t>
        </is>
      </c>
      <c r="AA93" s="14" t="inlineStr">
        <is>
          <t>Сюй Шэнгийн хуурамч хэрэм</t>
        </is>
      </c>
      <c r="AB93" s="14" t="inlineStr">
        <is>
          <t>Нэг шөнийн дотор босгосон зэгсэн хэрмийн өмнө Цао Пигийн их цэрэг ухарлаа.</t>
        </is>
      </c>
      <c r="AC93" s="14" t="inlineStr">
        <is>
          <t>Цао Пи их цэргээр Гуанлинд хүрэхэд Сюй Шэн голын эрэг дагуу зэгс, модоор хэдэн зуун газар үргэлжилсэн хуурамч хэрмийг нэг шөнийн дотор босгов. Цао Пи тэр сүрийг хараад цочин «Вэйд мянган дайчин байсан ч нэмэргүй» хэмээн ухарчээ.</t>
        </is>
      </c>
      <c r="AD93" s="14" t="inlineStr">
        <is>
          <t>徐盛疑城</t>
        </is>
      </c>
    </row>
    <row r="94">
      <c r="A94" t="n">
        <v>93</v>
      </c>
      <c r="B94" t="inlineStr">
        <is>
          <t>칠종칠금</t>
        </is>
      </c>
      <c r="C94" s="14" t="inlineStr">
        <is>
          <t>Seven Times Caught and Freed</t>
        </is>
      </c>
      <c r="D94" s="14" t="inlineStr">
        <is>
          <t>Captured seven times and released seven times, the Nanman submitted in their hearts.</t>
        </is>
      </c>
      <c r="E94" s="14" t="inlineStr">
        <is>
          <t>When Meng Huo of the Nanman rebelled, Zhuge Liang led the southern campaign himself. He captured Meng Huo seven times and released him seven times, until at last Meng Huo submitted with all his heart. In the Romance, Lady Zhurong and Wu Lan also take the field.</t>
        </is>
      </c>
      <c r="F94" s="14" t="inlineStr">
        <is>
          <t>七度捕らえ、七度放つ</t>
        </is>
      </c>
      <c r="G94" s="14" t="inlineStr">
        <is>
          <t>七度捕らえて七度放つと、南蛮は心から服した。</t>
        </is>
      </c>
      <c r="H94" s="14" t="inlineStr">
        <is>
          <t>南蛮の孟獲が反乱を起こすと、諸葛亮は自ら南征に出た。七度捕らえて七度放つと、孟獲はついに心から服した。演義では祝融夫人と呉蘭も登場する。</t>
        </is>
      </c>
      <c r="I94" s="14" t="inlineStr">
        <is>
          <t>七擒七縱</t>
        </is>
      </c>
      <c r="J94" s="14" t="inlineStr">
        <is>
          <t>七次擒住又七次放走，南蠻終於心悅誠服。</t>
        </is>
      </c>
      <c r="K94" s="14" t="inlineStr">
        <is>
          <t>南蠻孟獲起兵叛亂，諸葛亮親自南征。七擒七縱之後，孟獲終於心服。演義中祝融夫人與吳蘭也登場出陣。</t>
        </is>
      </c>
      <c r="L94" s="14" t="inlineStr">
        <is>
          <t>七擒七纵</t>
        </is>
      </c>
      <c r="M94" s="14" t="inlineStr">
        <is>
          <t>七擒七纵，南蛮心悦诚服。</t>
        </is>
      </c>
      <c r="N94" s="14" t="inlineStr">
        <is>
          <t>南蛮孟获起兵反叛，诸葛亮亲自南征。七次擒获又七次释放，孟获终于心服。演义中祝融夫人与吴兰也登场了。</t>
        </is>
      </c>
      <c r="O94" s="14" t="inlineStr">
        <is>
          <t>Sete Vezes Preso, Sete Vezes Solto</t>
        </is>
      </c>
      <c r="P94" s="14" t="inlineStr">
        <is>
          <t>Preso sete vezes e solto sete vezes, o rei do sul se rendeu de coração.</t>
        </is>
      </c>
      <c r="Q94" s="14" t="inlineStr">
        <is>
          <t>Quando Meng Huo, dos Nanman, se rebelou, Zhuge Liang liderou pessoalmente a campanha do sul. Capturou-o sete vezes e sete vezes o soltou, até que Meng Huo se rendeu de coração. No Romance, a Dama Zhurong e Wu Lan também entram na luta.</t>
        </is>
      </c>
      <c r="R94" s="14" t="inlineStr">
        <is>
          <t>Sete Vezes Preso, Sete Libertado</t>
        </is>
      </c>
      <c r="S94" s="14" t="inlineStr">
        <is>
          <t>Capturado sete vezes e sete vezes libertado, o povo Man do sul submeteu-se de coração.</t>
        </is>
      </c>
      <c r="T94" s="14" t="inlineStr">
        <is>
          <t>Quando Meng Huo, dos Man do sul, se revoltou, Zhuge Liang conduziu em pessoa a campanha do sul. Capturou-o sete vezes e sete vezes o libertou, até Meng Huo se submeter de coração. No Romance, também a Dama Zhurong e Wu Lan entram em cena.</t>
        </is>
      </c>
      <c r="U94" s="14" t="inlineStr">
        <is>
          <t>Sette catture, sette rilasci</t>
        </is>
      </c>
      <c r="V94" s="14" t="inlineStr">
        <is>
          <t>Catturato e liberato sette volte, il popolo dei Nanman si sottomise col cuore.</t>
        </is>
      </c>
      <c r="W94" s="14" t="inlineStr">
        <is>
          <t>Quando Meng Huo dei Nanman si ribellò, Zhuge Liang guidò di persona la campagna del sud. Lo catturò sette volte e sette volte lo liberò, finché Meng Huo si sottomise col cuore. Nel Romanzo scendono in campo anche la Signora Zhurong e Wu Lan.</t>
        </is>
      </c>
      <c r="X94" s="14" t="inlineStr">
        <is>
          <t>Siete veces preso, siete libre</t>
        </is>
      </c>
      <c r="Y94" s="14" t="inlineStr">
        <is>
          <t>Siete veces lo capturó y siete veces lo liberó, hasta que los Nanman se sometieron de corazón.</t>
        </is>
      </c>
      <c r="Z94" s="14" t="inlineStr">
        <is>
          <t>Cuando Meng Huo, de los Nanman, se rebeló, Zhuge Liang encabezó en persona la campaña del sur. Siete veces lo capturó y siete veces lo dejó libre, hasta que Meng Huo se sometió de corazón. En la novela también aparecen la Señora Zhurong y Wu Lan.</t>
        </is>
      </c>
      <c r="AA94" s="14" t="inlineStr">
        <is>
          <t>Долоо барьж долоо суллав</t>
        </is>
      </c>
      <c r="AB94" s="14" t="inlineStr">
        <is>
          <t>Долоо удаа барьж, долоо удаа суллахад өмнөд варварууд сэтгэлээсээ дагав.</t>
        </is>
      </c>
      <c r="AC94" s="14" t="inlineStr">
        <is>
          <t>Өмнөд варваруудын Мэн Хуо бослого гаргахад Чжугэ Лян өөрөө өмнөд аянд мордов. Долоо удаа олзолж, долоо удаа суллахад Мэн Хуо эцэст нь сэтгэлээсээ дагажээ. Туужид Чжужун хатан, У Лань нар ч тулалдаанд гардаг.</t>
        </is>
      </c>
      <c r="AD94" s="14" t="inlineStr">
        <is>
          <t>七纵七擒</t>
        </is>
      </c>
    </row>
    <row r="95">
      <c r="A95" t="n">
        <v>94</v>
      </c>
      <c r="B95" t="inlineStr">
        <is>
          <t>출사표</t>
        </is>
      </c>
      <c r="C95" s="14" t="inlineStr">
        <is>
          <t>The Memorial on Deployment</t>
        </is>
      </c>
      <c r="D95" s="14" t="inlineStr">
        <is>
          <t>“I was by origin a commoner, tilling the fields myself in Nanyang.”</t>
        </is>
      </c>
      <c r="E95" s="14" t="inlineStr">
        <is>
          <t>Having pacified the south, Zhuge Liang presented a memorial to the young emperor Liu Shan before the northern campaign. Opening with “I was by origin a commoner, tilling the fields myself in Nanyang,” it has been handed down for a thousand years as the writing of a loyal minister.</t>
        </is>
      </c>
      <c r="F95" s="14" t="inlineStr">
        <is>
          <t>出師の表</t>
        </is>
      </c>
      <c r="G95" s="14" t="inlineStr">
        <is>
          <t>「臣はもと布衣、躬ら南陽に耕す」</t>
        </is>
      </c>
      <c r="H95" s="14" t="inlineStr">
        <is>
          <t>南蛮を平定した諸葛亮は、北伐を前に幼い皇帝・劉禅へ上表した。「臣はもと布衣、躬ら南陽に耕す」で始まる出師の表は、忠臣の文として千年を伝えられた。</t>
        </is>
      </c>
      <c r="I95" s="14" t="inlineStr">
        <is>
          <t>出師表</t>
        </is>
      </c>
      <c r="J95" s="14" t="inlineStr">
        <is>
          <t>「臣本布衣，躬耕於南陽。」</t>
        </is>
      </c>
      <c r="K95" s="14" t="inlineStr">
        <is>
          <t>平定南蠻的諸葛亮在北伐前夕，向年幼的皇帝劉禪上表。以「臣本布衣，躬耕於南陽」開頭的〈出師表〉，作為忠臣之文流傳了千年。</t>
        </is>
      </c>
      <c r="L95" s="14" t="inlineStr">
        <is>
          <t>出师表</t>
        </is>
      </c>
      <c r="M95" s="14" t="inlineStr">
        <is>
          <t>「臣本布衣，躬耕于南阳。」</t>
        </is>
      </c>
      <c r="N95" s="14" t="inlineStr">
        <is>
          <t>平定南蛮后，诸葛亮在北伐前向年少的皇帝刘禅上表。以「臣本布衣，躬耕于南阳」开篇的出师表，作为忠臣之文流传千年。</t>
        </is>
      </c>
      <c r="O95" s="14" t="inlineStr">
        <is>
          <t>O Memorial de Partida</t>
        </is>
      </c>
      <c r="P95" s="14" t="inlineStr">
        <is>
          <t>“Vosso servo era um plebeu que lavrava a terra em Nanyang.”</t>
        </is>
      </c>
      <c r="Q95" s="14" t="inlineStr">
        <is>
          <t>Pacificado o sul, e às vésperas das expedições ao norte, Zhuge Liang apresentou um memorial ao jovem imperador Liu Shan. Começando com “vosso servo era um plebeu que lavrava a terra em Nanyang”, o texto atravessou mil anos como a carta de um súdito leal.</t>
        </is>
      </c>
      <c r="R95" s="14" t="inlineStr">
        <is>
          <t>O Memorial da Partida</t>
        </is>
      </c>
      <c r="S95" s="14" t="inlineStr">
        <is>
          <t>«Eu era, de início, um homem do povo, que lavrava a terra em Nanyang.»</t>
        </is>
      </c>
      <c r="T95" s="14" t="inlineStr">
        <is>
          <t>Pacificado o sul, Zhuge Liang dirigiu um memorial ao jovem imperador Liu Shan antes da campanha do norte. Começando por «eu era, de início, um homem do povo, que lavrava a terra em Nanyang», o Memorial da Partida chegou até nós ao longo de mil anos como o texto do súbdito leal.</t>
        </is>
      </c>
      <c r="U95" s="14" t="inlineStr">
        <is>
          <t>Il memoriale della spedizione</t>
        </is>
      </c>
      <c r="V95" s="14" t="inlineStr">
        <is>
          <t>«Vostro servo era in origine un uomo comune, che arava di persona i campi a Nanyang.»</t>
        </is>
      </c>
      <c r="W95" s="14" t="inlineStr">
        <is>
          <t>Pacificato il sud, alla vigilia della spedizione a nord Zhuge Liang presentò un memoriale al giovane imperatore Liu Shan. Il «Memoriale della spedizione», che si apre con «Vostro servo era in origine un uomo comune, che arava di persona i campi a Nanyang», è giunto attraverso mille anni come lo scritto di un servitore leale.</t>
        </is>
      </c>
      <c r="X95" s="14" t="inlineStr">
        <is>
          <t>El memorial de la campaña</t>
        </is>
      </c>
      <c r="Y95" s="14" t="inlineStr">
        <is>
          <t>«Vuestro servidor era un hombre del pueblo que labraba la tierra con sus manos en Nanyang.»</t>
        </is>
      </c>
      <c r="Z95" s="14" t="inlineStr">
        <is>
          <t>Pacificado el sur, y antes de marchar al norte, Zhuge Liang presentó un memorial al joven emperador Liu Shan. Comenzaba así: «Vuestro servidor era un hombre del pueblo que labraba la tierra en Nanyang», y se transmitió mil años como el escrito de un súbdito leal.</t>
        </is>
      </c>
      <c r="AA95" s="14" t="inlineStr">
        <is>
          <t>Аянд мордох айлтгал</t>
        </is>
      </c>
      <c r="AB95" s="14" t="inlineStr">
        <is>
          <t>«Түшмэл би угаас энгийн хувцастан бөгөөд Наньянд өөрөө газар хагалж явсан билээ.»</t>
        </is>
      </c>
      <c r="AC95" s="14" t="inlineStr">
        <is>
          <t>Өмнөд варваруудыг тогтоосон Чжугэ Лян хойд аяны өмнө бага насны хаан Лю Шаньд айлтгал өргөв. «Түшмэл би угаас энгийн хувцастан бөгөөд Наньянд өөрөө газар хагалж явсан билээ» хэмээн эхэлдэг тэрхүү айлтгал үнэнч түшмэлийн бичиг болж мянган жил уламжлагджээ.</t>
        </is>
      </c>
      <c r="AD95" s="14" t="inlineStr">
        <is>
          <t>出师表</t>
        </is>
      </c>
    </row>
    <row r="96">
      <c r="A96" t="n">
        <v>95</v>
      </c>
      <c r="B96" t="inlineStr">
        <is>
          <t>오두미도</t>
        </is>
      </c>
      <c r="C96" s="14" t="inlineStr">
        <is>
          <t>The Five Pecks of Rice</t>
        </is>
      </c>
      <c r="D96" s="14" t="inlineStr">
        <is>
          <t>The sect of Hanzhong that promised healing for five pecks of rice.</t>
        </is>
      </c>
      <c r="E96" s="14" t="inlineStr">
        <is>
          <t>Zhang Lu led the Way of the Five Pecks of Rice in Hanzhong. He healed the sick for five pecks of rice and built charity lodges by the roads that gave travelers rice and meat. Even when he surrendered to Cao Cao, he sealed the storehouses before he left.</t>
        </is>
      </c>
      <c r="F96" s="14" t="inlineStr">
        <is>
          <t>米五斗の教団</t>
        </is>
      </c>
      <c r="G96" s="14" t="inlineStr">
        <is>
          <t>米五斗を納めれば病を治すという、漢中の教団。</t>
        </is>
      </c>
      <c r="H96" s="14" t="inlineStr">
        <is>
          <t>張魯は漢中で五斗米道を率いた。病める者を癒して米五斗を受け、道端に義舎を建てて旅人に米と肉を振る舞った。曹操に降る時も、倉を封じてから去った。</t>
        </is>
      </c>
      <c r="I96" s="14" t="inlineStr">
        <is>
          <t>五斗米的教團</t>
        </is>
      </c>
      <c r="J96" s="14" t="inlineStr">
        <is>
          <t>獻上五斗米便能治病的漢中教團。</t>
        </is>
      </c>
      <c r="K96" s="14" t="inlineStr">
        <is>
          <t>張魯在漢中主持五斗米道。為病者治病，收米五斗，又在路旁設立義舍，供旅人米肉。投降曹操時，他也封存倉庫才離去。</t>
        </is>
      </c>
      <c r="L96" s="14" t="inlineStr">
        <is>
          <t>五斗米之教</t>
        </is>
      </c>
      <c r="M96" s="14" t="inlineStr">
        <is>
          <t>汉中的教团，相传献米五斗便为人治病。</t>
        </is>
      </c>
      <c r="N96" s="14" t="inlineStr">
        <is>
          <t>张鲁在汉中统领五斗米道。为病者治病、收米五斗，又在路旁设义舍，给行人提供米肉。投降曹操时，他也封存了仓库才离去。</t>
        </is>
      </c>
      <c r="O96" s="14" t="inlineStr">
        <is>
          <t>A Seita das Cinco Medidas</t>
        </is>
      </c>
      <c r="P96" s="14" t="inlineStr">
        <is>
          <t>A seita de Hanzhong que curava doenças em troca de cinco medidas de arroz.</t>
        </is>
      </c>
      <c r="Q96" s="14" t="inlineStr">
        <is>
          <t>Zhang Lu liderava em Hanzhong o Caminho das Cinco Medidas de Arroz. Curava os doentes, recebia cinco medidas de arroz e ergueu à beira das estradas abrigos de caridade que davam arroz e carne aos viajantes. Até ao se render a Cao Cao, lacrou os celeiros antes de partir.</t>
        </is>
      </c>
      <c r="R96" s="14" t="inlineStr">
        <is>
          <t>A Seita das Cinco Medidas de Arroz</t>
        </is>
      </c>
      <c r="S96" s="14" t="inlineStr">
        <is>
          <t>A seita de Hanzhong que curava doentes a troco de cinco medidas de arroz.</t>
        </is>
      </c>
      <c r="T96" s="14" t="inlineStr">
        <is>
          <t>Zhang Lu dirigia em Hanzhong o Caminho das Cinco Medidas de Arroz. Curava os doentes, recebia cinco medidas de arroz e ergueu à beira das estradas abrigos da justiça que davam arroz e carne aos viajantes. Mesmo ao render-se a Cao Cao, selou os celeiros antes de partir.</t>
        </is>
      </c>
      <c r="U96" s="14" t="inlineStr">
        <is>
          <t>La setta delle cinque staia</t>
        </is>
      </c>
      <c r="V96" s="14" t="inlineStr">
        <is>
          <t>La setta di Hanzhong che guariva i malati in cambio di cinque staia di riso.</t>
        </is>
      </c>
      <c r="W96" s="14" t="inlineStr">
        <is>
          <t>Zhang Lu guidava a Hanzhong la Via delle Cinque Staia di Riso. Curava i malati in cambio di cinque staia di riso e lungo le strade eresse ospizi che offrivano riso e carne ai viandanti. Anche arrendendosi a Cao Cao, sigillò i magazzini prima di partire.</t>
        </is>
      </c>
      <c r="X96" s="14" t="inlineStr">
        <is>
          <t>La secta de los cinco celemines</t>
        </is>
      </c>
      <c r="Y96" s="14" t="inlineStr">
        <is>
          <t>La secta de Hanzhong que curaba enfermos a cambio de cinco celemines de arroz.</t>
        </is>
      </c>
      <c r="Z96" s="14" t="inlineStr">
        <is>
          <t>Zhang Lu dirigía en Hanzhong el Camino de los Cinco Celemines de Arroz. Curaba a los enfermos a cambio de cinco celemines de arroz y alzó posadas de caridad junto a los caminos, donde los viajeros recibían arroz y carne. Incluso al rendirse a Cao Cao, selló los almacenes antes de irse.</t>
        </is>
      </c>
      <c r="AA96" s="14" t="inlineStr">
        <is>
          <t>Таван шанага будааны шашин</t>
        </is>
      </c>
      <c r="AB96" s="14" t="inlineStr">
        <is>
          <t>Таван шанага будаа өргөвөл өвчин эдгээнэ гэдэг Ханьчжуны шашин.</t>
        </is>
      </c>
      <c r="AC96" s="14" t="inlineStr">
        <is>
          <t>Чжан Лу Ханьчжунд Таван шанага будааны шашныг удирдаж байв. Өвчтөнийг эдгээж таван шанага будаа авдаг бөгөөд замын хажууд буяны байр барьж аянчдад будаа, мах өгдөг байв. Цао Цаод бууж өгөхдөө ч агуулахаа битүүмжлээд явжээ.</t>
        </is>
      </c>
      <c r="AD96" s="14" t="inlineStr">
        <is>
          <t>五斗米道</t>
        </is>
      </c>
    </row>
    <row r="97">
      <c r="A97" t="n">
        <v>96</v>
      </c>
      <c r="B97" t="inlineStr">
        <is>
          <t>천수의 강유</t>
        </is>
      </c>
      <c r="C97" s="14" t="inlineStr">
        <is>
          <t>Zhuge Liang Meets Jiang Wei</t>
        </is>
      </c>
      <c r="D97" s="14" t="inlineStr">
        <is>
          <t>The young general who saw through Zhuge Liang's ruse became his disciple.</t>
        </is>
      </c>
      <c r="E97" s="14" t="inlineStr">
        <is>
          <t>On the first northern campaign, a young general of Tianshui saw through Zhuge Liang's ruse. Prizing his talent, Zhuge Liang won him over with a stratagem, and Jiang Wei became Zhuge Liang's disciple.</t>
        </is>
      </c>
      <c r="F97" s="14" t="inlineStr">
        <is>
          <t>諸葛亮、姜維を得る</t>
        </is>
      </c>
      <c r="G97" s="14" t="inlineStr">
        <is>
          <t>諸葛亮の策を見抜いた若き将は、そのまま彼の弟子となった。</t>
        </is>
      </c>
      <c r="H97" s="14" t="inlineStr">
        <is>
          <t>最初の北伐で、諸葛亮の策を見抜いた天水の若き将がいた。諸葛亮はその才を惜しんで計略で彼を得、姜維はそのまま諸葛亮の弟子となった。</t>
        </is>
      </c>
      <c r="I97" s="14" t="inlineStr">
        <is>
          <t>諸葛亮得姜維</t>
        </is>
      </c>
      <c r="J97" s="14" t="inlineStr">
        <is>
          <t>看穿諸葛亮計謀的年輕將領，就此成了他的弟子。</t>
        </is>
      </c>
      <c r="K97" s="14" t="inlineStr">
        <is>
          <t>第一次北伐時，天水有位年輕將領看穿了諸葛亮的計謀。諸葛亮愛惜其才，以計將他收服，姜維便成了諸葛亮的弟子。</t>
        </is>
      </c>
      <c r="L97" s="14" t="inlineStr">
        <is>
          <t>诸葛亮遇姜维</t>
        </is>
      </c>
      <c r="M97" s="14" t="inlineStr">
        <is>
          <t>看穿诸葛亮计谋的年轻将领，从此成了他的弟子。</t>
        </is>
      </c>
      <c r="N97" s="14" t="inlineStr">
        <is>
          <t>首次北伐时，天水有一位看穿诸葛亮计谋的年轻将领。诸葛亮爱惜其才，以计收服了他，姜维从此成为诸葛亮的弟子。</t>
        </is>
      </c>
      <c r="O97" s="14" t="inlineStr">
        <is>
          <t>Zhuge Liang Encontra Jiang Wei</t>
        </is>
      </c>
      <c r="P97" s="14" t="inlineStr">
        <is>
          <t>O jovem general que desvendou os planos de Zhuge Liang tornou-se seu discípulo.</t>
        </is>
      </c>
      <c r="Q97" s="14" t="inlineStr">
        <is>
          <t>Na primeira expedição ao norte, um jovem general de Tianshui desvendou os planos de Zhuge Liang. Admirando seu talento, Zhuge Liang o conquistou com um estratagema, e Jiang Wei tornou-se seu discípulo.</t>
        </is>
      </c>
      <c r="R97" s="14" t="inlineStr">
        <is>
          <t>Zhuge Liang Encontra Jiang Wei</t>
        </is>
      </c>
      <c r="S97" s="14" t="inlineStr">
        <is>
          <t>O jovem general que desvendou o plano de Zhuge Liang tornou-se seu discípulo.</t>
        </is>
      </c>
      <c r="T97" s="14" t="inlineStr">
        <is>
          <t>Na primeira campanha do norte, um jovem general de Tianshui desvendou os planos de Zhuge Liang. Zhuge Liang, que lhe admirava o talento, conquistou-o com um ardil, e Jiang Wei tornou-se seu discípulo.</t>
        </is>
      </c>
      <c r="U97" s="14" t="inlineStr">
        <is>
          <t>Zhuge Liang incontra Jiang Wei</t>
        </is>
      </c>
      <c r="V97" s="14" t="inlineStr">
        <is>
          <t>Il giovane generale che aveva smascherato il piano di Zhuge Liang ne divenne il discepolo.</t>
        </is>
      </c>
      <c r="W97" s="14" t="inlineStr">
        <is>
          <t>Nella prima spedizione a nord c'era un giovane generale di Tianshui che smascherò gli stratagemmi di Zhuge Liang. Zhuge Liang, che ne ammirava il talento, lo conquistò con un piano, e Jiang Wei divenne suo discepolo.</t>
        </is>
      </c>
      <c r="X97" s="14" t="inlineStr">
        <is>
          <t>Zhuge Liang conoce a Jiang Wei</t>
        </is>
      </c>
      <c r="Y97" s="14" t="inlineStr">
        <is>
          <t>El joven general que vio a través de las tretas de Zhuge Liang terminó siendo su discípulo.</t>
        </is>
      </c>
      <c r="Z97" s="14" t="inlineStr">
        <is>
          <t>En la primera campaña del norte, un joven general de Tianshui descubrió las tretas de Zhuge Liang. Prendado de su talento, Zhuge Liang se lo ganó con un plan, y Jiang Wei se convirtió en su discípulo.</t>
        </is>
      </c>
      <c r="AA97" s="14" t="inlineStr">
        <is>
          <t>Чжугэ Лян Цзян Вэйтэй учрав</t>
        </is>
      </c>
      <c r="AB97" s="14" t="inlineStr">
        <is>
          <t>Чжугэ Ляны заль мэхийг тайлсан залуу жанжин тэр чигээрээ шавь нь болов.</t>
        </is>
      </c>
      <c r="AC97" s="14" t="inlineStr">
        <is>
          <t>Анхны хойд аянд Чжугэ Ляны залийг тайлсан Тяньшуйн залуу жанжин байв. Чжугэ Лян түүний авьяасыг хайрлан заль хэрэглэж түүнийг олж авсан бөгөөд Цзян Вэй тэр чигээрээ Чжугэ Ляны шавь болжээ.</t>
        </is>
      </c>
      <c r="AD97" s="14" t="inlineStr">
        <is>
          <t>天水姜维</t>
        </is>
      </c>
    </row>
    <row r="98">
      <c r="A98" t="n">
        <v>97</v>
      </c>
      <c r="B98" t="inlineStr">
        <is>
          <t>가정</t>
        </is>
      </c>
      <c r="C98" s="14" t="inlineStr">
        <is>
          <t>Camp on the Hilltop</t>
        </is>
      </c>
      <c r="D98" s="14" t="inlineStr">
        <is>
          <t>Wang Ping warned him not to camp on the hill.</t>
        </is>
      </c>
      <c r="E98" s="14" t="inlineStr">
        <is>
          <t>Zhuge Liang entrusted the vital defense of Jieting to Ma Su. Ma Su ignored Wang Ping's warning not to camp on the hill, and when Zhang He cut off his water, he was crushed. The first northern campaign collapsed there.</t>
        </is>
      </c>
      <c r="F98" s="14" t="inlineStr">
        <is>
          <t>山上に陣を敷く</t>
        </is>
      </c>
      <c r="G98" s="14" t="inlineStr">
        <is>
          <t>王平は、山の上に陣を敷くなと言った。</t>
        </is>
      </c>
      <c r="H98" s="14" t="inlineStr">
        <is>
          <t>諸葛亮は街亭を守る重任を馬謖に託した。馬謖は「山上に陣を敷くな」という王平の言葉を聞かず、張郃に水の手を断たれて大敗した。最初の北伐はここで崩れた。</t>
        </is>
      </c>
      <c r="I98" s="14" t="inlineStr">
        <is>
          <t>山上紮營</t>
        </is>
      </c>
      <c r="J98" s="14" t="inlineStr">
        <is>
          <t>王平說過，不可在山上紮營。</t>
        </is>
      </c>
      <c r="K98" s="14" t="inlineStr">
        <is>
          <t>諸葛亮把鎮守街亭的重任交給馬謖。馬謖不聽王平「勿在山上紮營」之言，被張郃切斷水源而大敗。第一次北伐就此崩潰。</t>
        </is>
      </c>
      <c r="L98" s="14" t="inlineStr">
        <is>
          <t>山上扎营</t>
        </is>
      </c>
      <c r="M98" s="14" t="inlineStr">
        <is>
          <t>王平曾劝他不要在山上扎营。</t>
        </is>
      </c>
      <c r="N98" s="14" t="inlineStr">
        <is>
          <t>诸葛亮把镇守街亭的重任交给马谡。马谡不听王平「勿在山上扎营」之言，被张郃断了水源，大败而归。首次北伐就此崩溃。</t>
        </is>
      </c>
      <c r="O98" s="14" t="inlineStr">
        <is>
          <t>Acampamento no Alto do Monte</t>
        </is>
      </c>
      <c r="P98" s="14" t="inlineStr">
        <is>
          <t>Wang Ping disse para não acampar no alto do monte.</t>
        </is>
      </c>
      <c r="Q98" s="14" t="inlineStr">
        <is>
          <t>Zhuge Liang confiou a Ma Su a missão vital de defender Jieting. Ma Su ignorou o conselho de Wang Ping — “não acampe no alto do monte” —, teve a água cortada por Zhang He e foi esmagado. A primeira expedição ao norte desmoronou ali.</t>
        </is>
      </c>
      <c r="R98" s="14" t="inlineStr">
        <is>
          <t>Acampar no Alto do Monte</t>
        </is>
      </c>
      <c r="S98" s="14" t="inlineStr">
        <is>
          <t>Wang Ping avisou: não acampes no alto do monte.</t>
        </is>
      </c>
      <c r="T98" s="14" t="inlineStr">
        <is>
          <t>Zhuge Liang confiou a Ma Su a missão crucial de defender Jieting. Ma Su ignorou o aviso de Wang Ping — «não acampes no alto do monte» — e, com o acesso à água cortado por Zhang He, sofreu uma derrota pesada. A primeira campanha do norte desfez-se ali.</t>
        </is>
      </c>
      <c r="U98" s="14" t="inlineStr">
        <is>
          <t>L'accampamento sulla collina</t>
        </is>
      </c>
      <c r="V98" s="14" t="inlineStr">
        <is>
          <t>Wang Ping aveva detto di non accamparsi sulla collina.</t>
        </is>
      </c>
      <c r="W98" s="14" t="inlineStr">
        <is>
          <t>Zhuge Liang affidò a Ma Su il compito cruciale di difendere Jieting. Ma Su ignorò il consiglio di Wang Ping di «non accamparsi sulla collina» e, tagliato fuori dall'acqua da Zhang He, subì una disfatta. La prima spedizione a nord crollò qui.</t>
        </is>
      </c>
      <c r="X98" s="14" t="inlineStr">
        <is>
          <t>Acampar en la cima</t>
        </is>
      </c>
      <c r="Y98" s="14" t="inlineStr">
        <is>
          <t>Wang Ping le dijo que no acampara en la cima.</t>
        </is>
      </c>
      <c r="Z98" s="14" t="inlineStr">
        <is>
          <t>Zhuge Liang confió a Ma Su la grave tarea de defender Jieting. Ma Su ignoró a Wang Ping, que le advirtió «no acampes en la cima», y Zhang He le cortó el agua y lo aplastó. Ahí se vino abajo la primera campaña del norte.</t>
        </is>
      </c>
      <c r="AA98" s="14" t="inlineStr">
        <is>
          <t>Уулан дээр буудаллав</t>
        </is>
      </c>
      <c r="AB98" s="14" t="inlineStr">
        <is>
          <t>Ван Пин уулан дээр бүү буудалла гэж хэлсэн юм.</t>
        </is>
      </c>
      <c r="AC98" s="14" t="inlineStr">
        <is>
          <t>Чжугэ Лян Цзетинийг сахих хүнд үүргийг Ма Сугийн гарт даатгав. Ма Су «Уулан дээр бүү буудалла» гэсэн Ван Пины үгийг сонссонгүй, Чжан Хэд усны замаа тасалдуулж бут ниргүүлэв. Анхны хойд аян энд нурав.</t>
        </is>
      </c>
      <c r="AD98" s="14" t="inlineStr">
        <is>
          <t>街亭</t>
        </is>
      </c>
    </row>
    <row r="99">
      <c r="A99" t="n">
        <v>98</v>
      </c>
      <c r="B99" t="inlineStr">
        <is>
          <t>공성계</t>
        </is>
      </c>
      <c r="C99" s="14" t="inlineStr">
        <is>
          <t>Empty Fort Strategy</t>
        </is>
      </c>
      <c r="D99" s="14" t="inlineStr">
        <is>
          <t>He threw the gates wide open and played the zither on the walls.</t>
        </is>
      </c>
      <c r="E99" s="14" t="inlineStr">
        <is>
          <t>After Jieting was lost, Sima Yi's great army bore down on Zhuge Liang, left behind at Xicheng. Zhuge Liang threw open the gates and played his zither on the wall, and the Romance says Sima Yi, suspecting an ambush, withdrew.</t>
        </is>
      </c>
      <c r="F99" s="14" t="inlineStr">
        <is>
          <t>空城の計</t>
        </is>
      </c>
      <c r="G99" s="14" t="inlineStr">
        <is>
          <t>城門を大きく開け、城楼で琴を弾いた。</t>
        </is>
      </c>
      <c r="H99" s="14" t="inlineStr">
        <is>
          <t>街亭を失い西城に残った諸葛亮のもとへ、司馬懿の大軍が押し寄せた。諸葛亮は城門を大きく開け放って城楼で琴を弾き、伏兵を疑った司馬懿は退いたと演義は伝える。</t>
        </is>
      </c>
      <c r="I99" s="14" t="inlineStr">
        <is>
          <t>撫琴的諸葛亮</t>
        </is>
      </c>
      <c r="J99" s="14" t="inlineStr">
        <is>
          <t>大開城門，在城樓上撫琴。</t>
        </is>
      </c>
      <c r="K99" s="14" t="inlineStr">
        <is>
          <t>失了街亭、留在西城的諸葛亮，面對司馬懿大軍壓境。演義說，他大開城門在城樓上撫琴，司馬懿疑有伏兵，於是退去。</t>
        </is>
      </c>
      <c r="L99" s="14" t="inlineStr">
        <is>
          <t>城楼抚琴</t>
        </is>
      </c>
      <c r="M99" s="14" t="inlineStr">
        <is>
          <t>大开城门，在城楼上抚琴。</t>
        </is>
      </c>
      <c r="N99" s="14" t="inlineStr">
        <is>
          <t>失了街亭、留在西城的诸葛亮面前，司马懿大军压境。演义说，诸葛亮大开城门，在城楼上抚琴，司马懿疑有伏兵，引军退去。</t>
        </is>
      </c>
      <c r="O99" s="14" t="inlineStr">
        <is>
          <t>Estratégia da Fortaleza Vazia</t>
        </is>
      </c>
      <c r="P99" s="14" t="inlineStr">
        <is>
          <t>Abriu os portões de par em par e tocou cítara no alto da muralha.</t>
        </is>
      </c>
      <c r="Q99" s="14" t="inlineStr">
        <is>
          <t>Perdida Jieting, o grande exército de Sima Yi avançou sobre Zhuge Liang, que ficara em Xicheng. Ele escancarou os portões e tocou cítara no alto da muralha, e Sima Yi, temendo uma emboscada, recuou — assim conta o Romance.</t>
        </is>
      </c>
      <c r="R99" s="14" t="inlineStr">
        <is>
          <t>Estratégia da Fortaleza Vazia</t>
        </is>
      </c>
      <c r="S99" s="14" t="inlineStr">
        <is>
          <t>Abriu as portas da cidade de par em par e tocou cítara na muralha.</t>
        </is>
      </c>
      <c r="T99" s="14" t="inlineStr">
        <is>
          <t>Perdida Jieting, Zhuge Liang ficou em Xicheng quando o grande exército de Sima Yi avançou sobre ele. Abriu as portas de par em par e pôs-se a tocar cítara no alto da muralha, e Sima Yi, suspeitando de uma emboscada, retirou-se — conta o Romance.</t>
        </is>
      </c>
      <c r="U99" s="14" t="inlineStr">
        <is>
          <t>Lo stratagemma della fortezza vuota</t>
        </is>
      </c>
      <c r="V99" s="14" t="inlineStr">
        <is>
          <t>Spalancò le porte della città e suonò la cetra sulle mura.</t>
        </is>
      </c>
      <c r="W99" s="14" t="inlineStr">
        <is>
          <t>Perduta Jieting, Zhuge Liang era rimasto a Xicheng quando sopraggiunse il grande esercito di Sima Yi. Zhuge Liang spalancò le porte e suonò la cetra sulle mura, e Sima Yi, temendo un'imboscata, si ritirò, narra il Romanzo.</t>
        </is>
      </c>
      <c r="X99" s="14" t="inlineStr">
        <is>
          <t>La estratagema de la ciudad vacía</t>
        </is>
      </c>
      <c r="Y99" s="14" t="inlineStr">
        <is>
          <t>Abrió de par en par las puertas y tocó la cítara en lo alto de la muralla.</t>
        </is>
      </c>
      <c r="Z99" s="14" t="inlineStr">
        <is>
          <t>Perdida Jieting, el gran ejército de Sima Yi cayó sobre Zhuge Liang, que estaba en Xicheng. Zhuge Liang abrió las puertas de par en par y se puso a tocar la cítara en la muralla; la novela cuenta que Sima Yi, sospechando una emboscada, se retiró.</t>
        </is>
      </c>
      <c r="AA99" s="14" t="inlineStr">
        <is>
          <t>Хуур тоглосон Чжугэ Лян</t>
        </is>
      </c>
      <c r="AB99" s="14" t="inlineStr">
        <is>
          <t>Хотын хаалгыг ангалзтал нээгээд хэрмийн цамхагт хуур тоглов.</t>
        </is>
      </c>
      <c r="AC99" s="14" t="inlineStr">
        <is>
          <t>Цзетинийг алдаж Сичэнд үлдсэн Чжугэ Лян руу Сыма Ийн их цэрэг довтлон ирэв. Чжугэ Лян хотын хаалгыг ангалзтал нээж хэрмийн цамхагт хуур тоглоход отолт байна хэмээн сэжиглэсэн Сыма И ухарсан гэж туужид өгүүлдэг.</t>
        </is>
      </c>
      <c r="AD99" s="14" t="inlineStr">
        <is>
          <t>空城计</t>
        </is>
      </c>
    </row>
    <row r="100">
      <c r="A100" t="n">
        <v>99</v>
      </c>
      <c r="B100" t="inlineStr">
        <is>
          <t>진창 수성</t>
        </is>
      </c>
      <c r="C100" s="14" t="inlineStr">
        <is>
          <t>Twenty Days at Chencang</t>
        </is>
      </c>
      <c r="D100" s="14" t="inlineStr">
        <is>
          <t>With barely a thousand men he held off tens of thousands of Shu troops for over twenty days.</t>
        </is>
      </c>
      <c r="E100" s="14" t="inlineStr">
        <is>
          <t>On the second northern campaign, Zhuge Liang attacked Chencang. Its defender Hao Zhao had only about a thousand men, yet he held out more than twenty days, meeting siege ladders and rams with fire arrows and stones, until Zhuge Liang ran out of grain and withdrew.</t>
        </is>
      </c>
      <c r="F100" s="14" t="inlineStr">
        <is>
          <t>二十日耐えた城</t>
        </is>
      </c>
      <c r="G100" s="14" t="inlineStr">
        <is>
          <t>わずか千余りで、数万の蜀軍を二十日以上防ぎきった。</t>
        </is>
      </c>
      <c r="H100" s="14" t="inlineStr">
        <is>
          <t>二度目の北伐で、諸葛亮は陳倉城を攻めた。守る郝昭はわずか千余りだったが、雲梯と衝車を火矢と石で防いで二十日以上耐え、諸葛亮は兵糧が尽きて退いた。</t>
        </is>
      </c>
      <c r="I100" s="14" t="inlineStr">
        <is>
          <t>堅守二十日的城</t>
        </is>
      </c>
      <c r="J100" s="14" t="inlineStr">
        <is>
          <t>以千餘人擋住數萬蜀軍二十多天。</t>
        </is>
      </c>
      <c r="K100" s="14" t="inlineStr">
        <is>
          <t>第二次北伐，諸葛亮攻打陳倉城。守將郝昭只有千餘人，卻以火箭和石塊抵擋雲梯與衝車，堅守二十多天，諸葛亮因糧盡而退。</t>
        </is>
      </c>
      <c r="L100" s="14" t="inlineStr">
        <is>
          <t>坚守二十日之城</t>
        </is>
      </c>
      <c r="M100" s="14" t="inlineStr">
        <is>
          <t>以千余人挡住数万蜀军二十多天。</t>
        </is>
      </c>
      <c r="N100" s="14" t="inlineStr">
        <is>
          <t>第二次北伐，诸葛亮攻打陈仓。守将郝昭只有千余人，却用火箭和石块挡住云梯与冲车，坚守二十多天，诸葛亮粮尽而退。</t>
        </is>
      </c>
      <c r="O100" s="14" t="inlineStr">
        <is>
          <t>A Cidade que Resistiu Vinte Dias</t>
        </is>
      </c>
      <c r="P100" s="14" t="inlineStr">
        <is>
          <t>Com pouco mais de mil homens, deteve dezenas de milhares de Shu por mais de vinte dias.</t>
        </is>
      </c>
      <c r="Q100" s="14" t="inlineStr">
        <is>
          <t>Na segunda expedição ao norte, Zhuge Liang atacou Chencang. Hao Zhao tinha pouco mais de mil homens, mas deteve escadas de assalto e aríetes com flechas incendiárias e pedras por mais de vinte dias, até que Zhuge Liang, sem grãos, recuou.</t>
        </is>
      </c>
      <c r="R100" s="14" t="inlineStr">
        <is>
          <t>A Cidade que Resistiu Vinte Dias</t>
        </is>
      </c>
      <c r="S100" s="14" t="inlineStr">
        <is>
          <t>Com pouco mais de mil homens, travou dezenas de milhares de soldados de Shu durante mais de vinte dias.</t>
        </is>
      </c>
      <c r="T100" s="14" t="inlineStr">
        <is>
          <t>Na segunda campanha do norte, Zhuge Liang atacou Chencang. Hao Zhao, que a defendia, tinha pouco mais de mil homens, mas travou as escadas de assalto e os aríetes com flechas incendiárias e pedras durante mais de vinte dias, até Zhuge Liang retirar sem mantimentos.</t>
        </is>
      </c>
      <c r="U100" s="14" t="inlineStr">
        <is>
          <t>Venti giorni di assedio</t>
        </is>
      </c>
      <c r="V100" s="14" t="inlineStr">
        <is>
          <t>Con poco più di mille uomini respinse per oltre venti giorni decine di migliaia di soldati di Shu.</t>
        </is>
      </c>
      <c r="W100" s="14" t="inlineStr">
        <is>
          <t>Nella seconda spedizione a nord Zhuge Liang attaccò Chencang. Hao Zhao la difendeva con poco più di mille uomini, ma respinse scale d'assedio e arieti con frecce incendiarie e pietre per oltre venti giorni, finché Zhuge Liang, a corto di grano, si ritirò.</t>
        </is>
      </c>
      <c r="X100" s="14" t="inlineStr">
        <is>
          <t>La ciudad que resistió veinte días</t>
        </is>
      </c>
      <c r="Y100" s="14" t="inlineStr">
        <is>
          <t>Con poco más de mil hombres, contuvo durante más de veinte días a decenas de miles de soldados de Shu.</t>
        </is>
      </c>
      <c r="Z100" s="14" t="inlineStr">
        <is>
          <t>En la segunda campaña del norte, Zhuge Liang atacó Chencang. Hao Zhao la defendía con poco más de mil hombres, pero rechazó escalas y arietes con flechas incendiarias y piedras durante más de veinte días, hasta que Zhuge Liang, sin provisiones, se retiró.</t>
        </is>
      </c>
      <c r="AA100" s="14" t="inlineStr">
        <is>
          <t>Хорь хоног тэссэн хот</t>
        </is>
      </c>
      <c r="AB100" s="14" t="inlineStr">
        <is>
          <t>Мянга гаруй хүнээр хэдэн арван мянган Шу цэргийг хорь гаруй хоног тогтоов.</t>
        </is>
      </c>
      <c r="AC100" s="14" t="inlineStr">
        <is>
          <t>Хоёр дахь хойд аянд Чжугэ Лян Чэньцан хотыг довтлов. Сахигч Хао Чжао ердөө мянга гаруй хүнтэй байсан ч үүлэн шат, цохилтын тэргийг галт сум, чулуугаар хааж хорь гаруй хоног тэссэн бөгөөд Чжугэ Лян тэжээл нь дуусч ухарчээ.</t>
        </is>
      </c>
      <c r="AD100" s="14" t="inlineStr">
        <is>
          <t>陈仓守城</t>
        </is>
      </c>
    </row>
    <row r="101">
      <c r="A101" t="n">
        <v>100</v>
      </c>
      <c r="B101" t="inlineStr">
        <is>
          <t>목우유마</t>
        </is>
      </c>
      <c r="C101" s="14" t="inlineStr">
        <is>
          <t>Wooden Oxen, Flowing Horses</t>
        </is>
      </c>
      <c r="D101" s="14" t="inlineStr">
        <is>
          <t>Wooden oxen and flowing horses carried grain over the treacherous roads of Shu.</t>
        </is>
      </c>
      <c r="E101" s="14" t="inlineStr">
        <is>
          <t>To haul grain along the treacherous mountain paths of Shu, Zhuge Liang built the wooden ox and the flowing horse. Li Yan, in charge of supply, fell behind because of the rains, sent a false report, and was stripped of office.</t>
        </is>
      </c>
      <c r="F101" s="14" t="inlineStr">
        <is>
          <t>木の牛と流るる馬</t>
        </is>
      </c>
      <c r="G101" s="14" t="inlineStr">
        <is>
          <t>木牛と流馬が険しい蜀の道を越え、兵糧を運んだ。</t>
        </is>
      </c>
      <c r="H101" s="14" t="inlineStr">
        <is>
          <t>険しい蜀の山道で兵糧を運ぶため、諸葛亮は木牛と流馬を作った。李厳が兵糧輸送を任されたが、雨で遅れると偽りの報告を上げ、失脚した。</t>
        </is>
      </c>
      <c r="I101" s="14" t="inlineStr">
        <is>
          <t>木製的牛與馬</t>
        </is>
      </c>
      <c r="J101" s="14" t="inlineStr">
        <is>
          <t>木牛與流馬越過險峻的蜀道運送軍糧。</t>
        </is>
      </c>
      <c r="K101" s="14" t="inlineStr">
        <is>
          <t>為了在險峻的蜀地山路運糧，諸葛亮造出了木牛與流馬。負責運糧的李嚴因雨延誤，謊報軍情，結果遭到罷黜。</t>
        </is>
      </c>
      <c r="L101" s="14" t="inlineStr">
        <is>
          <t>木制的牛马</t>
        </is>
      </c>
      <c r="M101" s="14" t="inlineStr">
        <is>
          <t>木牛流马翻越险峻蜀道，运送军粮。</t>
        </is>
      </c>
      <c r="N101" s="14" t="inlineStr">
        <is>
          <t>为了在崎岖的蜀道上运粮，诸葛亮造出木牛与流马。李严负责督运军粮，因雨误期，便谎报军情，因而失势。</t>
        </is>
      </c>
      <c r="O101" s="14" t="inlineStr">
        <is>
          <t>Bois de Madeira, Cavalos Rolantes</t>
        </is>
      </c>
      <c r="P101" s="14" t="inlineStr">
        <is>
          <t>Bois de madeira e cavalos rolantes levaram grãos pelas trilhas íngremes de Shu.</t>
        </is>
      </c>
      <c r="Q101" s="14" t="inlineStr">
        <is>
          <t>Para levar grãos pelas íngremes trilhas de Shu, Zhuge Liang criou o boi de madeira e o cavalo rolante. Li Yan, encarregado do transporte, atrasou-se por causa das chuvas e mentiu em seu relatório, caindo em desgraça.</t>
        </is>
      </c>
      <c r="R101" s="14" t="inlineStr">
        <is>
          <t>Bois e Cavalos de Madeira</t>
        </is>
      </c>
      <c r="S101" s="14" t="inlineStr">
        <is>
          <t>Os bois de madeira e os cavalos deslizantes levaram mantimentos pelas duras estradas de Shu.</t>
        </is>
      </c>
      <c r="T101" s="14" t="inlineStr">
        <is>
          <t>Para transportar mantimentos pelos caminhos de montanha de Shu, Zhuge Liang inventou o boi de madeira e o cavalo deslizante. Li Yan, encarregado do abastecimento, atrasou-se por causa das chuvas, enviou um relatório falso e caiu em desgraça.</t>
        </is>
      </c>
      <c r="U101" s="14" t="inlineStr">
        <is>
          <t>Buoi e cavalli di legno</t>
        </is>
      </c>
      <c r="V101" s="14" t="inlineStr">
        <is>
          <t>Buoi di legno e cavalli scorrevoli trasportarono il grano oltre le aspre strade di Shu.</t>
        </is>
      </c>
      <c r="W101" s="14" t="inlineStr">
        <is>
          <t>Per trasportare il grano lungo gli impervi sentieri di montagna di Shu, Zhuge Liang costruì i buoi di legno e i cavalli scorrevoli. Li Yan, incaricato dei rifornimenti, tardò per le piogge e, avendo presentato un falso rapporto, cadde in disgrazia.</t>
        </is>
      </c>
      <c r="X101" s="14" t="inlineStr">
        <is>
          <t>Bueyes y caballos de madera</t>
        </is>
      </c>
      <c r="Y101" s="14" t="inlineStr">
        <is>
          <t>El buey de madera y el caballo que fluye cruzaron los ásperos caminos de Shu cargando provisiones.</t>
        </is>
      </c>
      <c r="Z101" s="14" t="inlineStr">
        <is>
          <t>Para llevar provisiones por los escarpados caminos de Shu, Zhuge Liang construyó el buey de madera y el caballo que fluye. Li Yan, encargado del transporte, se retrasó por las lluvias, mintió en su informe y cayó en desgracia.</t>
        </is>
      </c>
      <c r="AA101" s="14" t="inlineStr">
        <is>
          <t>Модон үхэр, модон морь</t>
        </is>
      </c>
      <c r="AB101" s="14" t="inlineStr">
        <is>
          <t>Модон үхэр, урсгал морь эгц Шугийн замыг давж тэжээл зөөв.</t>
        </is>
      </c>
      <c r="AC101" s="14" t="inlineStr">
        <is>
          <t>Шугийн эгц уулын замаар тэжээл зөөхийн тулд Чжугэ Лян модон үхэр, урсгал морийг бүтээв. Ли Янь тэжээл тээвэрлэлтийг хариуцсан ч борооны улмаас хоцроход худал илтгэл өргөөд албан тушаалаа алджээ.</t>
        </is>
      </c>
      <c r="AD101" s="14" t="inlineStr">
        <is>
          <t>木牛流马</t>
        </is>
      </c>
    </row>
    <row r="102">
      <c r="A102" t="n">
        <v>101</v>
      </c>
      <c r="B102" t="inlineStr">
        <is>
          <t>목문도</t>
        </is>
      </c>
      <c r="C102" s="14" t="inlineStr">
        <is>
          <t>Zhang He Falls at Mumen</t>
        </is>
      </c>
      <c r="D102" s="14" t="inlineStr">
        <is>
          <t>Pursuing the retreating Shu army, Zhang He fell beneath a storm of arrows at Mumen.</t>
        </is>
      </c>
      <c r="E102" s="14" t="inlineStr">
        <is>
          <t>On the fourth northern campaign, Wei's great general Zhang He pursued the withdrawing Shu army. In the narrow pass of Mumen, hidden crossbows loosed all at once, and Zhang He, struck in the knee, breathed his last.</t>
        </is>
      </c>
      <c r="F102" s="14" t="inlineStr">
        <is>
          <t>張郃、矢の雨に斃る</t>
        </is>
      </c>
      <c r="G102" s="14" t="inlineStr">
        <is>
          <t>退く蜀軍を追った張郃は、木門道で降り注ぐ矢に斃れた。</t>
        </is>
      </c>
      <c r="H102" s="14" t="inlineStr">
        <is>
          <t>四度目の北伐で、退く蜀軍を魏の名将・張郃が追撃した。木門道の狭い道で伏せていた弩が一斉に放たれ、張郃は膝に矢を受けて息絶えた。</t>
        </is>
      </c>
      <c r="I102" s="14" t="inlineStr">
        <is>
          <t>張郃倒在箭雨中</t>
        </is>
      </c>
      <c r="J102" s="14" t="inlineStr">
        <is>
          <t>追擊撤退蜀軍的張郃，倒在木門道傾瀉而下的箭雨中。</t>
        </is>
      </c>
      <c r="K102" s="14" t="inlineStr">
        <is>
          <t>第四次北伐，魏國名將張郃追擊撤退的蜀軍。在木門道的窄路上，伏兵的弩箭齊發，張郃膝部中箭而亡。</t>
        </is>
      </c>
      <c r="L102" s="14" t="inlineStr">
        <is>
          <t>张郃倒在箭雨中</t>
        </is>
      </c>
      <c r="M102" s="14" t="inlineStr">
        <is>
          <t>追击撤退蜀军的张郃，倒在木门道倾泻的箭雨下。</t>
        </is>
      </c>
      <c r="N102" s="14" t="inlineStr">
        <is>
          <t>第四次北伐，魏国名将张郃追击撤退的蜀军。木门道狭路上伏弩齐发，张郃膝部中箭而亡。</t>
        </is>
      </c>
      <c r="O102" s="14" t="inlineStr">
        <is>
          <t>Zhang He Cai Sob as Flechas</t>
        </is>
      </c>
      <c r="P102" s="14" t="inlineStr">
        <is>
          <t>Perseguindo Shu em retirada, Zhang He caiu sob uma chuva de flechas em Mumen.</t>
        </is>
      </c>
      <c r="Q102" s="14" t="inlineStr">
        <is>
          <t>Na quarta expedição ao norte, Zhang He, o célebre general de Wei, perseguiu as tropas de Shu em retirada. No estreito caminho de Mumen, bestas emboscadas dispararam de uma vez, e Zhang He, ferido no joelho, morreu.</t>
        </is>
      </c>
      <c r="R102" s="14" t="inlineStr">
        <is>
          <t>Zhang He Cai Sob as Flechas</t>
        </is>
      </c>
      <c r="S102" s="14" t="inlineStr">
        <is>
          <t>Ao perseguir o exército de Shu em retirada, Zhang He caiu sob uma chuva de flechas em Mumen.</t>
        </is>
      </c>
      <c r="T102" s="14" t="inlineStr">
        <is>
          <t>Na quarta campanha do norte, o grande general de Wei Zhang He perseguiu as tropas de Shu em retirada. No estreito caminho de Mumen, as bestas emboscadas dispararam todas de uma vez, e Zhang He, atingido no joelho, morreu.</t>
        </is>
      </c>
      <c r="U102" s="14" t="inlineStr">
        <is>
          <t>Zhang He sotto le frecce</t>
        </is>
      </c>
      <c r="V102" s="14" t="inlineStr">
        <is>
          <t>Inseguendo le truppe di Shu in ritirata, Zhang He cadde sotto le frecce a Mumendao.</t>
        </is>
      </c>
      <c r="W102" s="14" t="inlineStr">
        <is>
          <t>Nella quarta spedizione a nord, il celebre generale di Wei Zhang He inseguì le truppe di Shu in ritirata. Nella stretta via di Mumendao le balestre in agguato scaricarono tutte insieme, e Zhang He, colpito al ginocchio, spirò.</t>
        </is>
      </c>
      <c r="X102" s="14" t="inlineStr">
        <is>
          <t>Zhang He cae bajo las flechas</t>
        </is>
      </c>
      <c r="Y102" s="14" t="inlineStr">
        <is>
          <t>Persiguiendo a Shu en retirada, Zhang He cayó en Mumen bajo una lluvia de flechas.</t>
        </is>
      </c>
      <c r="Z102" s="14" t="inlineStr">
        <is>
          <t>En la cuarta campaña del norte, Zhang He, gran general de Wei, persiguió a las tropas de Shu en retirada. En el estrecho paso de Mumen, las ballestas emboscadas dispararon a la vez, y Zhang He murió con una flecha en la rodilla.</t>
        </is>
      </c>
      <c r="AA102" s="14" t="inlineStr">
        <is>
          <t>Чжан Хэ сумны бороонд унав</t>
        </is>
      </c>
      <c r="AB102" s="14" t="inlineStr">
        <is>
          <t>Ухарч буй Шу цэргийг мөрдсөн Чжан Хэ Мумэнь замд асгарсан суманд унав.</t>
        </is>
      </c>
      <c r="AC102" s="14" t="inlineStr">
        <is>
          <t>Дөрөв дэх хойд аянд ухарч буй Шу цэргийг Вэйн нэрт жанжин Чжан Хэ мөрдөв. Мумэнь замын нарийн хавцалд отолтод байсан хөндлөн нумууд нэгэн зэрэг харвахад Чжан Хэ өвдгөндөө сум оногдож амьсгал хураажээ.</t>
        </is>
      </c>
      <c r="AD102" s="14" t="inlineStr">
        <is>
          <t>木门道</t>
        </is>
      </c>
    </row>
    <row r="103">
      <c r="A103" t="n">
        <v>102</v>
      </c>
      <c r="B103" t="inlineStr">
        <is>
          <t>반골</t>
        </is>
      </c>
      <c r="C103" s="14" t="inlineStr">
        <is>
          <t>Who Dares Kill Me?</t>
        </is>
      </c>
      <c r="D103" s="14" t="inlineStr">
        <is>
          <t>“Who dares kill me?” — “I do!”</t>
        </is>
      </c>
      <c r="E103" s="14" t="inlineStr">
        <is>
          <t>Zhuge Liang was always wary of Wei Yan, believing he bore the mark of a traitor. When Zhuge Liang died, Wei Yan cried, “Who dares kill me?” — and the Romance says Ma Dai answered from behind, “I do!” and cut him down.</t>
        </is>
      </c>
      <c r="F103" s="14" t="inlineStr">
        <is>
          <t>誰か我を殺さん</t>
        </is>
      </c>
      <c r="G103" s="14" t="inlineStr">
        <is>
          <t>「誰か敢えて我を殺さん！」――「我、汝を殺さん！」</t>
        </is>
      </c>
      <c r="H103" s="14" t="inlineStr">
        <is>
          <t>諸葛亮は魏延に反骨の相があると常に警戒していた。諸葛亮が死ぬと魏延は「誰か敢えて我を殺さん」と叫び、背後から「我が殺す」と馬岱が彼を斬ったと演義は伝える。</t>
        </is>
      </c>
      <c r="I103" s="14" t="inlineStr">
        <is>
          <t>誰敢殺我</t>
        </is>
      </c>
      <c r="J103" s="14" t="inlineStr">
        <is>
          <t>「誰敢殺我！」——「我敢殺你！」</t>
        </is>
      </c>
      <c r="K103" s="14" t="inlineStr">
        <is>
          <t>諸葛亮一直提防魏延有反骨之相。演義說，諸葛亮死後魏延高喊「誰敢殺我」，背後馬岱應聲「我敢殺你」，將他斬殺。</t>
        </is>
      </c>
      <c r="L103" s="14" t="inlineStr">
        <is>
          <t>谁敢杀我</t>
        </is>
      </c>
      <c r="M103" s="14" t="inlineStr">
        <is>
          <t>「谁敢杀我！」——「我敢杀你！」</t>
        </is>
      </c>
      <c r="N103" s="14" t="inlineStr">
        <is>
          <t>诸葛亮一向提防魏延，说他脑后有反骨。演义说，诸葛亮死后魏延高喊「谁敢杀我」，背后马岱应声「我敢杀你」，将他斩杀。</t>
        </is>
      </c>
      <c r="O103" s="14" t="inlineStr">
        <is>
          <t>Quem Ousa me Matar?</t>
        </is>
      </c>
      <c r="P103" s="14" t="inlineStr">
        <is>
          <t>“Quem ousa me matar?!” — “Eu ouso!”</t>
        </is>
      </c>
      <c r="Q103" s="14" t="inlineStr">
        <is>
          <t>Zhuge Liang sempre desconfiou de Wei Yan, que dizia ter o osso da rebeldia. Morto Zhuge Liang, Wei Yan gritou “quem ousa me matar?”, e Ma Dai, às suas costas, respondeu “eu ouso!” e o abateu — assim conta o Romance.</t>
        </is>
      </c>
      <c r="R103" s="14" t="inlineStr">
        <is>
          <t>Quem Ousa Matar-me?</t>
        </is>
      </c>
      <c r="S103" s="14" t="inlineStr">
        <is>
          <t>«Quem ousa matar-me?» — «Eu ouso!»</t>
        </is>
      </c>
      <c r="T103" s="14" t="inlineStr">
        <is>
          <t>Zhuge Liang sempre desconfiou de Wei Yan, em quem via a marca da traição. Morto Zhuge Liang, Wei Yan gritou «quem ousa matar-me?», e Ma Dai, nas suas costas, respondeu «eu ouso!» e abateu-o — conta o Romance.</t>
        </is>
      </c>
      <c r="U103" s="14" t="inlineStr">
        <is>
          <t>Chi osa uccidermi?</t>
        </is>
      </c>
      <c r="V103" s="14" t="inlineStr">
        <is>
          <t>«Chi osa uccidermi?» — «Io!»</t>
        </is>
      </c>
      <c r="W103" s="14" t="inlineStr">
        <is>
          <t>Zhuge Liang aveva sempre diffidato di Wei Yan, nel cui volto leggeva i segni del tradimento. Morto Zhuge Liang, Wei Yan gridò «Chi osa uccidermi?», e alle sue spalle Ma Dai rispose «Io!» e lo abbatté, narra il Romanzo.</t>
        </is>
      </c>
      <c r="X103" s="14" t="inlineStr">
        <is>
          <t>¿Quién se atreve a matarme?</t>
        </is>
      </c>
      <c r="Y103" s="14" t="inlineStr">
        <is>
          <t>«¿Quién se atreve a matarme?» — «¡Yo!»</t>
        </is>
      </c>
      <c r="Z103" s="14" t="inlineStr">
        <is>
          <t>Zhuge Liang siempre desconfió de Wei Yan, en quien veía la marca del traidor. Muerto Zhuge Liang, Wei Yan gritó «¿quién se atreve a matarme?», y la novela cuenta que Ma Dai respondió a su espalda «¡yo!» y lo abatió.</t>
        </is>
      </c>
      <c r="AA103" s="14" t="inlineStr">
        <is>
          <t>Хэн намайг алж зүрхлэх вэ</t>
        </is>
      </c>
      <c r="AB103" s="14" t="inlineStr">
        <is>
          <t>«Хэн намайг алж зүрхлэх вэ!» — «Би алъя!»</t>
        </is>
      </c>
      <c r="AC103" s="14" t="inlineStr">
        <is>
          <t>Чжугэ Лян Вэй Янийг урвах ястай хэмээн үргэлж болгоомжилдог байв. Чжугэ Лян нас барахад Вэй Янь «Хэн намайг алж зүрхлэх вэ» хэмээн хашгирахад ард нь «Би алъя» хэмээн Ма Дай түүнийг цавчсан гэж туужид өгүүлдэг.</t>
        </is>
      </c>
      <c r="AD103" s="14" t="inlineStr">
        <is>
          <t>反骨</t>
        </is>
      </c>
    </row>
    <row r="104">
      <c r="A104" t="n">
        <v>103</v>
      </c>
      <c r="B104" t="inlineStr">
        <is>
          <t>상방곡의 비</t>
        </is>
      </c>
      <c r="C104" s="14" t="inlineStr">
        <is>
          <t>The Heaven-Sent Downpour</t>
        </is>
      </c>
      <c r="D104" s="14" t="inlineStr">
        <is>
          <t>A sudden downpour from heaven saved Sima Yi and his sons, trapped in the valley.</t>
        </is>
      </c>
      <c r="E104" s="14" t="inlineStr">
        <is>
          <t>Zhuge Liang lured Sima Yi and his sons into Shangfang Valley and set it ablaze. But a sudden downpour put out the flames, and Sima Yi escaped alive. “Man proposes, but Heaven disposes.”</t>
        </is>
      </c>
      <c r="F104" s="14" t="inlineStr">
        <is>
          <t>天の降らせた雨</t>
        </is>
      </c>
      <c r="G104" s="14" t="inlineStr">
        <is>
          <t>谷に閉じ込められた司馬懿父子を、天の驟雨が救った。</t>
        </is>
      </c>
      <c r="H104" s="14" t="inlineStr">
        <is>
          <t>上方谷に司馬懿父子を誘い込んだ諸葛亮は、谷に火を放った。だが突然の驟雨に火は消え、司馬懿は生きて逃れた。「事を謀るは人に在り、事を成すは天に在り」</t>
        </is>
      </c>
      <c r="I104" s="14" t="inlineStr">
        <is>
          <t>天降驟雨</t>
        </is>
      </c>
      <c r="J104" s="14" t="inlineStr">
        <is>
          <t>被困谷中的司馬懿父子，被一場驟雨救了下來。</t>
        </is>
      </c>
      <c r="K104" s="14" t="inlineStr">
        <is>
          <t>諸葛亮誘司馬懿父子進入上方谷，在谷中放火。然而一場突如其來的驟雨澆熄大火，司馬懿得以生還。「謀事在人，成事在天。」</t>
        </is>
      </c>
      <c r="L104" s="14" t="inlineStr">
        <is>
          <t>天降骤雨</t>
        </is>
      </c>
      <c r="M104" s="14" t="inlineStr">
        <is>
          <t>困在谷中的司马懿父子，被一场骤雨救了。</t>
        </is>
      </c>
      <c r="N104" s="14" t="inlineStr">
        <is>
          <t>诸葛亮把司马懿父子诱入上方谷，在谷中放火。不料骤雨倾盆浇灭大火，司马懿得以脱身。「谋事在人，成事在天。」</t>
        </is>
      </c>
      <c r="O104" s="14" t="inlineStr">
        <is>
          <t>A Chuva que Veio do Céu</t>
        </is>
      </c>
      <c r="P104" s="14" t="inlineStr">
        <is>
          <t>Uma chuva do céu salvou Sima Yi e os filhos, presos no vale.</t>
        </is>
      </c>
      <c r="Q104" s="14" t="inlineStr">
        <is>
          <t>Zhuge Liang atraiu Sima Yi e os filhos ao vale de Shangfang e ateou fogo. Mas uma chuva súbita apagou as chamas, e Sima Yi escapou com vida. “O homem planeja, mas quem realiza é o Céu.”</t>
        </is>
      </c>
      <c r="R104" s="14" t="inlineStr">
        <is>
          <t>Um Aguaceiro Vindo do Céu</t>
        </is>
      </c>
      <c r="S104" s="14" t="inlineStr">
        <is>
          <t>Um aguaceiro caído do céu salvou Sima Yi e os filhos, encurralados no vale.</t>
        </is>
      </c>
      <c r="T104" s="14" t="inlineStr">
        <is>
          <t>Zhuge Liang atraiu Sima Yi e os filhos ao vale de Shangfang e pegou-lhe fogo. Mas um aguaceiro repentino apagou as chamas, e Sima Yi escapou com vida. «O homem planeia, mas é o Céu que decide.»</t>
        </is>
      </c>
      <c r="U104" s="14" t="inlineStr">
        <is>
          <t>L'acquazzone del Cielo</t>
        </is>
      </c>
      <c r="V104" s="14" t="inlineStr">
        <is>
          <t>Un acquazzone improvviso salvò Sima Yi e i figli intrappolati nella valle.</t>
        </is>
      </c>
      <c r="W104" s="14" t="inlineStr">
        <is>
          <t>Attirati Sima Yi e i figli nella valle di Shangfang, Zhuge Liang vi appiccò il fuoco. Ma un acquazzone improvviso spense le fiamme e Sima Yi ne uscì vivo. «L'uomo propone, ma è il Cielo che dispone.»</t>
        </is>
      </c>
      <c r="X104" s="14" t="inlineStr">
        <is>
          <t>La lluvia que envió el Cielo</t>
        </is>
      </c>
      <c r="Y104" s="14" t="inlineStr">
        <is>
          <t>Una lluvia del Cielo salvó a Sima Yi y sus hijos, atrapados en el valle.</t>
        </is>
      </c>
      <c r="Z104" s="14" t="inlineStr">
        <is>
          <t>Zhuge Liang atrajo a Sima Yi y sus hijos al valle de Shangfang y le prendió fuego. Pero un aguacero repentino apagó las llamas y Sima Yi salió con vida. «El hombre propone, pero el Cielo dispone.»</t>
        </is>
      </c>
      <c r="AA104" s="14" t="inlineStr">
        <is>
          <t>Тэнгэрийн илгээсэн аадар</t>
        </is>
      </c>
      <c r="AB104" s="14" t="inlineStr">
        <is>
          <t>Хавцалд хаагдсан Сыма И эцэг хүүг тэнгэрийн аадар аварлаа.</t>
        </is>
      </c>
      <c r="AC104" s="14" t="inlineStr">
        <is>
          <t>Сыма И эцэг хүүг Шанфан хавцал руу уруу татан оруулсан Чжугэ Лян хавцалд гал тавив. Гэвч гэнэт цутгасан аадар борооноор гал унтарч Сыма И амьд гарчээ. «Хэргийг хүн сэдэвч бүтээгч нь тэнгэр.»</t>
        </is>
      </c>
      <c r="AD104" s="14" t="inlineStr">
        <is>
          <t>上方谷</t>
        </is>
      </c>
    </row>
    <row r="105">
      <c r="A105" t="n">
        <v>104</v>
      </c>
      <c r="B105" t="inlineStr">
        <is>
          <t>오장원</t>
        </is>
      </c>
      <c r="C105" s="14" t="inlineStr">
        <is>
          <t>The Dead Rout the Living</t>
        </is>
      </c>
      <c r="D105" s="14" t="inlineStr">
        <is>
          <t>The dead Zhuge Liang put the living Zhongda to flight.</t>
        </is>
      </c>
      <c r="E105" s="14" t="inlineStr">
        <is>
          <t>When Zhuge Liang died of illness at Wuzhang Plains, the Shu army withdrew. As Sima Yi gave chase, the Shu troops turned their banners and beat their drums, and at the sight of Zhuge Liang's wooden statue Sima Yi fled in fright — “The dead Zhuge Liang put the living Zhongda to flight.”</t>
        </is>
      </c>
      <c r="F105" s="14" t="inlineStr">
        <is>
          <t>死せる孔明、仲達を走らす</t>
        </is>
      </c>
      <c r="G105" s="14" t="inlineStr">
        <is>
          <t>死せる諸葛亮が、生ける仲達を走らせた。</t>
        </is>
      </c>
      <c r="H105" s="14" t="inlineStr">
        <is>
          <t>五丈原で諸葛亮が病没すると、蜀軍は退いた。司馬懿が追うと蜀軍は旗を返して太鼓を鳴らし、諸葛亮の木像を見た司馬懿は驚いて逃げた――「死せる孔明、生ける仲達を走らす」。</t>
        </is>
      </c>
      <c r="I105" s="14" t="inlineStr">
        <is>
          <t>死人嚇退活人</t>
        </is>
      </c>
      <c r="J105" s="14" t="inlineStr">
        <is>
          <t>死諸葛嚇走了活仲達。</t>
        </is>
      </c>
      <c r="K105" s="14" t="inlineStr">
        <is>
          <t>諸葛亮病逝五丈原，蜀軍撤退。司馬懿追來時，蜀軍回旗擂鼓，司馬懿看見諸葛亮的木像大驚而逃——「死諸葛走生仲達」。</t>
        </is>
      </c>
      <c r="L105" s="14" t="inlineStr">
        <is>
          <t>死者退生者</t>
        </is>
      </c>
      <c r="M105" s="14" t="inlineStr">
        <is>
          <t>死诸葛走了生仲达。</t>
        </is>
      </c>
      <c r="N105" s="14" t="inlineStr">
        <is>
          <t>诸葛亮病逝五丈原，蜀军撤退。司马懿追来，蜀军反旗鸣鼓，司马懿见到诸葛亮的木像大惊而逃——「死诸葛走生仲达。」</t>
        </is>
      </c>
      <c r="O105" s="14" t="inlineStr">
        <is>
          <t>O Morto Põe o Vivo em Fuga</t>
        </is>
      </c>
      <c r="P105" s="14" t="inlineStr">
        <is>
          <t>Zhuge Liang morto pôs em fuga Sima Yi vivo.</t>
        </is>
      </c>
      <c r="Q105" s="14" t="inlineStr">
        <is>
          <t>Quando Zhuge Liang morreu doente em Wuzhang, o exército de Shu recuou. Sima Yi foi atrás, mas Shu virou as bandeiras e rufou os tambores, e ao ver a estátua de Zhuge Liang, Sima Yi fugiu — “o Zhuge morto pôs em fuga o Zhongda vivo.”</t>
        </is>
      </c>
      <c r="R105" s="14" t="inlineStr">
        <is>
          <t>O Morto que Afugentou o Vivo</t>
        </is>
      </c>
      <c r="S105" s="14" t="inlineStr">
        <is>
          <t>Zhuge Liang morto pôs em fuga Zhongda vivo.</t>
        </is>
      </c>
      <c r="T105" s="14" t="inlineStr">
        <is>
          <t>Quando Zhuge Liang morreu de doença em Wuzhang, o exército de Shu retirou-se. Ao ver Sima Yi persegui-los, os soldados viraram as bandeiras e rufaram os tambores, e Sima Yi, ao avistar uma estátua de madeira de Zhuge Liang, fugiu de susto — «Zhuge Liang morto pôs em fuga Zhongda vivo.»</t>
        </is>
      </c>
      <c r="U105" s="14" t="inlineStr">
        <is>
          <t>Il morto che mise in fuga il vivo</t>
        </is>
      </c>
      <c r="V105" s="14" t="inlineStr">
        <is>
          <t>Zhuge Liang morto mise in fuga Zhongda vivo.</t>
        </is>
      </c>
      <c r="W105" s="14" t="inlineStr">
        <is>
          <t>Quando Zhuge Liang morì di malattia a Wuzhang, le truppe di Shu si ritirarono. All'inseguimento di Sima Yi, Shu voltò le bandiere e batté i tamburi, e Sima Yi, vista la statua di legno di Zhuge Liang, fuggì atterrito: «Zhuge Liang morto ha messo in fuga Zhongda vivo».</t>
        </is>
      </c>
      <c r="X105" s="14" t="inlineStr">
        <is>
          <t>El muerto ahuyenta al vivo</t>
        </is>
      </c>
      <c r="Y105" s="14" t="inlineStr">
        <is>
          <t>Zhuge Liang muerto hizo huir a Zhongda vivo.</t>
        </is>
      </c>
      <c r="Z105" s="14" t="inlineStr">
        <is>
          <t>Cuando Zhuge Liang murió enfermo en Wuzhang, las tropas de Shu se retiraron. Al ver que Sima Yi los perseguía, giraron las banderas y tocaron los tambores, y Sima Yi, al ver la estatua de madera de Zhuge Liang, huyó espantado: «Zhuge Liang muerto hizo huir a Zhongda vivo».</t>
        </is>
      </c>
      <c r="AA105" s="14" t="inlineStr">
        <is>
          <t>Үхэгсэд амьдыг няцаав</t>
        </is>
      </c>
      <c r="AB105" s="14" t="inlineStr">
        <is>
          <t>Үхсэн Чжугэ Лян амьд Чжунда-г зугтаалгав.</t>
        </is>
      </c>
      <c r="AC105" s="14" t="inlineStr">
        <is>
          <t>Учжанъюаньд Чжугэ Лян өвчнөөр нас барахад Шу цэрэг ухрав. Сыма И мөрдөж ирэхэд Шу цэрэг тугаа эргүүлж бөмбөр дэлдсэн бөгөөд Чжугэ Ляны модон хөргийг харсан Сыма И цочин зугтжээ — «Үхсэн Чжугэ Лян амьд Чжунда-г зугтаалгав.»</t>
        </is>
      </c>
      <c r="AD105" s="14" t="inlineStr">
        <is>
          <t>五丈原</t>
        </is>
      </c>
    </row>
    <row r="106">
      <c r="A106" t="n">
        <v>105</v>
      </c>
      <c r="B106" t="inlineStr">
        <is>
          <t>고평릉</t>
        </is>
      </c>
      <c r="C106" s="14" t="inlineStr">
        <is>
          <t>The Old Wolf Rises</t>
        </is>
      </c>
      <c r="D106" s="14" t="inlineStr">
        <is>
          <t>The old wolf, lying low and feigning sickness, rose at last.</t>
        </is>
      </c>
      <c r="E106" s="14" t="inlineStr">
        <is>
          <t>Pushed aside by Cao Shuang, Sima Yi lay low, feigning illness. While Cao Shuang escorted the emperor to pay respects at the Gaoping Tombs, Sima Yi and his two sons seized Luoyang, and real power in Wei passed to the Sima clan.</t>
        </is>
      </c>
      <c r="F106" s="14" t="inlineStr">
        <is>
          <t>老狼、起つ</t>
        </is>
      </c>
      <c r="G106" s="14" t="inlineStr">
        <is>
          <t>病を装って伏せていた老いた狼が、ついに起った。</t>
        </is>
      </c>
      <c r="H106" s="14" t="inlineStr">
        <is>
          <t>曹爽に退けられた司馬懿は、病を装って伏せていた。曹爽が皇帝を奉じて高平陵へ参拝に出た隙に、二人の息子とともに洛陽を掌握し、魏の実権は司馬氏に移った。</t>
        </is>
      </c>
      <c r="I106" s="14" t="inlineStr">
        <is>
          <t>老狼起身</t>
        </is>
      </c>
      <c r="J106" s="14" t="inlineStr">
        <is>
          <t>裝病蟄伏的老狼站了起來。</t>
        </is>
      </c>
      <c r="K106" s="14" t="inlineStr">
        <is>
          <t>被曹爽排擠的司馬懿裝病蟄伏。趁曹爽陪皇帝出城拜謁高平陵之際，他與兩個兒子控制了洛陽，魏國的實權從此落入司馬氏手中。</t>
        </is>
      </c>
      <c r="L106" s="14" t="inlineStr">
        <is>
          <t>老狼起身</t>
        </is>
      </c>
      <c r="M106" s="14" t="inlineStr">
        <is>
          <t>装病蛰伏的老狼站了起来。</t>
        </is>
      </c>
      <c r="N106" s="14" t="inlineStr">
        <is>
          <t>被曹爽排挤的司马懿装病蛰伏。趁曹爽随天子出城拜谒高平陵，他与两个儿子控制了洛阳，魏国大权落入司马氏之手。</t>
        </is>
      </c>
      <c r="O106" s="14" t="inlineStr">
        <is>
          <t>O Velho Lobo se Ergue</t>
        </is>
      </c>
      <c r="P106" s="14" t="inlineStr">
        <is>
          <t>O velho lobo que fingia estar doente enfim se ergueu.</t>
        </is>
      </c>
      <c r="Q106" s="14" t="inlineStr">
        <is>
          <t>Afastado por Cao Shuang, Sima Yi passava os dias fingindo-se doente. Enquanto Cao Shuang acompanhava o imperador ao túmulo de Gaoping, Sima Yi e os dois filhos tomaram Luoyang, e o poder de Wei passou ao clã Sima.</t>
        </is>
      </c>
      <c r="R106" s="14" t="inlineStr">
        <is>
          <t>O Velho Lobo Ergue-se</t>
        </is>
      </c>
      <c r="S106" s="14" t="inlineStr">
        <is>
          <t>O velho lobo que se fingia doente ergueu-se por fim.</t>
        </is>
      </c>
      <c r="T106" s="14" t="inlineStr">
        <is>
          <t>Afastado do poder por Cao Shuang, Sima Yi passou anos a fingir-se doente. Quando Cao Shuang saiu com o imperador para visitar o túmulo de Gaoping, Sima Yi tomou Luoyang com os dois filhos, e o poder real de Wei passou para o clã Sima.</t>
        </is>
      </c>
      <c r="U106" s="14" t="inlineStr">
        <is>
          <t>Il vecchio lupo si alza</t>
        </is>
      </c>
      <c r="V106" s="14" t="inlineStr">
        <is>
          <t>Il vecchio lupo che fingeva di essere malato si alzò.</t>
        </is>
      </c>
      <c r="W106" s="14" t="inlineStr">
        <is>
          <t>Messo da parte da Cao Shuang, Sima Yi fingeva di essere gravemente malato. Mentre Cao Shuang accompagnava l'imperatore a rendere omaggio a Gaopingling, prese Luoyang con i due figli, e il potere reale di Wei passò ai Sima.</t>
        </is>
      </c>
      <c r="X106" s="14" t="inlineStr">
        <is>
          <t>Se alza el viejo lobo</t>
        </is>
      </c>
      <c r="Y106" s="14" t="inlineStr">
        <is>
          <t>El viejo lobo que fingía estar enfermo se levantó.</t>
        </is>
      </c>
      <c r="Z106" s="14" t="inlineStr">
        <is>
          <t>Apartado por Cao Shuang, Sima Yi vivía fingiendo estar enfermo. Mientras Cao Shuang acompañaba al emperador a las tumbas de Gaoping, tomó Luoyang con sus dos hijos, y el poder real de Wei pasó a los Sima.</t>
        </is>
      </c>
      <c r="AA106" s="14" t="inlineStr">
        <is>
          <t>Хөгшин чоно бослоо</t>
        </is>
      </c>
      <c r="AB106" s="14" t="inlineStr">
        <is>
          <t>Өвчтэй дүр үзүүлэн хэвтэж байсан хөгшин чоно бослоо.</t>
        </is>
      </c>
      <c r="AC106" s="14" t="inlineStr">
        <is>
          <t>Цао Шуанд шахагдсан Сыма И өвчтэй дүр үзүүлэн хэвтэж байв. Цао Шуан хааныг дагуулан Гаопинлин бунханд мөргөлд гарсан хооронд хоёр хүүгийнхээ хамт Лояныг эзэлснээр Вэйн бодит эрх мэдэл Сыма овогт шилжжээ.</t>
        </is>
      </c>
      <c r="AD106" s="14" t="inlineStr">
        <is>
          <t>高平陵</t>
        </is>
      </c>
    </row>
    <row r="107">
      <c r="A107" t="n">
        <v>106</v>
      </c>
      <c r="B107" t="inlineStr">
        <is>
          <t>구벌중원</t>
        </is>
      </c>
      <c r="C107" s="14" t="inlineStr">
        <is>
          <t>Nine Campaigns North</t>
        </is>
      </c>
      <c r="D107" s="14" t="inlineStr">
        <is>
          <t>Carrying on his master's will, Jiang Wei struck at the Central Plains nine times.</t>
        </is>
      </c>
      <c r="E107" s="14" t="inlineStr">
        <is>
          <t>After Zhuge Liang's death, Jiang Wei carried on his master's will and led campaign after campaign to the north. The Romance calls them the “Nine Campaigns Against the Central Plains.” Shu's strength dwindled, but Jiang Wei never stopped to the very end.</t>
        </is>
      </c>
      <c r="F107" s="14" t="inlineStr">
        <is>
          <t>九たびの北伐</t>
        </is>
      </c>
      <c r="G107" s="14" t="inlineStr">
        <is>
          <t>師の遺志を継ぎ、姜維は九たび中原を攻めた。</t>
        </is>
      </c>
      <c r="H107" s="14" t="inlineStr">
        <is>
          <t>諸葛亮の死後、姜維は師の遺志を継いでたびたび北伐に出た。演義はその北伐を「九伐中原」と呼ぶ。蜀の力は次第に衰えたが、姜維は最後まで止まらなかった。</t>
        </is>
      </c>
      <c r="I107" s="14" t="inlineStr">
        <is>
          <t>九次北伐</t>
        </is>
      </c>
      <c r="J107" s="14" t="inlineStr">
        <is>
          <t>繼承師志，姜維九次出兵中原。</t>
        </is>
      </c>
      <c r="K107" s="14" t="inlineStr">
        <is>
          <t>諸葛亮死後，姜維繼承師志，屢次北伐。演義稱之為「九伐中原」。蜀國國力日漸衰弱，姜維卻始終沒有停下腳步。</t>
        </is>
      </c>
      <c r="L107" s="14" t="inlineStr">
        <is>
          <t>九次北伐</t>
        </is>
      </c>
      <c r="M107" s="14" t="inlineStr">
        <is>
          <t>继承师志，姜维九伐中原。</t>
        </is>
      </c>
      <c r="N107" s="14" t="inlineStr">
        <is>
          <t>诸葛亮死后，姜维继承师志，多次北伐。演义称之为「九伐中原」。蜀国国力日渐衰弱，姜维却直到最后也没有停下。</t>
        </is>
      </c>
      <c r="O107" s="14" t="inlineStr">
        <is>
          <t>Nove Campanhas nas Planícies</t>
        </is>
      </c>
      <c r="P107" s="14" t="inlineStr">
        <is>
          <t>Herdeiro da vontade do mestre, Jiang Wei atacou nove vezes as Planícies Centrais.</t>
        </is>
      </c>
      <c r="Q107" s="14" t="inlineStr">
        <is>
          <t>Após a morte de Zhuge Liang, Jiang Wei seguiu a vontade do mestre e partiu várias vezes para o norte. O Romance chama essas campanhas de “nove ataques às Planícies Centrais”. A força de Shu minguava, mas Jiang Wei não parou até o fim.</t>
        </is>
      </c>
      <c r="R107" s="14" t="inlineStr">
        <is>
          <t>Nove Campanhas do Norte</t>
        </is>
      </c>
      <c r="S107" s="14" t="inlineStr">
        <is>
          <t>Fiel à vontade do mestre, Jiang Wei atacou nove vezes as Planícies Centrais.</t>
        </is>
      </c>
      <c r="T107" s="14" t="inlineStr">
        <is>
          <t>Morto Zhuge Liang, Jiang Wei prosseguiu a vontade do mestre e partiu várias vezes em campanha para norte. O Romance chama-lhes as Nove Campanhas às Planícies Centrais. As forças de Shu foram minguando, mas Jiang Wei nunca parou.</t>
        </is>
      </c>
      <c r="U107" s="14" t="inlineStr">
        <is>
          <t>Nove spedizioni a nord</t>
        </is>
      </c>
      <c r="V107" s="14" t="inlineStr">
        <is>
          <t>Raccogliendo la volontà del maestro, Jiang Wei attaccò nove volte le Pianure Centrali.</t>
        </is>
      </c>
      <c r="W107" s="14" t="inlineStr">
        <is>
          <t>Morto Zhuge Liang, Jiang Wei ne raccolse la volontà e intraprese numerose spedizioni a nord. Il Romanzo le chiama «le nove campagne nelle Pianure Centrali». Le forze di Shu si assottigliavano, ma Jiang Wei non si fermò fino all'ultimo.</t>
        </is>
      </c>
      <c r="X107" s="14" t="inlineStr">
        <is>
          <t>Nueve campañas al norte</t>
        </is>
      </c>
      <c r="Y107" s="14" t="inlineStr">
        <is>
          <t>Siguiendo la voluntad de su maestro, Jiang Wei atacó nueve veces las Llanuras Centrales.</t>
        </is>
      </c>
      <c r="Z107" s="14" t="inlineStr">
        <is>
          <t>Tras la muerte de Zhuge Liang, Jiang Wei siguió la voluntad de su maestro y marchó al norte una y otra vez. La novela las llama «las nueve campañas a las Llanuras Centrales». Las fuerzas de Shu menguaban, pero Jiang Wei no se detuvo hasta el final.</t>
        </is>
      </c>
      <c r="AA107" s="14" t="inlineStr">
        <is>
          <t>Есөн удаагийн хойд аян</t>
        </is>
      </c>
      <c r="AB107" s="14" t="inlineStr">
        <is>
          <t>Багшийнхаа хүслийг залгамжилж Цзян Вэй Төв газрыг есөн удаа довтлов.</t>
        </is>
      </c>
      <c r="AC107" s="14" t="inlineStr">
        <is>
          <t>Чжугэ Лян нас барсны дараа Цзян Вэй багшийнхаа хүслийг залгамжлан олон удаа хойд аянд мордов. Туужид тэр аяныг «Төв газрыг есөн удаа довтолсон нь» хэмээн нэрлэдэг. Шугийн хүч улам суларсаар байсан ч Цзян Вэй эцсээ хүртэл зогссонгүй.</t>
        </is>
      </c>
      <c r="AD107" s="14" t="inlineStr">
        <is>
          <t>九伐中原</t>
        </is>
      </c>
    </row>
    <row r="108">
      <c r="A108" t="n">
        <v>107</v>
      </c>
      <c r="B108" t="inlineStr">
        <is>
          <t>촉의 사상</t>
        </is>
      </c>
      <c r="C108" s="14" t="inlineStr">
        <is>
          <t>Shu After Zhuge Liang</t>
        </is>
      </c>
      <c r="D108" s="14" t="inlineStr">
        <is>
          <t>After Zhuge Liang, Jiang Wan and Fei Yi held Shu together.</t>
        </is>
      </c>
      <c r="E108" s="14" t="inlineStr">
        <is>
          <t>Before he died, Zhuge Liang named Jiang Wan as his successor, and Fei Yi after Jiang Wan. Zhuge Liang, Jiang Wan, Fei Yi and Dong Yun were called the Four Chancellors of Shu, and while they lived, Shu stood firm.</t>
        </is>
      </c>
      <c r="F108" s="14" t="inlineStr">
        <is>
          <t>諸葛亮亡きあとの蜀</t>
        </is>
      </c>
      <c r="G108" s="14" t="inlineStr">
        <is>
          <t>諸葛亮亡きあとの蜀を、蒋琬と費禕が支えた。</t>
        </is>
      </c>
      <c r="H108" s="14" t="inlineStr">
        <is>
          <t>諸葛亮は死の前に蒋琬を、蒋琬の次には費禕を後継に定めた。諸葛亮・蒋琬・費禕・董允を蜀の四相と呼び、彼らがいる間、蜀は安定していた。</t>
        </is>
      </c>
      <c r="I108" s="14" t="inlineStr">
        <is>
          <t>諸葛亮之後的蜀</t>
        </is>
      </c>
      <c r="J108" s="14" t="inlineStr">
        <is>
          <t>諸葛亮身後的蜀國，由蔣琬與費禕撐起。</t>
        </is>
      </c>
      <c r="K108" s="14" t="inlineStr">
        <is>
          <t>諸葛亮臨終前指定蔣琬為繼任，蔣琬之後則是費禕。諸葛亮、蔣琬、費禕、董允並稱蜀之四相，他們在世時，蜀國安定無事。</t>
        </is>
      </c>
      <c r="L108" s="14" t="inlineStr">
        <is>
          <t>诸葛亮之后的蜀</t>
        </is>
      </c>
      <c r="M108" s="14" t="inlineStr">
        <is>
          <t>诸葛亮之后的蜀汉，由蒋琬与费祎支撑。</t>
        </is>
      </c>
      <c r="N108" s="14" t="inlineStr">
        <is>
          <t>诸葛亮临终前定蒋琬为继任，蒋琬之后是费祎。诸葛亮、蒋琬、费祎、董允并称蜀汉四相，有他们在，蜀汉便得安定。</t>
        </is>
      </c>
      <c r="O108" s="14" t="inlineStr">
        <is>
          <t>Shu Depois de Zhuge Liang</t>
        </is>
      </c>
      <c r="P108" s="14" t="inlineStr">
        <is>
          <t>Jiang Wan e Fei Yi sustentaram Shu depois de Zhuge Liang.</t>
        </is>
      </c>
      <c r="Q108" s="14" t="inlineStr">
        <is>
          <t>Antes de morrer, Zhuge Liang designou Jiang Wan como sucessor e, depois dele, Fei Yi. Zhuge Liang, Jiang Wan, Fei Yi e Dong Yun foram chamados os quatro chanceleres de Shu, e enquanto viveram Shu esteve em paz.</t>
        </is>
      </c>
      <c r="R108" s="14" t="inlineStr">
        <is>
          <t>Shu Depois de Zhuge Liang</t>
        </is>
      </c>
      <c r="S108" s="14" t="inlineStr">
        <is>
          <t>Depois de Zhuge Liang, foram Jiang Wan e Fei Yi que sustentaram Shu.</t>
        </is>
      </c>
      <c r="T108" s="14" t="inlineStr">
        <is>
          <t>Antes de morrer, Zhuge Liang designou Jiang Wan como sucessor e, depois dele, Fei Yi. Zhuge Liang, Jiang Wan, Fei Yi e Dong Yun ficaram conhecidos como os Quatro Ministros de Shu, e enquanto viveram Shu manteve-se estável.</t>
        </is>
      </c>
      <c r="U108" s="14" t="inlineStr">
        <is>
          <t>Shu dopo Zhuge Liang</t>
        </is>
      </c>
      <c r="V108" s="14" t="inlineStr">
        <is>
          <t>Dopo Zhuge Liang, furono Jiang Wan e Fei Yi a sorreggere Shu.</t>
        </is>
      </c>
      <c r="W108" s="14" t="inlineStr">
        <is>
          <t>Prima di morire Zhuge Liang designò come successore Jiang Wan, e dopo di lui Fei Yi. Zhuge Liang, Jiang Wan, Fei Yi e Dong Yun furono detti i quattro ministri di Shu, e finché vissero Shu rimase stabile.</t>
        </is>
      </c>
      <c r="X108" s="14" t="inlineStr">
        <is>
          <t>Shu después de Zhuge Liang</t>
        </is>
      </c>
      <c r="Y108" s="14" t="inlineStr">
        <is>
          <t>Tras Zhuge Liang, Jiang Wan y Fei Yi sostuvieron Shu.</t>
        </is>
      </c>
      <c r="Z108" s="14" t="inlineStr">
        <is>
          <t>Antes de morir, Zhuge Liang designó como sucesor a Jiang Wan, y después de él a Fei Yi. A Zhuge Liang, Jiang Wan, Fei Yi y Dong Yun se los llamó los cuatro ministros de Shu, y mientras vivieron, Shu se mantuvo estable.</t>
        </is>
      </c>
      <c r="AA108" s="14" t="inlineStr">
        <is>
          <t>Чжугэ Ляны дараах Шу</t>
        </is>
      </c>
      <c r="AB108" s="14" t="inlineStr">
        <is>
          <t>Чжугэ Ляны дараах Шуг Цзян Вань, Фэй И хоёр тулан тогтоов.</t>
        </is>
      </c>
      <c r="AC108" s="14" t="inlineStr">
        <is>
          <t>Чжугэ Лян нас барахынхаа өмнө Цзян Ваныг, Цзян Ваны дараа Фэй Иг залгамжлагчаар тогтоов. Чжугэ Лян, Цзян Вань, Фэй И, Дун Юнь нарыг Шугийн дөрвөн сайд хэмээн нэрлэдэг бөгөөд тэднийг байх хооронд Шу тогтвортой байлаа.</t>
        </is>
      </c>
      <c r="AD108" s="14" t="inlineStr">
        <is>
          <t>蜀汉四相</t>
        </is>
      </c>
    </row>
    <row r="109">
      <c r="A109" t="n">
        <v>108</v>
      </c>
      <c r="B109" t="inlineStr">
        <is>
          <t>오호대장군</t>
        </is>
      </c>
      <c r="C109" s="14" t="inlineStr">
        <is>
          <t>The Five Tiger Generals</t>
        </is>
      </c>
      <c r="D109" s="14" t="inlineStr">
        <is>
          <t>Guan Yu, Zhang Fei, Zhao Yun, Ma Chao, Huang Zhong. The five tigers of Shu Han.</t>
        </is>
      </c>
      <c r="E109" s="14" t="inlineStr">
        <is>
          <t>Having become King of Hanzhong, Liu Bei named Guan Yu, Zhang Fei, Ma Chao and Huang Zhong the generals of the four quarters. The Romance adds Zhao Yun and calls them the “Five Tiger Generals” — the five tigers of Shu Han.</t>
        </is>
      </c>
      <c r="F109" s="14" t="inlineStr">
        <is>
          <t>五虎大将軍</t>
        </is>
      </c>
      <c r="G109" s="14" t="inlineStr">
        <is>
          <t>関羽・張飛・趙雲・馬超・黄忠。蜀漢の五頭の虎。</t>
        </is>
      </c>
      <c r="H109" s="14" t="inlineStr">
        <is>
          <t>漢中王となった劉備は、関羽・張飛・馬超・黄忠を四方の将軍に任じた。演義はこれに趙雲を加えて「五虎大将軍」と呼んだ。蜀漢の五頭の虎である。</t>
        </is>
      </c>
      <c r="I109" s="14" t="inlineStr">
        <is>
          <t>五虎大將</t>
        </is>
      </c>
      <c r="J109" s="14" t="inlineStr">
        <is>
          <t>關羽、張飛、趙雲、馬超、黃忠。蜀漢的五隻猛虎。</t>
        </is>
      </c>
      <c r="K109" s="14" t="inlineStr">
        <is>
          <t>成為漢中王的劉備，封關羽、張飛、馬超、黃忠為四方將軍。演義再加上趙雲，稱為「五虎大將」。這就是蜀漢的五虎。</t>
        </is>
      </c>
      <c r="L109" s="14" t="inlineStr">
        <is>
          <t>五虎大将</t>
        </is>
      </c>
      <c r="M109" s="14" t="inlineStr">
        <is>
          <t>关羽、张飞、赵云、马超、黄忠。蜀汉的五只猛虎。</t>
        </is>
      </c>
      <c r="N109" s="14" t="inlineStr">
        <is>
          <t>刘备称汉中王后，封关羽、张飞、马超、黄忠为四方将军。演义再加上赵云，称为「五虎大将」——蜀汉的五只猛虎。</t>
        </is>
      </c>
      <c r="O109" s="14" t="inlineStr">
        <is>
          <t>Os Cinco Generais Tigres</t>
        </is>
      </c>
      <c r="P109" s="14" t="inlineStr">
        <is>
          <t>Guan Yu, Zhang Fei, Zhao Yun, Ma Chao, Huang Zhong. Os cinco tigres de Shu Han.</t>
        </is>
      </c>
      <c r="Q109" s="14" t="inlineStr">
        <is>
          <t>Feito Rei de Hanzhong, Liu Bei nomeou Guan Yu, Zhang Fei, Ma Chao e Huang Zhong generais dos quatro cantos. O Romance acrescentou Zhao Yun e os chamou de “Cinco Generais Tigres” — os cinco tigres de Shu Han.</t>
        </is>
      </c>
      <c r="R109" s="14" t="inlineStr">
        <is>
          <t>Os Cinco Tigres</t>
        </is>
      </c>
      <c r="S109" s="14" t="inlineStr">
        <is>
          <t>Guan Yu, Zhang Fei, Zhao Yun, Ma Chao e Huang Zhong. Os cinco tigres de Shu Han.</t>
        </is>
      </c>
      <c r="T109" s="14" t="inlineStr">
        <is>
          <t>Feito Rei de Hanzhong, Liu Bei nomeou Guan Yu, Zhang Fei, Ma Chao e Huang Zhong generais dos quatro pontos cardeais. O Romance acrescentou Zhao Yun e chamou-lhes os Cinco Generais Tigres — os cinco tigres de Shu Han.</t>
        </is>
      </c>
      <c r="U109" s="14" t="inlineStr">
        <is>
          <t>I Cinque Generali Tigre</t>
        </is>
      </c>
      <c r="V109" s="14" t="inlineStr">
        <is>
          <t>Guan Yu, Zhang Fei, Zhao Yun, Ma Chao, Huang Zhong. Le cinque tigri di Shu Han.</t>
        </is>
      </c>
      <c r="W109" s="14" t="inlineStr">
        <is>
          <t>Divenuto re di Hanzhong, Liu Bei nominò Guan Yu, Zhang Fei, Ma Chao e Huang Zhong generali dei quattro punti cardinali. Il Romanzo vi aggiunse Zhao Yun e li chiamò «i Cinque Generali Tigre»: le cinque tigri di Shu Han.</t>
        </is>
      </c>
      <c r="X109" s="14" t="inlineStr">
        <is>
          <t>Los Cinco Tigres</t>
        </is>
      </c>
      <c r="Y109" s="14" t="inlineStr">
        <is>
          <t>Guan Yu, Zhang Fei, Zhao Yun, Ma Chao y Huang Zhong. Los cinco tigres de Shu Han.</t>
        </is>
      </c>
      <c r="Z109" s="14" t="inlineStr">
        <is>
          <t>Convertido en rey de Hanzhong, Liu Bei nombró generales de los cuatro puntos a Guan Yu, Zhang Fei, Ma Chao y Huang Zhong. La novela sumó a Zhao Yun y los llamó «los Cinco Generales Tigre»: los cinco tigres de Shu Han.</t>
        </is>
      </c>
      <c r="AA109" s="14" t="inlineStr">
        <is>
          <t>Таван бар жанжин</t>
        </is>
      </c>
      <c r="AB109" s="14" t="inlineStr">
        <is>
          <t>Гуань Юй, Чжан Фэй, Чжао Юнь, Ма Чао, Хуан Чжун. Шу Ханий таван бар.</t>
        </is>
      </c>
      <c r="AC109" s="14" t="inlineStr">
        <is>
          <t>Ханьчжуны ван болсон Лю Бэй Гуань Юй, Чжан Фэй, Ма Чао, Хуан Чжун нарыг дөрвөн зүгийн жанжнаар томилов. Туужид үүн дээр Чжао Юнийг нэмж «Таван бар жанжин» хэмээн нэрлэсэн нь Шу Ханий таван бар юм.</t>
        </is>
      </c>
      <c r="AD109" s="14" t="inlineStr">
        <is>
          <t>五虎大将</t>
        </is>
      </c>
    </row>
    <row r="110">
      <c r="A110" t="n">
        <v>109</v>
      </c>
      <c r="B110" t="inlineStr">
        <is>
          <t>오자양장</t>
        </is>
      </c>
      <c r="C110" s="14" t="inlineStr">
        <is>
          <t>Cao Cao's Five Generals</t>
        </is>
      </c>
      <c r="D110" s="14" t="inlineStr">
        <is>
          <t>The five great generals who upheld Cao Cao.</t>
        </is>
      </c>
      <c r="E110" s="14" t="inlineStr">
        <is>
          <t>Zhang Liao, Yue Jin, Yu Jin, Zhang He, Xu Huang — the Records of the Three Kingdoms places these five in a single biography. They led the vanguard and guarded the rear in every one of Cao Cao's campaigns, the generals he trusted most.</t>
        </is>
      </c>
      <c r="F110" s="14" t="inlineStr">
        <is>
          <t>曹操の五人の名将</t>
        </is>
      </c>
      <c r="G110" s="14" t="inlineStr">
        <is>
          <t>曹操を支えた五人の名将。</t>
        </is>
      </c>
      <c r="H110" s="14" t="inlineStr">
        <is>
          <t>張遼・楽進・于禁・張郃・徐晃――『三国志』はこの五人を一つの伝にまとめた。曹操の征伐のたびに先鋒と殿を務めた、曹操が最も信頼した将たちである。</t>
        </is>
      </c>
      <c r="I110" s="14" t="inlineStr">
        <is>
          <t>曹操的五員名將</t>
        </is>
      </c>
      <c r="J110" s="14" t="inlineStr">
        <is>
          <t>支撐曹操的五員名將。</t>
        </is>
      </c>
      <c r="K110" s="14" t="inlineStr">
        <is>
          <t>張遼、樂進、于禁、張郃、徐晃——《三國志》將這五人合為一傳。他們在曹操每次征戰中擔任先鋒與殿後，是曹操最信任的將領。</t>
        </is>
      </c>
      <c r="L110" s="14" t="inlineStr">
        <is>
          <t>曹操的五员名将</t>
        </is>
      </c>
      <c r="M110" s="14" t="inlineStr">
        <is>
          <t>支撑曹操的五员名将。</t>
        </is>
      </c>
      <c r="N110" s="14" t="inlineStr">
        <is>
          <t>张辽、乐进、于禁、张郃、徐晃——《三国志》将这五人合为一传。曹操每次征伐，都由他们担当先锋与殿后，是曹操最信赖的将领。</t>
        </is>
      </c>
      <c r="O110" s="14" t="inlineStr">
        <is>
          <t>Os Cinco Generais de Cao Cao</t>
        </is>
      </c>
      <c r="P110" s="14" t="inlineStr">
        <is>
          <t>Os cinco grandes generais que sustentaram Cao Cao.</t>
        </is>
      </c>
      <c r="Q110" s="14" t="inlineStr">
        <is>
          <t>Zhang Liao, Yue Jin, Yu Jin, Zhang He, Xu Huang — os Registros dos Três Reinos reuniram os cinco numa só biografia. Em cada campanha de Cao Cao eles guardaram a vanguarda e a retaguarda: os generais em quem ele mais confiava.</t>
        </is>
      </c>
      <c r="R110" s="14" t="inlineStr">
        <is>
          <t>Os Cinco Generais de Cao Cao</t>
        </is>
      </c>
      <c r="S110" s="14" t="inlineStr">
        <is>
          <t>Os cinco grandes generais que sustentaram Cao Cao.</t>
        </is>
      </c>
      <c r="T110" s="14" t="inlineStr">
        <is>
          <t>Zhang Liao, Yue Jin, Yu Jin, Zhang He e Xu Huang — os Registos dos Três Reinos reúnem os cinco numa só biografia. Em todas as campanhas de Cao Cao guardaram a vanguarda e a retaguarda; eram os generais em quem mais confiava.</t>
        </is>
      </c>
      <c r="U110" s="14" t="inlineStr">
        <is>
          <t>I cinque generali di Cao Cao</t>
        </is>
      </c>
      <c r="V110" s="14" t="inlineStr">
        <is>
          <t>I cinque grandi generali che sostennero Cao Cao.</t>
        </is>
      </c>
      <c r="W110" s="14" t="inlineStr">
        <is>
          <t>Zhang Liao, Yue Jin, Yu Jin, Zhang He, Xu Huang: le «Cronache dei Tre Regni» li riunirono in un'unica biografia. Guidarono avanguardia e retroguardia in ogni campagna di Cao Cao e furono i generali di cui più si fidava.</t>
        </is>
      </c>
      <c r="X110" s="14" t="inlineStr">
        <is>
          <t>Los cinco grandes de Cao Cao</t>
        </is>
      </c>
      <c r="Y110" s="14" t="inlineStr">
        <is>
          <t>Los cinco grandes generales que sostuvieron a Cao Cao.</t>
        </is>
      </c>
      <c r="Z110" s="14" t="inlineStr">
        <is>
          <t>Zhang Liao, Yue Jin, Yu Jin, Zhang He y Xu Huang: las «Crónicas de los Tres Reinos» reúnen a los cinco en una misma biografía. En cada campaña de Cao Cao llevaron la vanguardia y la retaguardia; eran los generales en quienes más confiaba.</t>
        </is>
      </c>
      <c r="AA110" s="14" t="inlineStr">
        <is>
          <t>Цао Цаогийн таван нэрт жанжин</t>
        </is>
      </c>
      <c r="AB110" s="14" t="inlineStr">
        <is>
          <t>Цао Цаог түшсэн таван нэрт жанжин.</t>
        </is>
      </c>
      <c r="AC110" s="14" t="inlineStr">
        <is>
          <t>Чжан Ляо, Юэ Цзинь, Юй Цзинь, Чжан Хэ, Сюй Хуан — «Гурван улсын судар» энэ тавыг нэг бүлэгт багтаажээ. Цао Цаогийн аян бүрт манлай, арын хамгаалалтыг хариуцсан, Цао Цаогийн хамгийн их итгэдэг жанжид юм.</t>
        </is>
      </c>
      <c r="AD110" s="14" t="inlineStr">
        <is>
          <t>五子良将</t>
        </is>
      </c>
    </row>
    <row r="111">
      <c r="A111" t="n">
        <v>110</v>
      </c>
      <c r="B111" t="inlineStr">
        <is>
          <t>동오 4대 도독</t>
        </is>
      </c>
      <c r="C111" s="14" t="inlineStr">
        <is>
          <t>Four Commanders of Wu</t>
        </is>
      </c>
      <c r="D111" s="14" t="inlineStr">
        <is>
          <t>Zhou Yu, Lu Su, Lü Meng, Lu Xun. Command of Jiangdong's armies passed through their hands.</t>
        </is>
      </c>
      <c r="E111" s="14" t="inlineStr">
        <is>
          <t>Command of Jiangdong's armies passed from Zhou Yu to Lu Su, from Lu Su to Lü Meng, and from Lü Meng to Lu Xun. Red Cliffs, Jing Province, Yiling — every great battle of Wu was fought by the hands of these four commanders.</t>
        </is>
      </c>
      <c r="F111" s="14" t="inlineStr">
        <is>
          <t>江東の四都督</t>
        </is>
      </c>
      <c r="G111" s="14" t="inlineStr">
        <is>
          <t>周瑜・魯粛・呂蒙・陸遜。江東の兵権は彼らの手を経ていった。</t>
        </is>
      </c>
      <c r="H111" s="14" t="inlineStr">
        <is>
          <t>江東の兵権は周瑜から魯粛へ、魯粛から呂蒙へ、呂蒙から陸遜へと受け継がれた。赤壁・荊州・夷陵――呉の大きな戦いは、すべてこの四都督の手で戦われた。</t>
        </is>
      </c>
      <c r="I111" s="14" t="inlineStr">
        <is>
          <t>江東四都督</t>
        </is>
      </c>
      <c r="J111" s="14" t="inlineStr">
        <is>
          <t>周瑜、魯肅、呂蒙、陸遜。江東兵權經由這四人之手傳承。</t>
        </is>
      </c>
      <c r="K111" s="14" t="inlineStr">
        <is>
          <t>江東的兵權從周瑜傳到魯肅，從魯肅傳到呂蒙，再由呂蒙傳到陸遜。赤壁、荊州、夷陵——東吳的大戰都出自這四位都督之手。</t>
        </is>
      </c>
      <c r="L111" s="14" t="inlineStr">
        <is>
          <t>江东四都督</t>
        </is>
      </c>
      <c r="M111" s="14" t="inlineStr">
        <is>
          <t>周瑜、鲁肃、吕蒙、陆逊。江东兵权经由他们之手传承。</t>
        </is>
      </c>
      <c r="N111" s="14" t="inlineStr">
        <is>
          <t>江东兵权由周瑜传给鲁肃，鲁肃传给吕蒙，吕蒙又传给陆逊。赤壁、荆州、夷陵——吴国的大战都出自这四位都督之手。</t>
        </is>
      </c>
      <c r="O111" s="14" t="inlineStr">
        <is>
          <t>Os Quatro Comandantes de Wu</t>
        </is>
      </c>
      <c r="P111" s="14" t="inlineStr">
        <is>
          <t>Zhou Yu, Lu Su, Lü Meng, Lu Xun. O comando de Jiangdong passou por suas mãos.</t>
        </is>
      </c>
      <c r="Q111" s="14" t="inlineStr">
        <is>
          <t>O comando militar de Jiangdong passou de Zhou Yu a Lu Su, de Lu Su a Lü Meng e de Lü Meng a Lu Xun. Penhascos Vermelhos, Jing, Yiling — todas as grandes batalhas de Wu foram travadas por esses quatro.</t>
        </is>
      </c>
      <c r="R111" s="14" t="inlineStr">
        <is>
          <t>Os Quatro Comandantes de Wu</t>
        </is>
      </c>
      <c r="S111" s="14" t="inlineStr">
        <is>
          <t>Zhou Yu, Lu Su, Lü Meng e Lu Xun. O comando militar de Jiangdong passou pelas mãos destes quatro.</t>
        </is>
      </c>
      <c r="T111" s="14" t="inlineStr">
        <is>
          <t>O comando militar de Jiangdong passou de Zhou Yu para Lu Su, de Lu Su para Lü Meng e de Lü Meng para Lu Xun. Chibi, Jingzhou, Yiling — todas as grandes batalhas de Wu foram travadas pelas mãos destes quatro comandantes.</t>
        </is>
      </c>
      <c r="U111" s="14" t="inlineStr">
        <is>
          <t>I quattro comandanti di Jiangdong</t>
        </is>
      </c>
      <c r="V111" s="14" t="inlineStr">
        <is>
          <t>Zhou Yu, Lu Su, Lü Meng, Lu Xun. Il comando militare di Jiangdong passò per le loro mani.</t>
        </is>
      </c>
      <c r="W111" s="14" t="inlineStr">
        <is>
          <t>Il comando militare di Jiangdong passò da Zhou Yu a Lu Su, da Lu Su a Lü Meng, da Lü Meng a Lu Xun. Scogliere Rosse, Jingzhou, Yiling: le grandi battaglie di Wu furono tutte combattute da questi quattro comandanti.</t>
        </is>
      </c>
      <c r="X111" s="14" t="inlineStr">
        <is>
          <t>Los cuatro comandantes de Wu</t>
        </is>
      </c>
      <c r="Y111" s="14" t="inlineStr">
        <is>
          <t>Zhou Yu, Lu Su, Lü Meng y Lu Xun. El mando de Jiangdong pasó por sus manos.</t>
        </is>
      </c>
      <c r="Z111" s="14" t="inlineStr">
        <is>
          <t>El mando militar de Jiangdong pasó de Zhou Yu a Lu Su, de Lu Su a Lü Meng y de Lü Meng a Lu Xun. Acantilados Rojos, Jing, Yiling: todas las grandes batallas de Wu las libraron estos cuatro comandantes.</t>
        </is>
      </c>
      <c r="AA111" s="14" t="inlineStr">
        <is>
          <t>Цзяндуны дөрвөн жанжин</t>
        </is>
      </c>
      <c r="AB111" s="14" t="inlineStr">
        <is>
          <t>Чжоу Юй, Лу Су, Люй Мэн, Лу Сюнь. Цзяндуны цэргийн эрх тэдний гараар дамжжээ.</t>
        </is>
      </c>
      <c r="AC111" s="14" t="inlineStr">
        <is>
          <t>Цзяндуны цэргийн эрх Чжоу Юйгээс Лу Сугийн, Лу Сугаас Люй Мэнгийн, Люй Мэнгээс Лу Сюнийн гарт шилжжээ. Чиби, Цзинчжоу, Илин — У улсын томоохон тулаан бүгд энэ дөрвөн жанжны гараар явагдсан юм.</t>
        </is>
      </c>
      <c r="AD111" s="14" t="inlineStr">
        <is>
          <t>东吴四都督</t>
        </is>
      </c>
    </row>
    <row r="112">
      <c r="A112" t="n">
        <v>111</v>
      </c>
      <c r="B112" t="inlineStr">
        <is>
          <t>위의 모사들</t>
        </is>
      </c>
      <c r="C112" s="14" t="inlineStr">
        <is>
          <t>Cao Cao's Strategists</t>
        </is>
      </c>
      <c r="D112" s="14" t="inlineStr">
        <is>
          <t>The finest minds of the realm gathered under Cao Cao.</t>
        </is>
      </c>
      <c r="E112" s="14" t="inlineStr">
        <is>
          <t>Xun Yu, Xun You, Guo Jia, Cheng Yu, Jia Xu — and Sima Yi. The finest minds of the realm gathered under Cao Cao, and he knew how to hear them out and decide.</t>
        </is>
      </c>
      <c r="F112" s="14" t="inlineStr">
        <is>
          <t>曹操の策士たち</t>
        </is>
      </c>
      <c r="G112" s="14" t="inlineStr">
        <is>
          <t>曹操の幕下には、天下の智謀が集まった。</t>
        </is>
      </c>
      <c r="H112" s="14" t="inlineStr">
        <is>
          <t>荀彧・荀攸・郭嘉・程昱・賈詡、そして司馬懿。曹操の幕下には天下の智謀が集まり、曹操は彼らの言葉を聞いて決断することを知っていた。</t>
        </is>
      </c>
      <c r="I112" s="14" t="inlineStr">
        <is>
          <t>曹操的謀士們</t>
        </is>
      </c>
      <c r="J112" s="14" t="inlineStr">
        <is>
          <t>天下智謀之士齊聚曹操帳下。</t>
        </is>
      </c>
      <c r="K112" s="14" t="inlineStr">
        <is>
          <t>荀彧、荀攸、郭嘉、程昱、賈詡，還有司馬懿。天下智謀之士匯聚於曹操帳下，而曹操懂得聽取他們的意見並做出決斷。</t>
        </is>
      </c>
      <c r="L112" s="14" t="inlineStr">
        <is>
          <t>曹操的谋士们</t>
        </is>
      </c>
      <c r="M112" s="14" t="inlineStr">
        <is>
          <t>曹操帐下，天下智谋云集。</t>
        </is>
      </c>
      <c r="N112" s="14" t="inlineStr">
        <is>
          <t>荀彧、荀攸、郭嘉、程昱、贾诩，还有司马懿。曹操帐下天下智谋云集，而曹操也懂得听取其言、当机立断。</t>
        </is>
      </c>
      <c r="O112" s="14" t="inlineStr">
        <is>
          <t>Os Estrategistas de Cao Cao</t>
        </is>
      </c>
      <c r="P112" s="14" t="inlineStr">
        <is>
          <t>Os maiores estrategistas do mundo se reuniram sob Cao Cao.</t>
        </is>
      </c>
      <c r="Q112" s="14" t="inlineStr">
        <is>
          <t>Xun Yu, Xun You, Guo Jia, Cheng Yu, Jia Xu e, por fim, Sima Yi. Os maiores talentos do mundo se reuniram sob Cao Cao, e ele sabia ouvi-los e decidir.</t>
        </is>
      </c>
      <c r="R112" s="14" t="inlineStr">
        <is>
          <t>Os Conselheiros de Cao Cao</t>
        </is>
      </c>
      <c r="S112" s="14" t="inlineStr">
        <is>
          <t>Os melhores estrategas do império reuniram-se sob Cao Cao.</t>
        </is>
      </c>
      <c r="T112" s="14" t="inlineStr">
        <is>
          <t>Xun Yu, Xun You, Guo Jia, Cheng Yu, Jia Xu e ainda Sima Yi. Os melhores estrategas do império reuniram-se sob Cao Cao, e Cao Cao sabia ouvi-los e decidir.</t>
        </is>
      </c>
      <c r="U112" s="14" t="inlineStr">
        <is>
          <t>Gli strateghi di Cao Cao</t>
        </is>
      </c>
      <c r="V112" s="14" t="inlineStr">
        <is>
          <t>Alla corte di Cao Cao confluivano le menti più acute dell'impero.</t>
        </is>
      </c>
      <c r="W112" s="14" t="inlineStr">
        <is>
          <t>Xun Yu, Xun You, Guo Jia, Cheng Yu, Jia Xu, e poi Sima Yi. Alla corte di Cao Cao confluivano le menti più acute dell'impero, e Cao Cao sapeva ascoltarle e decidere.</t>
        </is>
      </c>
      <c r="X112" s="14" t="inlineStr">
        <is>
          <t>Los estrategas de Cao Cao</t>
        </is>
      </c>
      <c r="Y112" s="14" t="inlineStr">
        <is>
          <t>Bajo el mando de Cao Cao se reunieron las mejores mentes del reino.</t>
        </is>
      </c>
      <c r="Z112" s="14" t="inlineStr">
        <is>
          <t>Xun Yu, Xun You, Guo Jia, Cheng Yu, Jia Xu y también Sima Yi. Las mejores mentes del reino se reunieron con Cao Cao, y él supo escucharlas y decidir.</t>
        </is>
      </c>
      <c r="AA112" s="14" t="inlineStr">
        <is>
          <t>Цао Цаогийн зөвлөхүүд</t>
        </is>
      </c>
      <c r="AB112" s="14" t="inlineStr">
        <is>
          <t>Цао Цаогийн дэргэд тэнгэрийн дорын мэргэд цугларав.</t>
        </is>
      </c>
      <c r="AC112" s="14" t="inlineStr">
        <is>
          <t>Сюнь Юй, Сюнь Ю, Го Цзя, Чэн Юй, Цзя Сюй, мөн Сыма И. Цао Цаогийн дэргэд тэнгэрийн дорын мэргэд цугларч, Цао Цао тэдний үгийг сонсоод шийдвэр гаргаж чаддаг байв.</t>
        </is>
      </c>
      <c r="AD112" s="14" t="inlineStr">
        <is>
          <t>魏之谋士</t>
        </is>
      </c>
    </row>
    <row r="113">
      <c r="A113" t="n">
        <v>112</v>
      </c>
      <c r="B113" t="inlineStr">
        <is>
          <t>강동 호신</t>
        </is>
      </c>
      <c r="C113" s="14" t="inlineStr">
        <is>
          <t>Tiger Officers of Jiangdong</t>
        </is>
      </c>
      <c r="D113" s="14" t="inlineStr">
        <is>
          <t>The generals of Jiangdong who served three generations of the Sun.</t>
        </is>
      </c>
      <c r="E113" s="14" t="inlineStr">
        <is>
          <t>Cheng Pu, Huang Gai and Han Dang served from Sun Jian's day; Zhou Tai, Jiang Qin and Chen Wu from Sun Ce's; Gan Ning, Ling Tong, Xu Sheng, Pan Zhang and Ding Feng from Sun Quan's. They were the tiger-like servants of three generations of the Sun.</t>
        </is>
      </c>
      <c r="F113" s="14" t="inlineStr">
        <is>
          <t>孫家三代を守った将</t>
        </is>
      </c>
      <c r="G113" s="14" t="inlineStr">
        <is>
          <t>孫家三代を守った江東の将たち。</t>
        </is>
      </c>
      <c r="H113" s="14" t="inlineStr">
        <is>
          <t>程普・黄蓋・韓当は孫堅の代から、周泰・蒋欽・陳武は孫策の代から、甘寧・凌統・徐盛・潘璋・丁奉は孫権の代から江東を守った。孫家三代の虎のごとき臣たちである。</t>
        </is>
      </c>
      <c r="I113" s="14" t="inlineStr">
        <is>
          <t>守護孫氏三代的將領</t>
        </is>
      </c>
      <c r="J113" s="14" t="inlineStr">
        <is>
          <t>守護孫氏三代的江東將領們。</t>
        </is>
      </c>
      <c r="K113" s="14" t="inlineStr">
        <is>
          <t>程普、黃蓋、韓當自孫堅時起，周泰、蔣欽、陳武自孫策時起，甘寧、凌統、徐盛、潘璋、丁奉自孫權時起守護江東。他們是孫氏三代如虎的臣子。</t>
        </is>
      </c>
      <c r="L113" s="14" t="inlineStr">
        <is>
          <t>守护孙氏三代的将领</t>
        </is>
      </c>
      <c r="M113" s="14" t="inlineStr">
        <is>
          <t>守护孙氏三代的江东将领。</t>
        </is>
      </c>
      <c r="N113" s="14" t="inlineStr">
        <is>
          <t>程普、黄盖、韩当自孙坚时起，周泰、蒋钦、陈武自孙策时起，甘宁、凌统、徐盛、潘璋、丁奉自孙权时起守护江东。他们是孙氏三代的虎臣。</t>
        </is>
      </c>
      <c r="O113" s="14" t="inlineStr">
        <is>
          <t>Guardiões de Três Gerações Sun</t>
        </is>
      </c>
      <c r="P113" s="14" t="inlineStr">
        <is>
          <t>Os generais de Jiangdong que guardaram três gerações da família Sun.</t>
        </is>
      </c>
      <c r="Q113" s="14" t="inlineStr">
        <is>
          <t>Cheng Pu, Huang Gai e Han Dang desde Sun Jian; Zhou Tai, Jiang Qin e Chen Wu desde Sun Ce; Gan Ning, Ling Tong, Xu Sheng, Pan Zhang e Ding Feng desde Sun Quan — todos guardaram Jiangdong. Os servidores tigres de três gerações Sun.</t>
        </is>
      </c>
      <c r="R113" s="14" t="inlineStr">
        <is>
          <t>Os Guardiões de Três Gerações Sun</t>
        </is>
      </c>
      <c r="S113" s="14" t="inlineStr">
        <is>
          <t>Os generais de Jiangdong que protegeram três gerações da família Sun.</t>
        </is>
      </c>
      <c r="T113" s="14" t="inlineStr">
        <is>
          <t>Cheng Pu, Huang Gai e Han Dang desde Sun Jian; Zhou Tai, Jiang Qin e Chen Wu desde Sun Ce; Gan Ning, Ling Tong, Xu Sheng, Pan Zhang e Ding Feng desde Sun Quan — todos defenderam Jiangdong. Eram os vassalos-tigres de três gerações dos Sun.</t>
        </is>
      </c>
      <c r="U113" s="14" t="inlineStr">
        <is>
          <t>Tre generazioni di Sun</t>
        </is>
      </c>
      <c r="V113" s="14" t="inlineStr">
        <is>
          <t>I generali di Jiangdong che difesero tre generazioni della famiglia Sun.</t>
        </is>
      </c>
      <c r="W113" s="14" t="inlineStr">
        <is>
          <t>Cheng Pu, Huang Gai e Han Dang dai tempi di Sun Jian, Zhou Tai, Jiang Qin e Chen Wu da quelli di Sun Ce, Gan Ning, Ling Tong, Xu Sheng, Pan Zhang e Ding Feng da quelli di Sun Quan difesero Jiangdong. Furono i servitori-tigre di tre generazioni dei Sun.</t>
        </is>
      </c>
      <c r="X113" s="14" t="inlineStr">
        <is>
          <t>Guardianes de tres generaciones</t>
        </is>
      </c>
      <c r="Y113" s="14" t="inlineStr">
        <is>
          <t>Los generales de Jiangdong que protegieron a tres generaciones de los Sun.</t>
        </is>
      </c>
      <c r="Z113" s="14" t="inlineStr">
        <is>
          <t>Cheng Pu, Huang Gai y Han Dang desde los tiempos de Sun Jian; Zhou Tai, Jiang Qin y Chen Wu desde Sun Ce; Gan Ning, Ling Tong, Xu Sheng, Pan Zhang y Ding Feng desde Sun Quan: todos defendieron Jiangdong. Fueron los tigres de tres generaciones de los Sun.</t>
        </is>
      </c>
      <c r="AA113" s="14" t="inlineStr">
        <is>
          <t>Сунь гурван үеийн жанжид</t>
        </is>
      </c>
      <c r="AB113" s="14" t="inlineStr">
        <is>
          <t>Сунь овгийн гурван үеийг сахисан Цзяндуны жанжид.</t>
        </is>
      </c>
      <c r="AC113" s="14" t="inlineStr">
        <is>
          <t>Чэн Пу, Хуан Гай, Хань Дан нар Сунь Цзяний үеэс, Чжоу Тай, Цзян Цинь, Чэнь У нар Сунь Цэгийн үеэс, Гань Нин, Лин Тун, Сюй Шэн, Пань Чжан, Дин Фэн нар Сунь Цюаний үеэс Цзяндуныг сахижээ. Сунь овгийн гурван үеийн бар мэт түшмэд юм.</t>
        </is>
      </c>
      <c r="AD113" s="14" t="inlineStr">
        <is>
          <t>江东虎臣</t>
        </is>
      </c>
    </row>
    <row r="114">
      <c r="A114" t="n">
        <v>113</v>
      </c>
      <c r="B114" t="inlineStr">
        <is>
          <t>주태의 흉터</t>
        </is>
      </c>
      <c r="C114" s="14" t="inlineStr">
        <is>
          <t>A Cup for Every Scar</t>
        </is>
      </c>
      <c r="D114" s="14" t="inlineStr">
        <is>
          <t>Sun Quan bared Zhou Tai's body and poured a cup for every scar.</t>
        </is>
      </c>
      <c r="E114" s="14" t="inlineStr">
        <is>
          <t>Time and again Zhou Tai threw himself into danger to save Sun Quan. At a feast, Sun Quan had him bare his body, pointed to each scar in turn, asked the tale behind it, and poured him a cup.</t>
        </is>
      </c>
      <c r="F114" s="14" t="inlineStr">
        <is>
          <t>傷ごとに一杯</t>
        </is>
      </c>
      <c r="G114" s="14" t="inlineStr">
        <is>
          <t>孫権は周泰の衣を脱がせ、傷跡ひとつひとつに酒を注いだ。</t>
        </is>
      </c>
      <c r="H114" s="14" t="inlineStr">
        <is>
          <t>周泰は幾度も身を投げ出して孫権を救った。孫権は宴の席で周泰の衣を脱がせ、傷跡ひとつひとつを指してその由来を尋ね、杯を注いだ。</t>
        </is>
      </c>
      <c r="I114" s="14" t="inlineStr">
        <is>
          <t>每道傷疤一杯酒</t>
        </is>
      </c>
      <c r="J114" s="14" t="inlineStr">
        <is>
          <t>孫權脫下周泰的衣服，為每一道傷疤斟一杯酒。</t>
        </is>
      </c>
      <c r="K114" s="14" t="inlineStr">
        <is>
          <t>周泰多次捨身救了孫權。孫權在宴席上脫下周泰的衣服，指著每一道傷疤詢問其來歷，並為他斟酒。</t>
        </is>
      </c>
      <c r="L114" s="14" t="inlineStr">
        <is>
          <t>一道伤疤一杯酒</t>
        </is>
      </c>
      <c r="M114" s="14" t="inlineStr">
        <is>
          <t>孙权脱下周泰的衣服，为每一道伤疤斟一杯酒。</t>
        </is>
      </c>
      <c r="N114" s="14" t="inlineStr">
        <is>
          <t>周泰数次舍身救下孙权。孙权在宴席上让周泰解衣，指着一道道伤疤询问来由，每问一处便斟一杯酒。</t>
        </is>
      </c>
      <c r="O114" s="14" t="inlineStr">
        <is>
          <t>Uma Taça por Cicatriz</t>
        </is>
      </c>
      <c r="P114" s="14" t="inlineStr">
        <is>
          <t>Sun Quan despiu Zhou Tai e serviu vinho por cada cicatriz.</t>
        </is>
      </c>
      <c r="Q114" s="14" t="inlineStr">
        <is>
          <t>Zhou Tai lançou-se várias vezes ao perigo para salvar Sun Quan. Num banquete, Sun Quan mandou-o tirar a roupa e, apontando cada cicatriz, perguntava sua história e lhe servia uma taça.</t>
        </is>
      </c>
      <c r="R114" s="14" t="inlineStr">
        <is>
          <t>Uma Taça por Cada Cicatriz</t>
        </is>
      </c>
      <c r="S114" s="14" t="inlineStr">
        <is>
          <t>Sun Quan despiu Zhou Tai e serviu-lhe vinho por cada cicatriz.</t>
        </is>
      </c>
      <c r="T114" s="14" t="inlineStr">
        <is>
          <t>Zhou Tai atirou-se várias vezes ao perigo para salvar Sun Quan. Num banquete, Sun Quan mandou-o despir-se e, apontando cada cicatriz, perguntou-lhe a história de cada uma e encheu-lhe a taça.</t>
        </is>
      </c>
      <c r="U114" s="14" t="inlineStr">
        <is>
          <t>Una coppa per ogni cicatrice</t>
        </is>
      </c>
      <c r="V114" s="14" t="inlineStr">
        <is>
          <t>Sun Quan fece togliere la veste a Zhou Tai e versò vino per ognuna delle sue cicatrici.</t>
        </is>
      </c>
      <c r="W114" s="14" t="inlineStr">
        <is>
          <t>Più volte Zhou Tai si gettò nella mischia per salvare Sun Quan. A un banchetto Sun Quan gli fece togliere la veste e, indicando una cicatrice dopo l'altra, ne chiese la storia e gli versò una coppa per ciascuna.</t>
        </is>
      </c>
      <c r="X114" s="14" t="inlineStr">
        <is>
          <t>Una copa por cada cicatriz</t>
        </is>
      </c>
      <c r="Y114" s="14" t="inlineStr">
        <is>
          <t>Sun Quan hizo desvestir a Zhou Tai y sirvió una copa por cada cicatriz.</t>
        </is>
      </c>
      <c r="Z114" s="14" t="inlineStr">
        <is>
          <t>Zhou Tai se lanzó más de una vez a salvar a Sun Quan con su propio cuerpo. En un banquete, Sun Quan le hizo quitarse la ropa, señaló una a una sus cicatrices, preguntó la historia de cada una y le sirvió una copa por cada una.</t>
        </is>
      </c>
      <c r="AA114" s="14" t="inlineStr">
        <is>
          <t>Сорви бүрт нэг хундага</t>
        </is>
      </c>
      <c r="AB114" s="14" t="inlineStr">
        <is>
          <t>Сунь Цюань Чжоу Тайн хувцсыг тайлуулж сорви бүрт нь дарс хийж өгөв.</t>
        </is>
      </c>
      <c r="AC114" s="14" t="inlineStr">
        <is>
          <t>Чжоу Тай хэд хэдэн удаа биеэ золиослон Сунь Цюаныг аварчээ. Сунь Цюань найран дээр Чжоу Тайн хувцсыг тайлуулж, сорви нэг бүрийг заан учрыг нь асууж хундага өргөжээ.</t>
        </is>
      </c>
      <c r="AD114" s="14" t="inlineStr">
        <is>
          <t>周泰之伤</t>
        </is>
      </c>
    </row>
    <row r="115">
      <c r="A115" t="n">
        <v>114</v>
      </c>
      <c r="B115" t="inlineStr">
        <is>
          <t>하후 형제</t>
        </is>
      </c>
      <c r="C115" s="14" t="inlineStr">
        <is>
          <t>The Xiahou Brothers</t>
        </is>
      </c>
      <c r="D115" s="14" t="inlineStr">
        <is>
          <t>Cao Cao's cavalry was always in the hands of the two Xiahou.</t>
        </is>
      </c>
      <c r="E115" s="14" t="inlineStr">
        <is>
          <t>Xiahou Dun and Xiahou Yuan were Cao Cao's kinsmen and his oldest generals, with him since he first raised troops. Xiahou Dun held the defense and the rear, Xiahou Yuan led the swift cavalry, and together they were the two wings of Cao Cao's army.</t>
        </is>
      </c>
      <c r="F115" s="14" t="inlineStr">
        <is>
          <t>夏侯兄弟</t>
        </is>
      </c>
      <c r="G115" s="14" t="inlineStr">
        <is>
          <t>曹操の騎兵は、いつも二人の夏侯の手にあった。</t>
        </is>
      </c>
      <c r="H115" s="14" t="inlineStr">
        <is>
          <t>夏侯惇と夏侯淵は曹操の一族で、挙兵の時から共にあった最古参の将である。夏侯惇は守備と後方を、夏侯淵は迅速な騎兵を担い、曹操軍の両翼となった。</t>
        </is>
      </c>
      <c r="I115" s="14" t="inlineStr">
        <is>
          <t>夏侯兄弟</t>
        </is>
      </c>
      <c r="J115" s="14" t="inlineStr">
        <is>
          <t>曹操的騎兵，始終掌握在兩位夏侯手中。</t>
        </is>
      </c>
      <c r="K115" s="14" t="inlineStr">
        <is>
          <t>夏侯惇與夏侯淵是曹操的族人，自起兵時便追隨左右，是最資深的將領。夏侯惇負責守備與後方，夏侯淵統領快速騎兵，成為曹軍的兩翼。</t>
        </is>
      </c>
      <c r="L115" s="14" t="inlineStr">
        <is>
          <t>夏侯兄弟</t>
        </is>
      </c>
      <c r="M115" s="14" t="inlineStr">
        <is>
          <t>曹操的骑兵，始终掌握在两位夏侯手中。</t>
        </is>
      </c>
      <c r="N115" s="14" t="inlineStr">
        <is>
          <t>夏侯惇与夏侯渊是曹操的宗族，自起兵之时便追随左右，是资历最老的将领。夏侯惇主守御与后方，夏侯渊统率快骑，成为曹军的两翼。</t>
        </is>
      </c>
      <c r="O115" s="14" t="inlineStr">
        <is>
          <t>Os Irmãos Xiahou</t>
        </is>
      </c>
      <c r="P115" s="14" t="inlineStr">
        <is>
          <t>A cavalaria de Cao Cao sempre esteve nas mãos dos dois Xiahou.</t>
        </is>
      </c>
      <c r="Q115" s="14" t="inlineStr">
        <is>
          <t>Xiahou Dun e Xiahou Yuan, parentes de Cao Cao, eram seus generais mais antigos, ao seu lado desde o primeiro levante. Xiahou Dun cuidava da defesa e da retaguarda, Xiahou Yuan da cavalaria veloz — as duas asas do exército de Cao Cao.</t>
        </is>
      </c>
      <c r="R115" s="14" t="inlineStr">
        <is>
          <t>Os Irmãos Xiahou</t>
        </is>
      </c>
      <c r="S115" s="14" t="inlineStr">
        <is>
          <t>A cavalaria de Cao Cao esteve sempre nas mãos dos dois Xiahou.</t>
        </is>
      </c>
      <c r="T115" s="14" t="inlineStr">
        <is>
          <t>Xiahou Dun e Xiahou Yuan, parentes de Cao Cao, foram os seus generais mais antigos, ao seu lado desde que se levantou em armas. Xiahou Dun encarregava-se da defesa e da retaguarda, Xiahou Yuan da cavalaria rápida — as duas asas do exército de Cao Cao.</t>
        </is>
      </c>
      <c r="U115" s="14" t="inlineStr">
        <is>
          <t>I fratelli Xiahou</t>
        </is>
      </c>
      <c r="V115" s="14" t="inlineStr">
        <is>
          <t>La cavalleria di Cao Cao fu sempre nelle mani dei due Xiahou.</t>
        </is>
      </c>
      <c r="W115" s="14" t="inlineStr">
        <is>
          <t>Xiahou Dun e Xiahou Yuan, parenti di Cao Cao, furono i suoi generali più antichi, al suo fianco fin dalla prima leva. Xiahou Dun teneva le difese e le retrovie, Xiahou Yuan la cavalleria veloce: furono le due ali dell'esercito di Cao Cao.</t>
        </is>
      </c>
      <c r="X115" s="14" t="inlineStr">
        <is>
          <t>Los hermanos Xiahou</t>
        </is>
      </c>
      <c r="Y115" s="14" t="inlineStr">
        <is>
          <t>La caballería de Cao Cao estuvo siempre en manos de los dos Xiahou.</t>
        </is>
      </c>
      <c r="Z115" s="14" t="inlineStr">
        <is>
          <t>Xiahou Dun y Xiahou Yuan, parientes de Cao Cao, fueron sus generales más antiguos, a su lado desde el primer levantamiento. Xiahou Dun se encargaba de la defensa y la retaguardia, y Xiahou Yuan de la caballería veloz: las dos alas del ejército de Cao Cao.</t>
        </is>
      </c>
      <c r="AA115" s="14" t="inlineStr">
        <is>
          <t>Сяхоу ах дүү</t>
        </is>
      </c>
      <c r="AB115" s="14" t="inlineStr">
        <is>
          <t>Цао Цаогийн хүлэг цэрэг үргэлж хоёр Сяхоугийн гарт байв.</t>
        </is>
      </c>
      <c r="AC115" s="14" t="inlineStr">
        <is>
          <t>Сяхоу Дунь, Сяхоу Юань хоёр Цао Цаогийн төрөл бөгөөд цэрэг босгосон цагаас хамт явсан хамгийн удаан жанжид нь юм. Сяхоу Дунь хамгаалалт, арын албыг, Сяхоу Юань хурдан хүлэг цэргийг хариуцаж Цао Цаогийн цэргийн хоёр жигүүр болжээ.</t>
        </is>
      </c>
      <c r="AD115" s="14" t="inlineStr">
        <is>
          <t>夏侯兄弟</t>
        </is>
      </c>
    </row>
    <row r="116">
      <c r="A116" t="n">
        <v>115</v>
      </c>
      <c r="B116" t="inlineStr">
        <is>
          <t>마씨오상 백미최량</t>
        </is>
      </c>
      <c r="C116" s="14" t="inlineStr">
        <is>
          <t>The Best of Five Brothers</t>
        </is>
      </c>
      <c r="D116" s="14" t="inlineStr">
        <is>
          <t>Of the five Ma brothers, white-browed Ma Liang was the finest.</t>
        </is>
      </c>
      <c r="E116" s="14" t="inlineStr">
        <is>
          <t>The five Ma brothers of Xiangyang all bore the character “Chang” in their courtesy names, and so were called the “Five Changs of the Ma.” Among them Ma Liang, whose eyebrows were flecked with white, was the finest — hence the saying “White Eyebrows is the best.”</t>
        </is>
      </c>
      <c r="F116" s="14" t="inlineStr">
        <is>
          <t>五兄弟の白眉</t>
        </is>
      </c>
      <c r="G116" s="14" t="inlineStr">
        <is>
          <t>馬氏五兄弟のうち、眉の白い馬良が最も優れていた。</t>
        </is>
      </c>
      <c r="H116" s="14" t="inlineStr">
        <is>
          <t>襄陽の馬氏五兄弟は字にみな「常」の字があり、「馬氏の五常」と呼ばれた。その中で眉に白い毛が混じる馬良が最も優れ、「白眉最も良し」という言葉が生まれた。</t>
        </is>
      </c>
      <c r="I116" s="14" t="inlineStr">
        <is>
          <t>五兄弟中的白眉</t>
        </is>
      </c>
      <c r="J116" s="14" t="inlineStr">
        <is>
          <t>馬氏五兄弟中，白眉的馬良最為出眾。</t>
        </is>
      </c>
      <c r="K116" s="14" t="inlineStr">
        <is>
          <t>襄陽馬氏五兄弟的字中都帶「常」字，號稱「馬氏五常」。其中眉中夾有白毛的馬良最為傑出，於是有了「白眉最良」的說法。</t>
        </is>
      </c>
      <c r="L116" s="14" t="inlineStr">
        <is>
          <t>五兄弟中的白眉</t>
        </is>
      </c>
      <c r="M116" s="14" t="inlineStr">
        <is>
          <t>马氏五兄弟中，眉有白毛的马良最为出众。</t>
        </is>
      </c>
      <c r="N116" s="14" t="inlineStr">
        <is>
          <t>襄阳马氏五兄弟的字中都带「常」字，人称「马氏五常」。其中眉间夹有白毛的马良最为出众，于是有了「马氏五常，白眉最良」之说。</t>
        </is>
      </c>
      <c r="O116" s="14" t="inlineStr">
        <is>
          <t>Sobrancelhas Brancas</t>
        </is>
      </c>
      <c r="P116" s="14" t="inlineStr">
        <is>
          <t>Dos cinco irmãos Ma, Ma Liang, das sobrancelhas brancas, era o melhor.</t>
        </is>
      </c>
      <c r="Q116" s="14" t="inlineStr">
        <is>
          <t>Os cinco irmãos Ma de Xiangyang tinham todos o caractere “Chang” no nome de cortesia e eram chamados de “os Cinco Chang dos Ma”. O melhor deles era Ma Liang, cujas sobrancelhas tinham fios brancos — daí o dito “as sobrancelhas brancas são as melhores”.</t>
        </is>
      </c>
      <c r="R116" s="14" t="inlineStr">
        <is>
          <t>A Sobrancelha Branca</t>
        </is>
      </c>
      <c r="S116" s="14" t="inlineStr">
        <is>
          <t>Dos cinco irmãos Ma, o melhor era Ma Liang, das sobrancelhas brancas.</t>
        </is>
      </c>
      <c r="T116" s="14" t="inlineStr">
        <is>
          <t>Os cinco irmãos Ma de Xiangyang tinham todos o carácter «Chang» no nome de cortesia e eram chamados os Cinco Chang dos Ma. O mais brilhante era Ma Liang, com pelos brancos nas sobrancelhas, e daí nasceu o ditado «a sobrancelha branca é a melhor».</t>
        </is>
      </c>
      <c r="U116" s="14" t="inlineStr">
        <is>
          <t>Le sopracciglia bianche</t>
        </is>
      </c>
      <c r="V116" s="14" t="inlineStr">
        <is>
          <t>Dei cinque fratelli Ma, il migliore era Ma Liang dalle sopracciglia bianche.</t>
        </is>
      </c>
      <c r="W116" s="14" t="inlineStr">
        <is>
          <t>I cinque fratelli Ma di Xiangyang avevano tutti il carattere «chang» nel nome di cortesia ed erano detti «i cinque Chang dei Ma». Il migliore era Ma Liang, che aveva peli bianchi nelle sopracciglia, da cui il detto «le sopracciglia bianche sono le migliori».</t>
        </is>
      </c>
      <c r="X116" s="14" t="inlineStr">
        <is>
          <t>Las cejas blancas, lo mejor</t>
        </is>
      </c>
      <c r="Y116" s="14" t="inlineStr">
        <is>
          <t>De los cinco hermanos Ma, el de las cejas blancas, Ma Liang, era el más brillante.</t>
        </is>
      </c>
      <c r="Z116" s="14" t="inlineStr">
        <is>
          <t>Los cinco hermanos Ma de Xiangyang llevaban todos el carácter «Chang» en su nombre de cortesía y los llamaban «las Cinco Constantes de los Ma». El más brillante era Ma Liang, que tenía canas en las cejas, y de ahí el dicho «las cejas blancas son lo mejor».</t>
        </is>
      </c>
      <c r="AA116" s="14" t="inlineStr">
        <is>
          <t>Таван ах дүүгийн цагаан хөмсөг</t>
        </is>
      </c>
      <c r="AB116" s="14" t="inlineStr">
        <is>
          <t>Ма овгийн таван ах дүүгийн дотроос цагаан хөмсөгтэй Ма Лян хамгийн шилдэг нь байв.</t>
        </is>
      </c>
      <c r="AC116" s="14" t="inlineStr">
        <is>
          <t>Сянъяны Ма овгийн таван ах дүүгийн өргөмжит нэрэнд бүгдэд нь «Чан (常)» үсэг орсон тул «Ма овгийн таван Чан» хэмээн нэрлэгдэв. Тэдний дотроос хөмсөгтөө цагаан үс холилдсон Ма Лян хамгийн шилдэг байсан тул «Цагаан хөмсөг хамгийн сайн» гэсэн үг гарчээ.</t>
        </is>
      </c>
      <c r="AD116" s="14" t="inlineStr">
        <is>
          <t>白眉最良</t>
        </is>
      </c>
    </row>
    <row r="117">
      <c r="A117" t="n">
        <v>116</v>
      </c>
      <c r="B117" t="inlineStr">
        <is>
          <t>서량의 마씨</t>
        </is>
      </c>
      <c r="C117" s="14" t="inlineStr">
        <is>
          <t>The Ma Clan of Xiliang</t>
        </is>
      </c>
      <c r="D117" s="14" t="inlineStr">
        <is>
          <t>For generations, the Ma of Xiliang rode alongside the Qiang.</t>
        </is>
      </c>
      <c r="E117" s="14" t="inlineStr">
        <is>
          <t>Ma Teng, a Xiliang warlord with Qiang blood, was revered by the Qiang people. His son Ma Chao and nephew Ma Dai inherited his cavalry and made the name of Xiliang known across the realm.</t>
        </is>
      </c>
      <c r="F117" s="14" t="inlineStr">
        <is>
          <t>西涼を駆けた馬一族</t>
        </is>
      </c>
      <c r="G117" s="14" t="inlineStr">
        <is>
          <t>西涼の馬氏は、代々羌の民とともに馬を駆った。</t>
        </is>
      </c>
      <c r="H117" s="14" t="inlineStr">
        <is>
          <t>馬騰は羌族の血を引く西涼の軍閥で、羌の人々に敬われた。子の馬超と甥の馬岱がその騎兵を受け継ぎ、西涼の名を天下にとどろかせた。</t>
        </is>
      </c>
      <c r="I117" s="14" t="inlineStr">
        <is>
          <t>馳騁西涼的馬氏一族</t>
        </is>
      </c>
      <c r="J117" s="14" t="inlineStr">
        <is>
          <t>西涼馬氏世代與羌人一同縱馬馳騁。</t>
        </is>
      </c>
      <c r="K117" s="14" t="inlineStr">
        <is>
          <t>馬騰是與羌人有血緣的西涼軍閥，深受羌人敬重。其子馬超與姪子馬岱繼承了這支騎兵，使西涼之名威震天下。</t>
        </is>
      </c>
      <c r="L117" s="14" t="inlineStr">
        <is>
          <t>驰骋西凉的马氏一族</t>
        </is>
      </c>
      <c r="M117" s="14" t="inlineStr">
        <is>
          <t>西凉马氏世代与羌人一同纵马驰骋。</t>
        </is>
      </c>
      <c r="N117" s="14" t="inlineStr">
        <is>
          <t>马腾是有羌人血统的西凉军阀，深受羌人敬重。儿子马超与侄子马岱继承了他的骑兵，让西凉之名威震天下。</t>
        </is>
      </c>
      <c r="O117" s="14" t="inlineStr">
        <is>
          <t>Os Ma de Xiliang</t>
        </is>
      </c>
      <c r="P117" s="14" t="inlineStr">
        <is>
          <t>Os Ma de Xiliang cavalgaram por gerações ao lado dos Qiang.</t>
        </is>
      </c>
      <c r="Q117" s="14" t="inlineStr">
        <is>
          <t>Ma Teng, senhor da guerra de Xiliang com sangue Qiang, era respeitado pelos Qiang. Seu filho Ma Chao e o sobrinho Ma Dai herdaram sua cavalaria e espalharam pelo mundo o nome de Xiliang.</t>
        </is>
      </c>
      <c r="R117" s="14" t="inlineStr">
        <is>
          <t>Os Ma de Xiliang</t>
        </is>
      </c>
      <c r="S117" s="14" t="inlineStr">
        <is>
          <t>Os Ma de Xiliang cavalgaram durante gerações ao lado dos Qiang.</t>
        </is>
      </c>
      <c r="T117" s="14" t="inlineStr">
        <is>
          <t>Ma Teng era um senhor da guerra de Xiliang com sangue Qiang, respeitado pelo povo Qiang. O filho Ma Chao e o sobrinho Ma Dai herdaram a sua cavalaria e espalharam o nome de Xiliang por todo o império.</t>
        </is>
      </c>
      <c r="U117" s="14" t="inlineStr">
        <is>
          <t>I Ma, cavalieri di Xiliang</t>
        </is>
      </c>
      <c r="V117" s="14" t="inlineStr">
        <is>
          <t>Da generazioni i Ma di Xiliang cavalcavano al fianco dei Qiang.</t>
        </is>
      </c>
      <c r="W117" s="14" t="inlineStr">
        <is>
          <t>Ma Teng, signore della guerra di Xiliang con sangue Qiang nelle vene, godeva del rispetto dei Qiang. Il figlio Ma Chao e il nipote Ma Dai ne ereditarono la cavalleria e resero celebre il nome di Xiliang in tutto l'impero.</t>
        </is>
      </c>
      <c r="X117" s="14" t="inlineStr">
        <is>
          <t>Los Ma, jinetes de Xiliang</t>
        </is>
      </c>
      <c r="Y117" s="14" t="inlineStr">
        <is>
          <t>Por generaciones, los Ma de Xiliang cabalgaron junto a los qiang.</t>
        </is>
      </c>
      <c r="Z117" s="14" t="inlineStr">
        <is>
          <t>Ma Teng, señor de la guerra de Xiliang con sangre qiang, era respetado por ese pueblo. Su hijo Ma Chao y su sobrino Ma Dai heredaron su caballería e hicieron resonar el nombre de Xiliang en todo el reino.</t>
        </is>
      </c>
      <c r="AA117" s="14" t="inlineStr">
        <is>
          <t>Силяныг давхисан Ма овог</t>
        </is>
      </c>
      <c r="AB117" s="14" t="inlineStr">
        <is>
          <t>Силяны Ма овгийнхон үеийн үед Цян нартай хамт морь давхиулав.</t>
        </is>
      </c>
      <c r="AC117" s="14" t="inlineStr">
        <is>
          <t>Ма Тэн Цян овгийнхонтой цусан холбоотой Силяны цэргийн ноён байсан тул Цянчууд түүнийг хүндэлдэг байв. Хүү Ма Чао, зээ хүү Ма Дай нар тэр хүлэг цэргийг өвлөн авч Силяны нэрийг тэнгэрийн дор дуурсгажээ.</t>
        </is>
      </c>
      <c r="AD117" s="14" t="inlineStr">
        <is>
          <t>西凉马氏</t>
        </is>
      </c>
    </row>
    <row r="118">
      <c r="A118" t="n">
        <v>117</v>
      </c>
      <c r="B118" t="inlineStr">
        <is>
          <t>형주의 유표</t>
        </is>
      </c>
      <c r="C118" s="14" t="inlineStr">
        <is>
          <t>Torn Between Two Sons</t>
        </is>
      </c>
      <c r="D118" s="14" t="inlineStr">
        <is>
          <t>Liu Biao, one of the Eight Talents, held Jing Province but wavered between his two sons.</t>
        </is>
      </c>
      <c r="E118" s="14" t="inlineStr">
        <is>
          <t>Liu Biao was a renowned scholar counted among the Eight Talents, and he made Jing Province a refuge in an age of chaos. But he could not choose an heir between his eldest son Liu Qi and his second son Liu Cong, and after his death Jing Province passed to Cao Cao.</t>
        </is>
      </c>
      <c r="F118" s="14" t="inlineStr">
        <is>
          <t>二人の息子のはざまで</t>
        </is>
      </c>
      <c r="G118" s="14" t="inlineStr">
        <is>
          <t>八俊の一人と称された劉表は荊州を守ったが、二人の息子を前に迷い続けた。</t>
        </is>
      </c>
      <c r="H118" s="14" t="inlineStr">
        <is>
          <t>劉表は八俊の一人として名高い士人で、荊州を治めて乱世の避難所とした。だが長子・劉琦と次子・劉琮のあいだで後継を定められず、その死後、荊州は曹操の手に渡った。</t>
        </is>
      </c>
      <c r="I118" s="14" t="inlineStr">
        <is>
          <t>在兩個兒子之間</t>
        </is>
      </c>
      <c r="J118" s="14" t="inlineStr">
        <is>
          <t>號稱八俊之一的劉表守住了荊州，卻在兩個兒子之間猶豫不決。</t>
        </is>
      </c>
      <c r="K118" s="14" t="inlineStr">
        <is>
          <t>劉表是名列八俊的名士，治理荊州，使其成為亂世中的避難之地。但他在長子劉琦與次子劉琮之間定不下繼承人，死後荊州便落入曹操之手。</t>
        </is>
      </c>
      <c r="L118" s="14" t="inlineStr">
        <is>
          <t>两个儿子之间</t>
        </is>
      </c>
      <c r="M118" s="14" t="inlineStr">
        <is>
          <t>号称「八俊」之一的刘表守住了荆州，却在两个儿子之间犹豫不决。</t>
        </is>
      </c>
      <c r="N118" s="14" t="inlineStr">
        <is>
          <t>刘表是名列「八俊」的名士，治理荆州，使之成为乱世中的避难之地。但他在长子刘琦与次子刘琮之间迟迟定不下继承人，死后荆州落入曹操之手。</t>
        </is>
      </c>
      <c r="O118" s="14" t="inlineStr">
        <is>
          <t>Entre Dois Filhos</t>
        </is>
      </c>
      <c r="P118" s="14" t="inlineStr">
        <is>
          <t>Liu Biao, um dos Oito Notáveis, defendeu Jing, mas hesitou entre os dois filhos.</t>
        </is>
      </c>
      <c r="Q118" s="14" t="inlineStr">
        <is>
          <t>Liu Biao, letrado célebre como um dos Oito Notáveis, governou Jing e fez dela um refúgio em tempos de caos. Mas não conseguiu escolher herdeiro entre o primogênito Liu Qi e o segundo filho Liu Cong, e após sua morte Jing caiu nas mãos de Cao Cao.</t>
        </is>
      </c>
      <c r="R118" s="14" t="inlineStr">
        <is>
          <t>Entre Dois Filhos</t>
        </is>
      </c>
      <c r="S118" s="14" t="inlineStr">
        <is>
          <t>Liu Biao, um dos Oito Notáveis, defendeu Jingzhou mas hesitou entre os dois filhos.</t>
        </is>
      </c>
      <c r="T118" s="14" t="inlineStr">
        <is>
          <t>Liu Biao, letrado afamado como um dos Oito Notáveis, governou Jingzhou e fez dela um refúgio em tempos de caos. Mas não conseguiu escolher entre o primogénito Liu Qi e o segundo filho Liu Cong, e após a sua morte Jingzhou passou para Cao Cao.</t>
        </is>
      </c>
      <c r="U118" s="14" t="inlineStr">
        <is>
          <t>Tra due figli</t>
        </is>
      </c>
      <c r="V118" s="14" t="inlineStr">
        <is>
          <t>Liu Biao, annoverato tra gli Otto Eccellenti, difese Jingzhou ma esitò tra i due figli.</t>
        </is>
      </c>
      <c r="W118" s="14" t="inlineStr">
        <is>
          <t>Liu Biao, letterato celebre come uno degli Otto Eccellenti, governò Jingzhou facendone un rifugio in tempi di caos. Ma non seppe scegliere l'erede tra il primogenito Liu Qi e il secondo figlio Liu Cong, e dopo la sua morte Jingzhou passò a Cao Cao.</t>
        </is>
      </c>
      <c r="X118" s="14" t="inlineStr">
        <is>
          <t>Entre dos hijos</t>
        </is>
      </c>
      <c r="Y118" s="14" t="inlineStr">
        <is>
          <t>Liu Biao, uno de los Ocho Talentos, defendió Jing, pero vaciló entre sus dos hijos.</t>
        </is>
      </c>
      <c r="Z118" s="14" t="inlineStr">
        <is>
          <t>Liu Biao, letrado célebre como uno de los Ocho Talentos, gobernó Jing y la convirtió en refugio en tiempos de caos. Pero no supo elegir heredero entre su primogénito Liu Qi y su segundo hijo Liu Cong, y a su muerte Jing pasó a manos de Cao Cao.</t>
        </is>
      </c>
      <c r="AA118" s="14" t="inlineStr">
        <is>
          <t>Хоёр хүүгийн дунд</t>
        </is>
      </c>
      <c r="AB118" s="14" t="inlineStr">
        <is>
          <t>Найман сайн эрийн нэг гэгдсэн Лю Бяо Цзинчжоуг сахисан ч хоёр хүүгийнхээ дунд эргэлзэв.</t>
        </is>
      </c>
      <c r="AC118" s="14" t="inlineStr">
        <is>
          <t>Лю Бяо найман сайн эрийн нэг хэмээн алдаршсан эрдэмтэн бөгөөд Цзинчжоуг засаж самуун цагийн хоргодох газар болгосон юм. Гэвч ууган хүү Лю Ци, отгон хүү Лю Цун хоёрын дундаас залгамжлагчаа тогтоож чадаагүй тул нас барсны дараа Цзинчжоу Цао Цаод шилжжээ.</t>
        </is>
      </c>
      <c r="AD118" s="14" t="inlineStr">
        <is>
          <t>荆州刘表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7"/>
  <cols>
    <col width="14" customWidth="1" min="1" max="1"/>
    <col width="10" customWidth="1" min="2" max="3"/>
    <col width="60" customWidth="1" min="4" max="4"/>
  </cols>
  <sheetData>
    <row r="1" ht="30" customHeight="1">
      <c r="A1" s="1" t="inlineStr">
        <is>
          <t>구분</t>
        </is>
      </c>
      <c r="B1" s="1" t="inlineStr">
        <is>
          <t>키</t>
        </is>
      </c>
      <c r="C1" s="1" t="inlineStr">
        <is>
          <t>값</t>
        </is>
      </c>
      <c r="D1" s="1" t="inlineStr">
        <is>
          <t>설명</t>
        </is>
      </c>
    </row>
    <row r="2">
      <c r="A2" s="5" t="inlineStr">
        <is>
          <t>카드 단가</t>
        </is>
      </c>
      <c r="B2" s="5" t="inlineStr">
        <is>
          <t>S</t>
        </is>
      </c>
      <c r="C2" s="6" t="n">
        <v>10</v>
      </c>
      <c r="D2" s="5" t="inlineStr">
        <is>
          <t>S급 카드 1장</t>
        </is>
      </c>
    </row>
    <row r="3">
      <c r="A3" s="5" t="inlineStr">
        <is>
          <t>카드 단가</t>
        </is>
      </c>
      <c r="B3" s="5" t="inlineStr">
        <is>
          <t>E</t>
        </is>
      </c>
      <c r="C3" s="6" t="n">
        <v>10</v>
      </c>
      <c r="D3" s="5" t="inlineStr">
        <is>
          <t>E급(헌제) 카드 1장</t>
        </is>
      </c>
    </row>
    <row r="4">
      <c r="A4" s="5" t="inlineStr">
        <is>
          <t>카드 단가</t>
        </is>
      </c>
      <c r="B4" s="5" t="inlineStr">
        <is>
          <t>A</t>
        </is>
      </c>
      <c r="C4" s="6" t="n">
        <v>6</v>
      </c>
      <c r="D4" s="5" t="inlineStr">
        <is>
          <t>A급 카드 1장</t>
        </is>
      </c>
    </row>
    <row r="5">
      <c r="A5" s="5" t="inlineStr">
        <is>
          <t>카드 단가</t>
        </is>
      </c>
      <c r="B5" s="5" t="inlineStr">
        <is>
          <t>B</t>
        </is>
      </c>
      <c r="C5" s="6" t="n">
        <v>4</v>
      </c>
      <c r="D5" s="5" t="inlineStr">
        <is>
          <t>B급 카드 1장</t>
        </is>
      </c>
    </row>
    <row r="6">
      <c r="A6" s="5" t="inlineStr">
        <is>
          <t>카드 단가</t>
        </is>
      </c>
      <c r="B6" s="5" t="inlineStr">
        <is>
          <t>C</t>
        </is>
      </c>
      <c r="C6" s="6" t="n">
        <v>2</v>
      </c>
      <c r="D6" s="5" t="inlineStr">
        <is>
          <t>C급 — 가챠에 없고 전투 보상으로만 나온다</t>
        </is>
      </c>
    </row>
    <row r="7">
      <c r="A7" s="5" t="inlineStr">
        <is>
          <t>카드 단가</t>
        </is>
      </c>
      <c r="B7" s="5" t="inlineStr">
        <is>
          <t>D</t>
        </is>
      </c>
      <c r="C7" s="6" t="n">
        <v>2</v>
      </c>
      <c r="D7" s="5" t="inlineStr">
        <is>
          <t>D급 — 가챠에 없고 전투 보상으로만 나온다</t>
        </is>
      </c>
    </row>
    <row r="8">
      <c r="A8" s="5" t="inlineStr">
        <is>
          <t>품목 배수</t>
        </is>
      </c>
      <c r="B8" s="5" t="inlineStr">
        <is>
          <t>병기</t>
        </is>
      </c>
      <c r="C8" s="6" t="n">
        <v>3</v>
      </c>
      <c r="D8" s="5" t="inlineStr">
        <is>
          <t>병기 비용 = 대장간 해금 Lv × 이 값</t>
        </is>
      </c>
    </row>
    <row r="9">
      <c r="A9" s="5" t="inlineStr">
        <is>
          <t>품목 배수</t>
        </is>
      </c>
      <c r="B9" s="5" t="inlineStr">
        <is>
          <t>아이템</t>
        </is>
      </c>
      <c r="C9" s="6" t="n">
        <v>2</v>
      </c>
      <c r="D9" s="5" t="inlineStr">
        <is>
          <t>아이템 비용 = 시장 해금 Lv × 이 값</t>
        </is>
      </c>
    </row>
    <row r="11">
      <c r="A11" s="7" t="inlineStr">
        <is>
          <t>등급표</t>
        </is>
      </c>
    </row>
    <row r="12">
      <c r="A12" s="8" t="inlineStr">
        <is>
          <t>등급</t>
        </is>
      </c>
      <c r="B12" s="8" t="inlineStr">
        <is>
          <t>비용 하한</t>
        </is>
      </c>
      <c r="C12" s="8" t="inlineStr">
        <is>
          <t>점수</t>
        </is>
      </c>
      <c r="D12" s="8" t="inlineStr">
        <is>
          <t>설명</t>
        </is>
      </c>
    </row>
    <row r="13">
      <c r="A13" s="5" t="inlineStr">
        <is>
          <t>일반</t>
        </is>
      </c>
      <c r="B13" s="6" t="n">
        <v>0</v>
      </c>
      <c r="C13" s="6" t="n">
        <v>50</v>
      </c>
      <c r="D13" s="5" t="n"/>
    </row>
    <row r="14">
      <c r="A14" s="5" t="inlineStr">
        <is>
          <t>희귀</t>
        </is>
      </c>
      <c r="B14" s="6" t="n">
        <v>15</v>
      </c>
      <c r="C14" s="6" t="n">
        <v>100</v>
      </c>
      <c r="D14" s="5" t="n"/>
    </row>
    <row r="15">
      <c r="A15" s="5" t="inlineStr">
        <is>
          <t>영웅</t>
        </is>
      </c>
      <c r="B15" s="6" t="n">
        <v>28</v>
      </c>
      <c r="C15" s="6" t="n">
        <v>200</v>
      </c>
      <c r="D15" s="5" t="n"/>
    </row>
    <row r="16">
      <c r="A16" s="5" t="inlineStr">
        <is>
          <t>전설</t>
        </is>
      </c>
      <c r="B16" s="6" t="n">
        <v>34</v>
      </c>
      <c r="C16" s="6" t="n">
        <v>300</v>
      </c>
      <c r="D16" s="5" t="inlineStr">
        <is>
          <t>고유기술 SP −1 · 진영 SP +1은 전설 이상만</t>
        </is>
      </c>
    </row>
    <row r="17">
      <c r="A17" s="5" t="inlineStr">
        <is>
          <t>천하</t>
        </is>
      </c>
      <c r="B17" s="6" t="n">
        <v>50</v>
      </c>
      <c r="C17" s="6" t="n">
        <v>500</v>
      </c>
      <c r="D17" s="5" t="inlineStr">
        <is>
          <t>S급 다섯 — 5칸 상한에서 비용의 천장 (2026-10-14)</t>
        </is>
      </c>
    </row>
    <row r="19">
      <c r="A19" s="9" t="inlineStr">
        <is>
          <t>노란 칸(파란 글자)만 고치면 「칸」 · 「컬렉션」 시트의 비용 · 등급 · 점수가 다시 계산된다. 값은 2026-10-13 기획 세션 초안이다(3차: 카드는 컬렉션마다 장수당 1장). 2026-10-14: 칸 5개 상한에 맞춰 전설 42 → 34, 천하 60 → 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16"/>
  <sheetViews>
    <sheetView workbookViewId="0">
      <pane ySplit="1" topLeftCell="A2" activePane="bottomLeft" state="frozen"/>
      <selection pane="bottomLeft" activeCell="A1" sqref="A1"/>
    </sheetView>
  </sheetViews>
  <sheetFormatPr baseColWidth="8" defaultRowHeight="17"/>
  <cols>
    <col width="10" customWidth="1" min="1" max="1"/>
    <col width="7" customWidth="1" min="2" max="2"/>
    <col width="9" customWidth="1" min="3" max="3"/>
    <col width="14" customWidth="1" min="4" max="4"/>
    <col width="6" customWidth="1" min="5" max="5"/>
    <col width="13" customWidth="1" min="6" max="6"/>
    <col width="8" customWidth="1" min="7" max="8"/>
    <col width="40" customWidth="1" min="9" max="9"/>
  </cols>
  <sheetData>
    <row r="1" ht="30" customHeight="1">
      <c r="A1" s="1" t="inlineStr">
        <is>
          <t>컬렉션 #</t>
        </is>
      </c>
      <c r="B1" s="1" t="inlineStr">
        <is>
          <t>칸 #</t>
        </is>
      </c>
      <c r="C1" s="1" t="inlineStr">
        <is>
          <t>종류</t>
        </is>
      </c>
      <c r="D1" s="1" t="inlineStr">
        <is>
          <t>대상</t>
        </is>
      </c>
      <c r="E1" s="1" t="inlineStr">
        <is>
          <t>수</t>
        </is>
      </c>
      <c r="F1" s="1" t="inlineStr">
        <is>
          <t>등급 / 해금 Lv</t>
        </is>
      </c>
      <c r="G1" s="1" t="inlineStr">
        <is>
          <t>단가</t>
        </is>
      </c>
      <c r="H1" s="1" t="inlineStr">
        <is>
          <t>비용</t>
        </is>
      </c>
      <c r="I1" s="1" t="inlineStr">
        <is>
          <t>조건 누적 (보조)</t>
        </is>
      </c>
    </row>
    <row r="2">
      <c r="A2" s="5" t="n">
        <v>1</v>
      </c>
      <c r="B2" s="5" t="n">
        <v>1</v>
      </c>
      <c r="C2" s="5" t="inlineStr">
        <is>
          <t>카드</t>
        </is>
      </c>
      <c r="D2" s="5" t="inlineStr">
        <is>
          <t>유비</t>
        </is>
      </c>
      <c r="E2" s="5" t="n">
        <v>1</v>
      </c>
      <c r="F2" s="5" t="inlineStr">
        <is>
          <t>S</t>
        </is>
      </c>
      <c r="G2" s="5">
        <f>IF(C2="카드",INDEX(비용표!$C$2:$C$7,MATCH(F2,비용표!$B$2:$B$7,0)),F2*INDEX(비용표!$C$8:$C$9,MATCH(C2,비용표!$B$8:$B$9,0)))</f>
        <v/>
      </c>
      <c r="H2" s="5">
        <f>G2*E2</f>
        <v/>
      </c>
      <c r="I2" s="10">
        <f>IF(C2="카드",D2&amp;E2,"["&amp;C2&amp;"] "&amp;D2)</f>
        <v/>
      </c>
    </row>
    <row r="3">
      <c r="A3" s="5" t="n">
        <v>1</v>
      </c>
      <c r="B3" s="5" t="n">
        <v>2</v>
      </c>
      <c r="C3" s="5" t="inlineStr">
        <is>
          <t>카드</t>
        </is>
      </c>
      <c r="D3" s="5" t="inlineStr">
        <is>
          <t>관우</t>
        </is>
      </c>
      <c r="E3" s="5" t="n">
        <v>1</v>
      </c>
      <c r="F3" s="5" t="inlineStr">
        <is>
          <t>S</t>
        </is>
      </c>
      <c r="G3" s="5">
        <f>IF(C3="카드",INDEX(비용표!$C$2:$C$7,MATCH(F3,비용표!$B$2:$B$7,0)),F3*INDEX(비용표!$C$8:$C$9,MATCH(C3,비용표!$B$8:$B$9,0)))</f>
        <v/>
      </c>
      <c r="H3" s="5">
        <f>G3*E3</f>
        <v/>
      </c>
      <c r="I3" s="10">
        <f>IF(A3=A2,I2&amp;" · ","")&amp;IF(C3="카드",D3&amp;E3,"["&amp;C3&amp;"] "&amp;D3)</f>
        <v/>
      </c>
    </row>
    <row r="4">
      <c r="A4" s="5" t="n">
        <v>1</v>
      </c>
      <c r="B4" s="5" t="n">
        <v>3</v>
      </c>
      <c r="C4" s="5" t="inlineStr">
        <is>
          <t>카드</t>
        </is>
      </c>
      <c r="D4" s="5" t="inlineStr">
        <is>
          <t>장비</t>
        </is>
      </c>
      <c r="E4" s="5" t="n">
        <v>1</v>
      </c>
      <c r="F4" s="5" t="inlineStr">
        <is>
          <t>S</t>
        </is>
      </c>
      <c r="G4" s="5">
        <f>IF(C4="카드",INDEX(비용표!$C$2:$C$7,MATCH(F4,비용표!$B$2:$B$7,0)),F4*INDEX(비용표!$C$8:$C$9,MATCH(C4,비용표!$B$8:$B$9,0)))</f>
        <v/>
      </c>
      <c r="H4" s="5">
        <f>G4*E4</f>
        <v/>
      </c>
      <c r="I4" s="10">
        <f>IF(A4=A3,I3&amp;" · ","")&amp;IF(C4="카드",D4&amp;E4,"["&amp;C4&amp;"] "&amp;D4)</f>
        <v/>
      </c>
    </row>
    <row r="5">
      <c r="A5" s="5" t="n">
        <v>2</v>
      </c>
      <c r="B5" s="5" t="n">
        <v>1</v>
      </c>
      <c r="C5" s="5" t="inlineStr">
        <is>
          <t>카드</t>
        </is>
      </c>
      <c r="D5" s="5" t="inlineStr">
        <is>
          <t>유비</t>
        </is>
      </c>
      <c r="E5" s="5" t="n">
        <v>1</v>
      </c>
      <c r="F5" s="5" t="inlineStr">
        <is>
          <t>S</t>
        </is>
      </c>
      <c r="G5" s="5">
        <f>IF(C5="카드",INDEX(비용표!$C$2:$C$7,MATCH(F5,비용표!$B$2:$B$7,0)),F5*INDEX(비용표!$C$8:$C$9,MATCH(C5,비용표!$B$8:$B$9,0)))</f>
        <v/>
      </c>
      <c r="H5" s="5">
        <f>G5*E5</f>
        <v/>
      </c>
      <c r="I5" s="10">
        <f>IF(A5=A4,I4&amp;" · ","")&amp;IF(C5="카드",D5&amp;E5,"["&amp;C5&amp;"] "&amp;D5)</f>
        <v/>
      </c>
    </row>
    <row r="6">
      <c r="A6" s="5" t="n">
        <v>2</v>
      </c>
      <c r="B6" s="5" t="n">
        <v>2</v>
      </c>
      <c r="C6" s="5" t="inlineStr">
        <is>
          <t>카드</t>
        </is>
      </c>
      <c r="D6" s="5" t="inlineStr">
        <is>
          <t>조조</t>
        </is>
      </c>
      <c r="E6" s="5" t="n">
        <v>1</v>
      </c>
      <c r="F6" s="5" t="inlineStr">
        <is>
          <t>S</t>
        </is>
      </c>
      <c r="G6" s="5">
        <f>IF(C6="카드",INDEX(비용표!$C$2:$C$7,MATCH(F6,비용표!$B$2:$B$7,0)),F6*INDEX(비용표!$C$8:$C$9,MATCH(C6,비용표!$B$8:$B$9,0)))</f>
        <v/>
      </c>
      <c r="H6" s="5">
        <f>G6*E6</f>
        <v/>
      </c>
      <c r="I6" s="10">
        <f>IF(A6=A5,I5&amp;" · ","")&amp;IF(C6="카드",D6&amp;E6,"["&amp;C6&amp;"] "&amp;D6)</f>
        <v/>
      </c>
    </row>
    <row r="7">
      <c r="A7" s="5" t="n">
        <v>2</v>
      </c>
      <c r="B7" s="5" t="n">
        <v>3</v>
      </c>
      <c r="C7" s="5" t="inlineStr">
        <is>
          <t>카드</t>
        </is>
      </c>
      <c r="D7" s="5" t="inlineStr">
        <is>
          <t>손견</t>
        </is>
      </c>
      <c r="E7" s="5" t="n">
        <v>1</v>
      </c>
      <c r="F7" s="5" t="inlineStr">
        <is>
          <t>S</t>
        </is>
      </c>
      <c r="G7" s="5">
        <f>IF(C7="카드",INDEX(비용표!$C$2:$C$7,MATCH(F7,비용표!$B$2:$B$7,0)),F7*INDEX(비용표!$C$8:$C$9,MATCH(C7,비용표!$B$8:$B$9,0)))</f>
        <v/>
      </c>
      <c r="H7" s="5">
        <f>G7*E7</f>
        <v/>
      </c>
      <c r="I7" s="10">
        <f>IF(A7=A6,I6&amp;" · ","")&amp;IF(C7="카드",D7&amp;E7,"["&amp;C7&amp;"] "&amp;D7)</f>
        <v/>
      </c>
    </row>
    <row r="8">
      <c r="A8" s="5" t="n">
        <v>2</v>
      </c>
      <c r="B8" s="5" t="n">
        <v>4</v>
      </c>
      <c r="C8" s="5" t="inlineStr">
        <is>
          <t>아이템</t>
        </is>
      </c>
      <c r="D8" s="5" t="inlineStr">
        <is>
          <t>태평요술</t>
        </is>
      </c>
      <c r="E8" s="5" t="n">
        <v>1</v>
      </c>
      <c r="F8" s="5" t="n">
        <v>3</v>
      </c>
      <c r="G8" s="5">
        <f>IF(C8="카드",INDEX(비용표!$C$2:$C$7,MATCH(F8,비용표!$B$2:$B$7,0)),F8*INDEX(비용표!$C$8:$C$9,MATCH(C8,비용표!$B$8:$B$9,0)))</f>
        <v/>
      </c>
      <c r="H8" s="5">
        <f>G8*E8</f>
        <v/>
      </c>
      <c r="I8" s="10">
        <f>IF(A8=A7,I7&amp;" · ","")&amp;IF(C8="카드",D8&amp;E8,"["&amp;C8&amp;"] "&amp;D8)</f>
        <v/>
      </c>
    </row>
    <row r="9">
      <c r="A9" s="5" t="n">
        <v>3</v>
      </c>
      <c r="B9" s="5" t="n">
        <v>1</v>
      </c>
      <c r="C9" s="5" t="inlineStr">
        <is>
          <t>카드</t>
        </is>
      </c>
      <c r="D9" s="5" t="inlineStr">
        <is>
          <t>관우</t>
        </is>
      </c>
      <c r="E9" s="5" t="n">
        <v>1</v>
      </c>
      <c r="F9" s="5" t="inlineStr">
        <is>
          <t>S</t>
        </is>
      </c>
      <c r="G9" s="5">
        <f>IF(C9="카드",INDEX(비용표!$C$2:$C$7,MATCH(F9,비용표!$B$2:$B$7,0)),F9*INDEX(비용표!$C$8:$C$9,MATCH(C9,비용표!$B$8:$B$9,0)))</f>
        <v/>
      </c>
      <c r="H9" s="5">
        <f>G9*E9</f>
        <v/>
      </c>
      <c r="I9" s="10">
        <f>IF(A9=A8,I8&amp;" · ","")&amp;IF(C9="카드",D9&amp;E9,"["&amp;C9&amp;"] "&amp;D9)</f>
        <v/>
      </c>
    </row>
    <row r="10">
      <c r="A10" s="5" t="n">
        <v>3</v>
      </c>
      <c r="B10" s="5" t="n">
        <v>2</v>
      </c>
      <c r="C10" s="5" t="inlineStr">
        <is>
          <t>카드</t>
        </is>
      </c>
      <c r="D10" s="5" t="inlineStr">
        <is>
          <t>화웅</t>
        </is>
      </c>
      <c r="E10" s="5" t="n">
        <v>1</v>
      </c>
      <c r="F10" s="5" t="inlineStr">
        <is>
          <t>A</t>
        </is>
      </c>
      <c r="G10" s="5">
        <f>IF(C10="카드",INDEX(비용표!$C$2:$C$7,MATCH(F10,비용표!$B$2:$B$7,0)),F10*INDEX(비용표!$C$8:$C$9,MATCH(C10,비용표!$B$8:$B$9,0)))</f>
        <v/>
      </c>
      <c r="H10" s="5">
        <f>G10*E10</f>
        <v/>
      </c>
      <c r="I10" s="10">
        <f>IF(A10=A9,I9&amp;" · ","")&amp;IF(C10="카드",D10&amp;E10,"["&amp;C10&amp;"] "&amp;D10)</f>
        <v/>
      </c>
    </row>
    <row r="11">
      <c r="A11" s="5" t="n">
        <v>3</v>
      </c>
      <c r="B11" s="5" t="n">
        <v>3</v>
      </c>
      <c r="C11" s="5" t="inlineStr">
        <is>
          <t>카드</t>
        </is>
      </c>
      <c r="D11" s="5" t="inlineStr">
        <is>
          <t>조조</t>
        </is>
      </c>
      <c r="E11" s="5" t="n">
        <v>1</v>
      </c>
      <c r="F11" s="5" t="inlineStr">
        <is>
          <t>S</t>
        </is>
      </c>
      <c r="G11" s="5">
        <f>IF(C11="카드",INDEX(비용표!$C$2:$C$7,MATCH(F11,비용표!$B$2:$B$7,0)),F11*INDEX(비용표!$C$8:$C$9,MATCH(C11,비용표!$B$8:$B$9,0)))</f>
        <v/>
      </c>
      <c r="H11" s="5">
        <f>G11*E11</f>
        <v/>
      </c>
      <c r="I11" s="10">
        <f>IF(A11=A10,I10&amp;" · ","")&amp;IF(C11="카드",D11&amp;E11,"["&amp;C11&amp;"] "&amp;D11)</f>
        <v/>
      </c>
    </row>
    <row r="12">
      <c r="A12" s="5" t="n">
        <v>4</v>
      </c>
      <c r="B12" s="5" t="n">
        <v>1</v>
      </c>
      <c r="C12" s="5" t="inlineStr">
        <is>
          <t>카드</t>
        </is>
      </c>
      <c r="D12" s="5" t="inlineStr">
        <is>
          <t>여포</t>
        </is>
      </c>
      <c r="E12" s="5" t="n">
        <v>1</v>
      </c>
      <c r="F12" s="5" t="inlineStr">
        <is>
          <t>S</t>
        </is>
      </c>
      <c r="G12" s="5">
        <f>IF(C12="카드",INDEX(비용표!$C$2:$C$7,MATCH(F12,비용표!$B$2:$B$7,0)),F12*INDEX(비용표!$C$8:$C$9,MATCH(C12,비용표!$B$8:$B$9,0)))</f>
        <v/>
      </c>
      <c r="H12" s="5">
        <f>G12*E12</f>
        <v/>
      </c>
      <c r="I12" s="10">
        <f>IF(A12=A11,I11&amp;" · ","")&amp;IF(C12="카드",D12&amp;E12,"["&amp;C12&amp;"] "&amp;D12)</f>
        <v/>
      </c>
    </row>
    <row r="13">
      <c r="A13" s="5" t="n">
        <v>4</v>
      </c>
      <c r="B13" s="5" t="n">
        <v>2</v>
      </c>
      <c r="C13" s="5" t="inlineStr">
        <is>
          <t>카드</t>
        </is>
      </c>
      <c r="D13" s="5" t="inlineStr">
        <is>
          <t>유비</t>
        </is>
      </c>
      <c r="E13" s="5" t="n">
        <v>1</v>
      </c>
      <c r="F13" s="5" t="inlineStr">
        <is>
          <t>S</t>
        </is>
      </c>
      <c r="G13" s="5">
        <f>IF(C13="카드",INDEX(비용표!$C$2:$C$7,MATCH(F13,비용표!$B$2:$B$7,0)),F13*INDEX(비용표!$C$8:$C$9,MATCH(C13,비용표!$B$8:$B$9,0)))</f>
        <v/>
      </c>
      <c r="H13" s="5">
        <f>G13*E13</f>
        <v/>
      </c>
      <c r="I13" s="10">
        <f>IF(A13=A12,I12&amp;" · ","")&amp;IF(C13="카드",D13&amp;E13,"["&amp;C13&amp;"] "&amp;D13)</f>
        <v/>
      </c>
    </row>
    <row r="14">
      <c r="A14" s="5" t="n">
        <v>4</v>
      </c>
      <c r="B14" s="5" t="n">
        <v>3</v>
      </c>
      <c r="C14" s="5" t="inlineStr">
        <is>
          <t>카드</t>
        </is>
      </c>
      <c r="D14" s="5" t="inlineStr">
        <is>
          <t>관우</t>
        </is>
      </c>
      <c r="E14" s="5" t="n">
        <v>1</v>
      </c>
      <c r="F14" s="5" t="inlineStr">
        <is>
          <t>S</t>
        </is>
      </c>
      <c r="G14" s="5">
        <f>IF(C14="카드",INDEX(비용표!$C$2:$C$7,MATCH(F14,비용표!$B$2:$B$7,0)),F14*INDEX(비용표!$C$8:$C$9,MATCH(C14,비용표!$B$8:$B$9,0)))</f>
        <v/>
      </c>
      <c r="H14" s="5">
        <f>G14*E14</f>
        <v/>
      </c>
      <c r="I14" s="10">
        <f>IF(A14=A13,I13&amp;" · ","")&amp;IF(C14="카드",D14&amp;E14,"["&amp;C14&amp;"] "&amp;D14)</f>
        <v/>
      </c>
    </row>
    <row r="15">
      <c r="A15" s="5" t="n">
        <v>4</v>
      </c>
      <c r="B15" s="5" t="n">
        <v>4</v>
      </c>
      <c r="C15" s="5" t="inlineStr">
        <is>
          <t>카드</t>
        </is>
      </c>
      <c r="D15" s="5" t="inlineStr">
        <is>
          <t>장비</t>
        </is>
      </c>
      <c r="E15" s="5" t="n">
        <v>1</v>
      </c>
      <c r="F15" s="5" t="inlineStr">
        <is>
          <t>S</t>
        </is>
      </c>
      <c r="G15" s="5">
        <f>IF(C15="카드",INDEX(비용표!$C$2:$C$7,MATCH(F15,비용표!$B$2:$B$7,0)),F15*INDEX(비용표!$C$8:$C$9,MATCH(C15,비용표!$B$8:$B$9,0)))</f>
        <v/>
      </c>
      <c r="H15" s="5">
        <f>G15*E15</f>
        <v/>
      </c>
      <c r="I15" s="10">
        <f>IF(A15=A14,I14&amp;" · ","")&amp;IF(C15="카드",D15&amp;E15,"["&amp;C15&amp;"] "&amp;D15)</f>
        <v/>
      </c>
    </row>
    <row r="16">
      <c r="A16" s="5" t="n">
        <v>5</v>
      </c>
      <c r="B16" s="5" t="n">
        <v>1</v>
      </c>
      <c r="C16" s="5" t="inlineStr">
        <is>
          <t>카드</t>
        </is>
      </c>
      <c r="D16" s="5" t="inlineStr">
        <is>
          <t>원소</t>
        </is>
      </c>
      <c r="E16" s="5" t="n">
        <v>1</v>
      </c>
      <c r="F16" s="5" t="inlineStr">
        <is>
          <t>C</t>
        </is>
      </c>
      <c r="G16" s="5">
        <f>IF(C16="카드",INDEX(비용표!$C$2:$C$7,MATCH(F16,비용표!$B$2:$B$7,0)),F16*INDEX(비용표!$C$8:$C$9,MATCH(C16,비용표!$B$8:$B$9,0)))</f>
        <v/>
      </c>
      <c r="H16" s="5">
        <f>G16*E16</f>
        <v/>
      </c>
      <c r="I16" s="10">
        <f>IF(A16=A15,I15&amp;" · ","")&amp;IF(C16="카드",D16&amp;E16,"["&amp;C16&amp;"] "&amp;D16)</f>
        <v/>
      </c>
    </row>
    <row r="17">
      <c r="A17" s="5" t="n">
        <v>5</v>
      </c>
      <c r="B17" s="5" t="n">
        <v>2</v>
      </c>
      <c r="C17" s="5" t="inlineStr">
        <is>
          <t>카드</t>
        </is>
      </c>
      <c r="D17" s="5" t="inlineStr">
        <is>
          <t>조조</t>
        </is>
      </c>
      <c r="E17" s="5" t="n">
        <v>1</v>
      </c>
      <c r="F17" s="5" t="inlineStr">
        <is>
          <t>S</t>
        </is>
      </c>
      <c r="G17" s="5">
        <f>IF(C17="카드",INDEX(비용표!$C$2:$C$7,MATCH(F17,비용표!$B$2:$B$7,0)),F17*INDEX(비용표!$C$8:$C$9,MATCH(C17,비용표!$B$8:$B$9,0)))</f>
        <v/>
      </c>
      <c r="H17" s="5">
        <f>G17*E17</f>
        <v/>
      </c>
      <c r="I17" s="10">
        <f>IF(A17=A16,I16&amp;" · ","")&amp;IF(C17="카드",D17&amp;E17,"["&amp;C17&amp;"] "&amp;D17)</f>
        <v/>
      </c>
    </row>
    <row r="18">
      <c r="A18" s="5" t="n">
        <v>5</v>
      </c>
      <c r="B18" s="5" t="n">
        <v>3</v>
      </c>
      <c r="C18" s="5" t="inlineStr">
        <is>
          <t>카드</t>
        </is>
      </c>
      <c r="D18" s="5" t="inlineStr">
        <is>
          <t>손견</t>
        </is>
      </c>
      <c r="E18" s="5" t="n">
        <v>1</v>
      </c>
      <c r="F18" s="5" t="inlineStr">
        <is>
          <t>S</t>
        </is>
      </c>
      <c r="G18" s="5">
        <f>IF(C18="카드",INDEX(비용표!$C$2:$C$7,MATCH(F18,비용표!$B$2:$B$7,0)),F18*INDEX(비용표!$C$8:$C$9,MATCH(C18,비용표!$B$8:$B$9,0)))</f>
        <v/>
      </c>
      <c r="H18" s="5">
        <f>G18*E18</f>
        <v/>
      </c>
      <c r="I18" s="10">
        <f>IF(A18=A17,I17&amp;" · ","")&amp;IF(C18="카드",D18&amp;E18,"["&amp;C18&amp;"] "&amp;D18)</f>
        <v/>
      </c>
    </row>
    <row r="19">
      <c r="A19" s="5" t="n">
        <v>5</v>
      </c>
      <c r="B19" s="5" t="n">
        <v>4</v>
      </c>
      <c r="C19" s="5" t="inlineStr">
        <is>
          <t>카드</t>
        </is>
      </c>
      <c r="D19" s="5" t="inlineStr">
        <is>
          <t>공손찬</t>
        </is>
      </c>
      <c r="E19" s="5" t="n">
        <v>1</v>
      </c>
      <c r="F19" s="5" t="inlineStr">
        <is>
          <t>C</t>
        </is>
      </c>
      <c r="G19" s="5">
        <f>IF(C19="카드",INDEX(비용표!$C$2:$C$7,MATCH(F19,비용표!$B$2:$B$7,0)),F19*INDEX(비용표!$C$8:$C$9,MATCH(C19,비용표!$B$8:$B$9,0)))</f>
        <v/>
      </c>
      <c r="H19" s="5">
        <f>G19*E19</f>
        <v/>
      </c>
      <c r="I19" s="10">
        <f>IF(A19=A18,I18&amp;" · ","")&amp;IF(C19="카드",D19&amp;E19,"["&amp;C19&amp;"] "&amp;D19)</f>
        <v/>
      </c>
    </row>
    <row r="20">
      <c r="A20" s="5" t="n">
        <v>5</v>
      </c>
      <c r="B20" s="5" t="n">
        <v>5</v>
      </c>
      <c r="C20" s="5" t="inlineStr">
        <is>
          <t>카드</t>
        </is>
      </c>
      <c r="D20" s="5" t="inlineStr">
        <is>
          <t>원술</t>
        </is>
      </c>
      <c r="E20" s="5" t="n">
        <v>1</v>
      </c>
      <c r="F20" s="5" t="inlineStr">
        <is>
          <t>B</t>
        </is>
      </c>
      <c r="G20" s="5">
        <f>IF(C20="카드",INDEX(비용표!$C$2:$C$7,MATCH(F20,비용표!$B$2:$B$7,0)),F20*INDEX(비용표!$C$8:$C$9,MATCH(C20,비용표!$B$8:$B$9,0)))</f>
        <v/>
      </c>
      <c r="H20" s="5">
        <f>G20*E20</f>
        <v/>
      </c>
      <c r="I20" s="10">
        <f>IF(A20=A19,I19&amp;" · ","")&amp;IF(C20="카드",D20&amp;E20,"["&amp;C20&amp;"] "&amp;D20)</f>
        <v/>
      </c>
    </row>
    <row r="21">
      <c r="A21" s="5" t="n">
        <v>6</v>
      </c>
      <c r="B21" s="5" t="n">
        <v>1</v>
      </c>
      <c r="C21" s="5" t="inlineStr">
        <is>
          <t>카드</t>
        </is>
      </c>
      <c r="D21" s="5" t="inlineStr">
        <is>
          <t>동탁</t>
        </is>
      </c>
      <c r="E21" s="5" t="n">
        <v>1</v>
      </c>
      <c r="F21" s="5" t="inlineStr">
        <is>
          <t>A</t>
        </is>
      </c>
      <c r="G21" s="5">
        <f>IF(C21="카드",INDEX(비용표!$C$2:$C$7,MATCH(F21,비용표!$B$2:$B$7,0)),F21*INDEX(비용표!$C$8:$C$9,MATCH(C21,비용표!$B$8:$B$9,0)))</f>
        <v/>
      </c>
      <c r="H21" s="5">
        <f>G21*E21</f>
        <v/>
      </c>
      <c r="I21" s="10">
        <f>IF(A21=A20,I20&amp;" · ","")&amp;IF(C21="카드",D21&amp;E21,"["&amp;C21&amp;"] "&amp;D21)</f>
        <v/>
      </c>
    </row>
    <row r="22">
      <c r="A22" s="5" t="n">
        <v>6</v>
      </c>
      <c r="B22" s="5" t="n">
        <v>2</v>
      </c>
      <c r="C22" s="5" t="inlineStr">
        <is>
          <t>카드</t>
        </is>
      </c>
      <c r="D22" s="5" t="inlineStr">
        <is>
          <t>이유</t>
        </is>
      </c>
      <c r="E22" s="5" t="n">
        <v>1</v>
      </c>
      <c r="F22" s="5" t="inlineStr">
        <is>
          <t>A</t>
        </is>
      </c>
      <c r="G22" s="5">
        <f>IF(C22="카드",INDEX(비용표!$C$2:$C$7,MATCH(F22,비용표!$B$2:$B$7,0)),F22*INDEX(비용표!$C$8:$C$9,MATCH(C22,비용표!$B$8:$B$9,0)))</f>
        <v/>
      </c>
      <c r="H22" s="5">
        <f>G22*E22</f>
        <v/>
      </c>
      <c r="I22" s="10">
        <f>IF(A22=A21,I21&amp;" · ","")&amp;IF(C22="카드",D22&amp;E22,"["&amp;C22&amp;"] "&amp;D22)</f>
        <v/>
      </c>
    </row>
    <row r="23">
      <c r="A23" s="5" t="n">
        <v>6</v>
      </c>
      <c r="B23" s="5" t="n">
        <v>3</v>
      </c>
      <c r="C23" s="5" t="inlineStr">
        <is>
          <t>카드</t>
        </is>
      </c>
      <c r="D23" s="5" t="inlineStr">
        <is>
          <t>이각</t>
        </is>
      </c>
      <c r="E23" s="5" t="n">
        <v>1</v>
      </c>
      <c r="F23" s="5" t="inlineStr">
        <is>
          <t>C</t>
        </is>
      </c>
      <c r="G23" s="5">
        <f>IF(C23="카드",INDEX(비용표!$C$2:$C$7,MATCH(F23,비용표!$B$2:$B$7,0)),F23*INDEX(비용표!$C$8:$C$9,MATCH(C23,비용표!$B$8:$B$9,0)))</f>
        <v/>
      </c>
      <c r="H23" s="5">
        <f>G23*E23</f>
        <v/>
      </c>
      <c r="I23" s="10">
        <f>IF(A23=A22,I22&amp;" · ","")&amp;IF(C23="카드",D23&amp;E23,"["&amp;C23&amp;"] "&amp;D23)</f>
        <v/>
      </c>
    </row>
    <row r="24">
      <c r="A24" s="5" t="n">
        <v>6</v>
      </c>
      <c r="B24" s="5" t="n">
        <v>4</v>
      </c>
      <c r="C24" s="5" t="inlineStr">
        <is>
          <t>카드</t>
        </is>
      </c>
      <c r="D24" s="5" t="inlineStr">
        <is>
          <t>곽사</t>
        </is>
      </c>
      <c r="E24" s="5" t="n">
        <v>1</v>
      </c>
      <c r="F24" s="5" t="inlineStr">
        <is>
          <t>C</t>
        </is>
      </c>
      <c r="G24" s="5">
        <f>IF(C24="카드",INDEX(비용표!$C$2:$C$7,MATCH(F24,비용표!$B$2:$B$7,0)),F24*INDEX(비용표!$C$8:$C$9,MATCH(C24,비용표!$B$8:$B$9,0)))</f>
        <v/>
      </c>
      <c r="H24" s="5">
        <f>G24*E24</f>
        <v/>
      </c>
      <c r="I24" s="10">
        <f>IF(A24=A23,I23&amp;" · ","")&amp;IF(C24="카드",D24&amp;E24,"["&amp;C24&amp;"] "&amp;D24)</f>
        <v/>
      </c>
    </row>
    <row r="25">
      <c r="A25" s="5" t="n">
        <v>7</v>
      </c>
      <c r="B25" s="5" t="n">
        <v>1</v>
      </c>
      <c r="C25" s="5" t="inlineStr">
        <is>
          <t>카드</t>
        </is>
      </c>
      <c r="D25" s="5" t="inlineStr">
        <is>
          <t>조조</t>
        </is>
      </c>
      <c r="E25" s="5" t="n">
        <v>1</v>
      </c>
      <c r="F25" s="5" t="inlineStr">
        <is>
          <t>S</t>
        </is>
      </c>
      <c r="G25" s="5">
        <f>IF(C25="카드",INDEX(비용표!$C$2:$C$7,MATCH(F25,비용표!$B$2:$B$7,0)),F25*INDEX(비용표!$C$8:$C$9,MATCH(C25,비용표!$B$8:$B$9,0)))</f>
        <v/>
      </c>
      <c r="H25" s="5">
        <f>G25*E25</f>
        <v/>
      </c>
      <c r="I25" s="10">
        <f>IF(A25=A24,I24&amp;" · ","")&amp;IF(C25="카드",D25&amp;E25,"["&amp;C25&amp;"] "&amp;D25)</f>
        <v/>
      </c>
    </row>
    <row r="26">
      <c r="A26" s="5" t="n">
        <v>7</v>
      </c>
      <c r="B26" s="5" t="n">
        <v>2</v>
      </c>
      <c r="C26" s="5" t="inlineStr">
        <is>
          <t>카드</t>
        </is>
      </c>
      <c r="D26" s="5" t="inlineStr">
        <is>
          <t>동탁</t>
        </is>
      </c>
      <c r="E26" s="5" t="n">
        <v>1</v>
      </c>
      <c r="F26" s="5" t="inlineStr">
        <is>
          <t>A</t>
        </is>
      </c>
      <c r="G26" s="5">
        <f>IF(C26="카드",INDEX(비용표!$C$2:$C$7,MATCH(F26,비용표!$B$2:$B$7,0)),F26*INDEX(비용표!$C$8:$C$9,MATCH(C26,비용표!$B$8:$B$9,0)))</f>
        <v/>
      </c>
      <c r="H26" s="5">
        <f>G26*E26</f>
        <v/>
      </c>
      <c r="I26" s="10">
        <f>IF(A26=A25,I25&amp;" · ","")&amp;IF(C26="카드",D26&amp;E26,"["&amp;C26&amp;"] "&amp;D26)</f>
        <v/>
      </c>
    </row>
    <row r="27">
      <c r="A27" s="5" t="n">
        <v>7</v>
      </c>
      <c r="B27" s="5" t="n">
        <v>3</v>
      </c>
      <c r="C27" s="5" t="inlineStr">
        <is>
          <t>병기</t>
        </is>
      </c>
      <c r="D27" s="5" t="inlineStr">
        <is>
          <t>칠성보도</t>
        </is>
      </c>
      <c r="E27" s="5" t="n">
        <v>1</v>
      </c>
      <c r="F27" s="5" t="n">
        <v>3</v>
      </c>
      <c r="G27" s="5">
        <f>IF(C27="카드",INDEX(비용표!$C$2:$C$7,MATCH(F27,비용표!$B$2:$B$7,0)),F27*INDEX(비용표!$C$8:$C$9,MATCH(C27,비용표!$B$8:$B$9,0)))</f>
        <v/>
      </c>
      <c r="H27" s="5">
        <f>G27*E27</f>
        <v/>
      </c>
      <c r="I27" s="10">
        <f>IF(A27=A26,I26&amp;" · ","")&amp;IF(C27="카드",D27&amp;E27,"["&amp;C27&amp;"] "&amp;D27)</f>
        <v/>
      </c>
    </row>
    <row r="28">
      <c r="A28" s="5" t="n">
        <v>8</v>
      </c>
      <c r="B28" s="5" t="n">
        <v>1</v>
      </c>
      <c r="C28" s="5" t="inlineStr">
        <is>
          <t>카드</t>
        </is>
      </c>
      <c r="D28" s="5" t="inlineStr">
        <is>
          <t>진궁</t>
        </is>
      </c>
      <c r="E28" s="5" t="n">
        <v>1</v>
      </c>
      <c r="F28" s="5" t="inlineStr">
        <is>
          <t>B</t>
        </is>
      </c>
      <c r="G28" s="5">
        <f>IF(C28="카드",INDEX(비용표!$C$2:$C$7,MATCH(F28,비용표!$B$2:$B$7,0)),F28*INDEX(비용표!$C$8:$C$9,MATCH(C28,비용표!$B$8:$B$9,0)))</f>
        <v/>
      </c>
      <c r="H28" s="5">
        <f>G28*E28</f>
        <v/>
      </c>
      <c r="I28" s="10">
        <f>IF(A28=A27,I27&amp;" · ","")&amp;IF(C28="카드",D28&amp;E28,"["&amp;C28&amp;"] "&amp;D28)</f>
        <v/>
      </c>
    </row>
    <row r="29">
      <c r="A29" s="5" t="n">
        <v>8</v>
      </c>
      <c r="B29" s="5" t="n">
        <v>2</v>
      </c>
      <c r="C29" s="5" t="inlineStr">
        <is>
          <t>카드</t>
        </is>
      </c>
      <c r="D29" s="5" t="inlineStr">
        <is>
          <t>조조</t>
        </is>
      </c>
      <c r="E29" s="5" t="n">
        <v>1</v>
      </c>
      <c r="F29" s="5" t="inlineStr">
        <is>
          <t>S</t>
        </is>
      </c>
      <c r="G29" s="5">
        <f>IF(C29="카드",INDEX(비용표!$C$2:$C$7,MATCH(F29,비용표!$B$2:$B$7,0)),F29*INDEX(비용표!$C$8:$C$9,MATCH(C29,비용표!$B$8:$B$9,0)))</f>
        <v/>
      </c>
      <c r="H29" s="5">
        <f>G29*E29</f>
        <v/>
      </c>
      <c r="I29" s="10">
        <f>IF(A29=A28,I28&amp;" · ","")&amp;IF(C29="카드",D29&amp;E29,"["&amp;C29&amp;"] "&amp;D29)</f>
        <v/>
      </c>
    </row>
    <row r="30">
      <c r="A30" s="5" t="n">
        <v>9</v>
      </c>
      <c r="B30" s="5" t="n">
        <v>1</v>
      </c>
      <c r="C30" s="5" t="inlineStr">
        <is>
          <t>카드</t>
        </is>
      </c>
      <c r="D30" s="5" t="inlineStr">
        <is>
          <t>조조</t>
        </is>
      </c>
      <c r="E30" s="5" t="n">
        <v>1</v>
      </c>
      <c r="F30" s="5" t="inlineStr">
        <is>
          <t>S</t>
        </is>
      </c>
      <c r="G30" s="5">
        <f>IF(C30="카드",INDEX(비용표!$C$2:$C$7,MATCH(F30,비용표!$B$2:$B$7,0)),F30*INDEX(비용표!$C$8:$C$9,MATCH(C30,비용표!$B$8:$B$9,0)))</f>
        <v/>
      </c>
      <c r="H30" s="5">
        <f>G30*E30</f>
        <v/>
      </c>
      <c r="I30" s="10">
        <f>IF(A30=A29,I29&amp;" · ","")&amp;IF(C30="카드",D30&amp;E30,"["&amp;C30&amp;"] "&amp;D30)</f>
        <v/>
      </c>
    </row>
    <row r="31">
      <c r="A31" s="5" t="n">
        <v>9</v>
      </c>
      <c r="B31" s="5" t="n">
        <v>2</v>
      </c>
      <c r="C31" s="5" t="inlineStr">
        <is>
          <t>카드</t>
        </is>
      </c>
      <c r="D31" s="5" t="inlineStr">
        <is>
          <t>조홍</t>
        </is>
      </c>
      <c r="E31" s="5" t="n">
        <v>1</v>
      </c>
      <c r="F31" s="5" t="inlineStr">
        <is>
          <t>B</t>
        </is>
      </c>
      <c r="G31" s="5">
        <f>IF(C31="카드",INDEX(비용표!$C$2:$C$7,MATCH(F31,비용표!$B$2:$B$7,0)),F31*INDEX(비용표!$C$8:$C$9,MATCH(C31,비용표!$B$8:$B$9,0)))</f>
        <v/>
      </c>
      <c r="H31" s="5">
        <f>G31*E31</f>
        <v/>
      </c>
      <c r="I31" s="10">
        <f>IF(A31=A30,I30&amp;" · ","")&amp;IF(C31="카드",D31&amp;E31,"["&amp;C31&amp;"] "&amp;D31)</f>
        <v/>
      </c>
    </row>
    <row r="32">
      <c r="A32" s="5" t="n">
        <v>9</v>
      </c>
      <c r="B32" s="5" t="n">
        <v>3</v>
      </c>
      <c r="C32" s="5" t="inlineStr">
        <is>
          <t>카드</t>
        </is>
      </c>
      <c r="D32" s="5" t="inlineStr">
        <is>
          <t>서영</t>
        </is>
      </c>
      <c r="E32" s="5" t="n">
        <v>1</v>
      </c>
      <c r="F32" s="5" t="inlineStr">
        <is>
          <t>D</t>
        </is>
      </c>
      <c r="G32" s="5">
        <f>IF(C32="카드",INDEX(비용표!$C$2:$C$7,MATCH(F32,비용표!$B$2:$B$7,0)),F32*INDEX(비용표!$C$8:$C$9,MATCH(C32,비용표!$B$8:$B$9,0)))</f>
        <v/>
      </c>
      <c r="H32" s="5">
        <f>G32*E32</f>
        <v/>
      </c>
      <c r="I32" s="10">
        <f>IF(A32=A31,I31&amp;" · ","")&amp;IF(C32="카드",D32&amp;E32,"["&amp;C32&amp;"] "&amp;D32)</f>
        <v/>
      </c>
    </row>
    <row r="33">
      <c r="A33" s="5" t="n">
        <v>10</v>
      </c>
      <c r="B33" s="5" t="n">
        <v>1</v>
      </c>
      <c r="C33" s="5" t="inlineStr">
        <is>
          <t>카드</t>
        </is>
      </c>
      <c r="D33" s="5" t="inlineStr">
        <is>
          <t>손견</t>
        </is>
      </c>
      <c r="E33" s="5" t="n">
        <v>1</v>
      </c>
      <c r="F33" s="5" t="inlineStr">
        <is>
          <t>S</t>
        </is>
      </c>
      <c r="G33" s="5">
        <f>IF(C33="카드",INDEX(비용표!$C$2:$C$7,MATCH(F33,비용표!$B$2:$B$7,0)),F33*INDEX(비용표!$C$8:$C$9,MATCH(C33,비용표!$B$8:$B$9,0)))</f>
        <v/>
      </c>
      <c r="H33" s="5">
        <f>G33*E33</f>
        <v/>
      </c>
      <c r="I33" s="10">
        <f>IF(A33=A32,I32&amp;" · ","")&amp;IF(C33="카드",D33&amp;E33,"["&amp;C33&amp;"] "&amp;D33)</f>
        <v/>
      </c>
    </row>
    <row r="34">
      <c r="A34" s="5" t="n">
        <v>10</v>
      </c>
      <c r="B34" s="5" t="n">
        <v>2</v>
      </c>
      <c r="C34" s="5" t="inlineStr">
        <is>
          <t>카드</t>
        </is>
      </c>
      <c r="D34" s="5" t="inlineStr">
        <is>
          <t>정보</t>
        </is>
      </c>
      <c r="E34" s="5" t="n">
        <v>1</v>
      </c>
      <c r="F34" s="5" t="inlineStr">
        <is>
          <t>A</t>
        </is>
      </c>
      <c r="G34" s="5">
        <f>IF(C34="카드",INDEX(비용표!$C$2:$C$7,MATCH(F34,비용표!$B$2:$B$7,0)),F34*INDEX(비용표!$C$8:$C$9,MATCH(C34,비용표!$B$8:$B$9,0)))</f>
        <v/>
      </c>
      <c r="H34" s="5">
        <f>G34*E34</f>
        <v/>
      </c>
      <c r="I34" s="10">
        <f>IF(A34=A33,I33&amp;" · ","")&amp;IF(C34="카드",D34&amp;E34,"["&amp;C34&amp;"] "&amp;D34)</f>
        <v/>
      </c>
    </row>
    <row r="35">
      <c r="A35" s="5" t="n">
        <v>10</v>
      </c>
      <c r="B35" s="5" t="n">
        <v>3</v>
      </c>
      <c r="C35" s="5" t="inlineStr">
        <is>
          <t>카드</t>
        </is>
      </c>
      <c r="D35" s="5" t="inlineStr">
        <is>
          <t>황개</t>
        </is>
      </c>
      <c r="E35" s="5" t="n">
        <v>1</v>
      </c>
      <c r="F35" s="5" t="inlineStr">
        <is>
          <t>A</t>
        </is>
      </c>
      <c r="G35" s="5">
        <f>IF(C35="카드",INDEX(비용표!$C$2:$C$7,MATCH(F35,비용표!$B$2:$B$7,0)),F35*INDEX(비용표!$C$8:$C$9,MATCH(C35,비용표!$B$8:$B$9,0)))</f>
        <v/>
      </c>
      <c r="H35" s="5">
        <f>G35*E35</f>
        <v/>
      </c>
      <c r="I35" s="10">
        <f>IF(A35=A34,I34&amp;" · ","")&amp;IF(C35="카드",D35&amp;E35,"["&amp;C35&amp;"] "&amp;D35)</f>
        <v/>
      </c>
    </row>
    <row r="36">
      <c r="A36" s="5" t="n">
        <v>10</v>
      </c>
      <c r="B36" s="5" t="n">
        <v>4</v>
      </c>
      <c r="C36" s="5" t="inlineStr">
        <is>
          <t>카드</t>
        </is>
      </c>
      <c r="D36" s="5" t="inlineStr">
        <is>
          <t>한당</t>
        </is>
      </c>
      <c r="E36" s="5" t="n">
        <v>1</v>
      </c>
      <c r="F36" s="5" t="inlineStr">
        <is>
          <t>C</t>
        </is>
      </c>
      <c r="G36" s="5">
        <f>IF(C36="카드",INDEX(비용표!$C$2:$C$7,MATCH(F36,비용표!$B$2:$B$7,0)),F36*INDEX(비용표!$C$8:$C$9,MATCH(C36,비용표!$B$8:$B$9,0)))</f>
        <v/>
      </c>
      <c r="H36" s="5">
        <f>G36*E36</f>
        <v/>
      </c>
      <c r="I36" s="10">
        <f>IF(A36=A35,I35&amp;" · ","")&amp;IF(C36="카드",D36&amp;E36,"["&amp;C36&amp;"] "&amp;D36)</f>
        <v/>
      </c>
    </row>
    <row r="37">
      <c r="A37" s="5" t="n">
        <v>11</v>
      </c>
      <c r="B37" s="5" t="n">
        <v>1</v>
      </c>
      <c r="C37" s="5" t="inlineStr">
        <is>
          <t>카드</t>
        </is>
      </c>
      <c r="D37" s="5" t="inlineStr">
        <is>
          <t>손견</t>
        </is>
      </c>
      <c r="E37" s="5" t="n">
        <v>1</v>
      </c>
      <c r="F37" s="5" t="inlineStr">
        <is>
          <t>S</t>
        </is>
      </c>
      <c r="G37" s="5">
        <f>IF(C37="카드",INDEX(비용표!$C$2:$C$7,MATCH(F37,비용표!$B$2:$B$7,0)),F37*INDEX(비용표!$C$8:$C$9,MATCH(C37,비용표!$B$8:$B$9,0)))</f>
        <v/>
      </c>
      <c r="H37" s="5">
        <f>G37*E37</f>
        <v/>
      </c>
      <c r="I37" s="10">
        <f>IF(A37=A36,I36&amp;" · ","")&amp;IF(C37="카드",D37&amp;E37,"["&amp;C37&amp;"] "&amp;D37)</f>
        <v/>
      </c>
    </row>
    <row r="38">
      <c r="A38" s="5" t="n">
        <v>11</v>
      </c>
      <c r="B38" s="5" t="n">
        <v>2</v>
      </c>
      <c r="C38" s="5" t="inlineStr">
        <is>
          <t>카드</t>
        </is>
      </c>
      <c r="D38" s="5" t="inlineStr">
        <is>
          <t>유표</t>
        </is>
      </c>
      <c r="E38" s="5" t="n">
        <v>1</v>
      </c>
      <c r="F38" s="5" t="inlineStr">
        <is>
          <t>B</t>
        </is>
      </c>
      <c r="G38" s="5">
        <f>IF(C38="카드",INDEX(비용표!$C$2:$C$7,MATCH(F38,비용표!$B$2:$B$7,0)),F38*INDEX(비용표!$C$8:$C$9,MATCH(C38,비용표!$B$8:$B$9,0)))</f>
        <v/>
      </c>
      <c r="H38" s="5">
        <f>G38*E38</f>
        <v/>
      </c>
      <c r="I38" s="10">
        <f>IF(A38=A37,I37&amp;" · ","")&amp;IF(C38="카드",D38&amp;E38,"["&amp;C38&amp;"] "&amp;D38)</f>
        <v/>
      </c>
    </row>
    <row r="39">
      <c r="A39" s="5" t="n">
        <v>11</v>
      </c>
      <c r="B39" s="5" t="n">
        <v>3</v>
      </c>
      <c r="C39" s="5" t="inlineStr">
        <is>
          <t>카드</t>
        </is>
      </c>
      <c r="D39" s="5" t="inlineStr">
        <is>
          <t>괴월</t>
        </is>
      </c>
      <c r="E39" s="5" t="n">
        <v>1</v>
      </c>
      <c r="F39" s="5" t="inlineStr">
        <is>
          <t>B</t>
        </is>
      </c>
      <c r="G39" s="5">
        <f>IF(C39="카드",INDEX(비용표!$C$2:$C$7,MATCH(F39,비용표!$B$2:$B$7,0)),F39*INDEX(비용표!$C$8:$C$9,MATCH(C39,비용표!$B$8:$B$9,0)))</f>
        <v/>
      </c>
      <c r="H39" s="5">
        <f>G39*E39</f>
        <v/>
      </c>
      <c r="I39" s="10">
        <f>IF(A39=A38,I38&amp;" · ","")&amp;IF(C39="카드",D39&amp;E39,"["&amp;C39&amp;"] "&amp;D39)</f>
        <v/>
      </c>
    </row>
    <row r="40">
      <c r="A40" s="5" t="n">
        <v>11</v>
      </c>
      <c r="B40" s="5" t="n">
        <v>4</v>
      </c>
      <c r="C40" s="5" t="inlineStr">
        <is>
          <t>카드</t>
        </is>
      </c>
      <c r="D40" s="5" t="inlineStr">
        <is>
          <t>채모</t>
        </is>
      </c>
      <c r="E40" s="5" t="n">
        <v>1</v>
      </c>
      <c r="F40" s="5" t="inlineStr">
        <is>
          <t>B</t>
        </is>
      </c>
      <c r="G40" s="5">
        <f>IF(C40="카드",INDEX(비용표!$C$2:$C$7,MATCH(F40,비용표!$B$2:$B$7,0)),F40*INDEX(비용표!$C$8:$C$9,MATCH(C40,비용표!$B$8:$B$9,0)))</f>
        <v/>
      </c>
      <c r="H40" s="5">
        <f>G40*E40</f>
        <v/>
      </c>
      <c r="I40" s="10">
        <f>IF(A40=A39,I39&amp;" · ","")&amp;IF(C40="카드",D40&amp;E40,"["&amp;C40&amp;"] "&amp;D40)</f>
        <v/>
      </c>
    </row>
    <row r="41">
      <c r="A41" s="5" t="n">
        <v>12</v>
      </c>
      <c r="B41" s="5" t="n">
        <v>1</v>
      </c>
      <c r="C41" s="5" t="inlineStr">
        <is>
          <t>카드</t>
        </is>
      </c>
      <c r="D41" s="5" t="inlineStr">
        <is>
          <t>공손찬</t>
        </is>
      </c>
      <c r="E41" s="5" t="n">
        <v>1</v>
      </c>
      <c r="F41" s="5" t="inlineStr">
        <is>
          <t>C</t>
        </is>
      </c>
      <c r="G41" s="5">
        <f>IF(C41="카드",INDEX(비용표!$C$2:$C$7,MATCH(F41,비용표!$B$2:$B$7,0)),F41*INDEX(비용표!$C$8:$C$9,MATCH(C41,비용표!$B$8:$B$9,0)))</f>
        <v/>
      </c>
      <c r="H41" s="5">
        <f>G41*E41</f>
        <v/>
      </c>
      <c r="I41" s="10">
        <f>IF(A41=A40,I40&amp;" · ","")&amp;IF(C41="카드",D41&amp;E41,"["&amp;C41&amp;"] "&amp;D41)</f>
        <v/>
      </c>
    </row>
    <row r="42">
      <c r="A42" s="5" t="n">
        <v>12</v>
      </c>
      <c r="B42" s="5" t="n">
        <v>2</v>
      </c>
      <c r="C42" s="5" t="inlineStr">
        <is>
          <t>카드</t>
        </is>
      </c>
      <c r="D42" s="5" t="inlineStr">
        <is>
          <t>조운</t>
        </is>
      </c>
      <c r="E42" s="5" t="n">
        <v>1</v>
      </c>
      <c r="F42" s="5" t="inlineStr">
        <is>
          <t>S</t>
        </is>
      </c>
      <c r="G42" s="5">
        <f>IF(C42="카드",INDEX(비용표!$C$2:$C$7,MATCH(F42,비용표!$B$2:$B$7,0)),F42*INDEX(비용표!$C$8:$C$9,MATCH(C42,비용표!$B$8:$B$9,0)))</f>
        <v/>
      </c>
      <c r="H42" s="5">
        <f>G42*E42</f>
        <v/>
      </c>
      <c r="I42" s="10">
        <f>IF(A42=A41,I41&amp;" · ","")&amp;IF(C42="카드",D42&amp;E42,"["&amp;C42&amp;"] "&amp;D42)</f>
        <v/>
      </c>
    </row>
    <row r="43">
      <c r="A43" s="5" t="n">
        <v>12</v>
      </c>
      <c r="B43" s="5" t="n">
        <v>3</v>
      </c>
      <c r="C43" s="5" t="inlineStr">
        <is>
          <t>카드</t>
        </is>
      </c>
      <c r="D43" s="5" t="inlineStr">
        <is>
          <t>엄강</t>
        </is>
      </c>
      <c r="E43" s="5" t="n">
        <v>1</v>
      </c>
      <c r="F43" s="5" t="inlineStr">
        <is>
          <t>C</t>
        </is>
      </c>
      <c r="G43" s="5">
        <f>IF(C43="카드",INDEX(비용표!$C$2:$C$7,MATCH(F43,비용표!$B$2:$B$7,0)),F43*INDEX(비용표!$C$8:$C$9,MATCH(C43,비용표!$B$8:$B$9,0)))</f>
        <v/>
      </c>
      <c r="H43" s="5">
        <f>G43*E43</f>
        <v/>
      </c>
      <c r="I43" s="10">
        <f>IF(A43=A42,I42&amp;" · ","")&amp;IF(C43="카드",D43&amp;E43,"["&amp;C43&amp;"] "&amp;D43)</f>
        <v/>
      </c>
    </row>
    <row r="44">
      <c r="A44" s="5" t="n">
        <v>12</v>
      </c>
      <c r="B44" s="5" t="n">
        <v>4</v>
      </c>
      <c r="C44" s="5" t="inlineStr">
        <is>
          <t>아이템</t>
        </is>
      </c>
      <c r="D44" s="5" t="inlineStr">
        <is>
          <t>대완마</t>
        </is>
      </c>
      <c r="E44" s="5" t="n">
        <v>1</v>
      </c>
      <c r="F44" s="5" t="n">
        <v>2</v>
      </c>
      <c r="G44" s="5">
        <f>IF(C44="카드",INDEX(비용표!$C$2:$C$7,MATCH(F44,비용표!$B$2:$B$7,0)),F44*INDEX(비용표!$C$8:$C$9,MATCH(C44,비용표!$B$8:$B$9,0)))</f>
        <v/>
      </c>
      <c r="H44" s="5">
        <f>G44*E44</f>
        <v/>
      </c>
      <c r="I44" s="10">
        <f>IF(A44=A43,I43&amp;" · ","")&amp;IF(C44="카드",D44&amp;E44,"["&amp;C44&amp;"] "&amp;D44)</f>
        <v/>
      </c>
    </row>
    <row r="45">
      <c r="A45" s="5" t="n">
        <v>13</v>
      </c>
      <c r="B45" s="5" t="n">
        <v>1</v>
      </c>
      <c r="C45" s="5" t="inlineStr">
        <is>
          <t>카드</t>
        </is>
      </c>
      <c r="D45" s="5" t="inlineStr">
        <is>
          <t>국의</t>
        </is>
      </c>
      <c r="E45" s="5" t="n">
        <v>1</v>
      </c>
      <c r="F45" s="5" t="inlineStr">
        <is>
          <t>C</t>
        </is>
      </c>
      <c r="G45" s="5">
        <f>IF(C45="카드",INDEX(비용표!$C$2:$C$7,MATCH(F45,비용표!$B$2:$B$7,0)),F45*INDEX(비용표!$C$8:$C$9,MATCH(C45,비용표!$B$8:$B$9,0)))</f>
        <v/>
      </c>
      <c r="H45" s="5">
        <f>G45*E45</f>
        <v/>
      </c>
      <c r="I45" s="10">
        <f>IF(A45=A44,I44&amp;" · ","")&amp;IF(C45="카드",D45&amp;E45,"["&amp;C45&amp;"] "&amp;D45)</f>
        <v/>
      </c>
    </row>
    <row r="46">
      <c r="A46" s="5" t="n">
        <v>13</v>
      </c>
      <c r="B46" s="5" t="n">
        <v>2</v>
      </c>
      <c r="C46" s="5" t="inlineStr">
        <is>
          <t>카드</t>
        </is>
      </c>
      <c r="D46" s="5" t="inlineStr">
        <is>
          <t>원소</t>
        </is>
      </c>
      <c r="E46" s="5" t="n">
        <v>1</v>
      </c>
      <c r="F46" s="5" t="inlineStr">
        <is>
          <t>C</t>
        </is>
      </c>
      <c r="G46" s="5">
        <f>IF(C46="카드",INDEX(비용표!$C$2:$C$7,MATCH(F46,비용표!$B$2:$B$7,0)),F46*INDEX(비용표!$C$8:$C$9,MATCH(C46,비용표!$B$8:$B$9,0)))</f>
        <v/>
      </c>
      <c r="H46" s="5">
        <f>G46*E46</f>
        <v/>
      </c>
      <c r="I46" s="10">
        <f>IF(A46=A45,I45&amp;" · ","")&amp;IF(C46="카드",D46&amp;E46,"["&amp;C46&amp;"] "&amp;D46)</f>
        <v/>
      </c>
    </row>
    <row r="47">
      <c r="A47" s="5" t="n">
        <v>13</v>
      </c>
      <c r="B47" s="5" t="n">
        <v>3</v>
      </c>
      <c r="C47" s="5" t="inlineStr">
        <is>
          <t>카드</t>
        </is>
      </c>
      <c r="D47" s="5" t="inlineStr">
        <is>
          <t>공손찬</t>
        </is>
      </c>
      <c r="E47" s="5" t="n">
        <v>1</v>
      </c>
      <c r="F47" s="5" t="inlineStr">
        <is>
          <t>C</t>
        </is>
      </c>
      <c r="G47" s="5">
        <f>IF(C47="카드",INDEX(비용표!$C$2:$C$7,MATCH(F47,비용표!$B$2:$B$7,0)),F47*INDEX(비용표!$C$8:$C$9,MATCH(C47,비용표!$B$8:$B$9,0)))</f>
        <v/>
      </c>
      <c r="H47" s="5">
        <f>G47*E47</f>
        <v/>
      </c>
      <c r="I47" s="10">
        <f>IF(A47=A46,I46&amp;" · ","")&amp;IF(C47="카드",D47&amp;E47,"["&amp;C47&amp;"] "&amp;D47)</f>
        <v/>
      </c>
    </row>
    <row r="48">
      <c r="A48" s="5" t="n">
        <v>14</v>
      </c>
      <c r="B48" s="5" t="n">
        <v>1</v>
      </c>
      <c r="C48" s="5" t="inlineStr">
        <is>
          <t>카드</t>
        </is>
      </c>
      <c r="D48" s="5" t="inlineStr">
        <is>
          <t>이각</t>
        </is>
      </c>
      <c r="E48" s="5" t="n">
        <v>1</v>
      </c>
      <c r="F48" s="5" t="inlineStr">
        <is>
          <t>C</t>
        </is>
      </c>
      <c r="G48" s="5">
        <f>IF(C48="카드",INDEX(비용표!$C$2:$C$7,MATCH(F48,비용표!$B$2:$B$7,0)),F48*INDEX(비용표!$C$8:$C$9,MATCH(C48,비용표!$B$8:$B$9,0)))</f>
        <v/>
      </c>
      <c r="H48" s="5">
        <f>G48*E48</f>
        <v/>
      </c>
      <c r="I48" s="10">
        <f>IF(A48=A47,I47&amp;" · ","")&amp;IF(C48="카드",D48&amp;E48,"["&amp;C48&amp;"] "&amp;D48)</f>
        <v/>
      </c>
    </row>
    <row r="49">
      <c r="A49" s="5" t="n">
        <v>14</v>
      </c>
      <c r="B49" s="5" t="n">
        <v>2</v>
      </c>
      <c r="C49" s="5" t="inlineStr">
        <is>
          <t>카드</t>
        </is>
      </c>
      <c r="D49" s="5" t="inlineStr">
        <is>
          <t>곽사</t>
        </is>
      </c>
      <c r="E49" s="5" t="n">
        <v>1</v>
      </c>
      <c r="F49" s="5" t="inlineStr">
        <is>
          <t>C</t>
        </is>
      </c>
      <c r="G49" s="5">
        <f>IF(C49="카드",INDEX(비용표!$C$2:$C$7,MATCH(F49,비용표!$B$2:$B$7,0)),F49*INDEX(비용표!$C$8:$C$9,MATCH(C49,비용표!$B$8:$B$9,0)))</f>
        <v/>
      </c>
      <c r="H49" s="5">
        <f>G49*E49</f>
        <v/>
      </c>
      <c r="I49" s="10">
        <f>IF(A49=A48,I48&amp;" · ","")&amp;IF(C49="카드",D49&amp;E49,"["&amp;C49&amp;"] "&amp;D49)</f>
        <v/>
      </c>
    </row>
    <row r="50">
      <c r="A50" s="5" t="n">
        <v>15</v>
      </c>
      <c r="B50" s="5" t="n">
        <v>1</v>
      </c>
      <c r="C50" s="5" t="inlineStr">
        <is>
          <t>카드</t>
        </is>
      </c>
      <c r="D50" s="5" t="inlineStr">
        <is>
          <t>헌제</t>
        </is>
      </c>
      <c r="E50" s="5" t="n">
        <v>1</v>
      </c>
      <c r="F50" s="5" t="inlineStr">
        <is>
          <t>E</t>
        </is>
      </c>
      <c r="G50" s="5">
        <f>IF(C50="카드",INDEX(비용표!$C$2:$C$7,MATCH(F50,비용표!$B$2:$B$7,0)),F50*INDEX(비용표!$C$8:$C$9,MATCH(C50,비용표!$B$8:$B$9,0)))</f>
        <v/>
      </c>
      <c r="H50" s="5">
        <f>G50*E50</f>
        <v/>
      </c>
      <c r="I50" s="10">
        <f>IF(A50=A49,I49&amp;" · ","")&amp;IF(C50="카드",D50&amp;E50,"["&amp;C50&amp;"] "&amp;D50)</f>
        <v/>
      </c>
    </row>
    <row r="51">
      <c r="A51" s="5" t="n">
        <v>15</v>
      </c>
      <c r="B51" s="5" t="n">
        <v>2</v>
      </c>
      <c r="C51" s="5" t="inlineStr">
        <is>
          <t>카드</t>
        </is>
      </c>
      <c r="D51" s="5" t="inlineStr">
        <is>
          <t>조조</t>
        </is>
      </c>
      <c r="E51" s="5" t="n">
        <v>1</v>
      </c>
      <c r="F51" s="5" t="inlineStr">
        <is>
          <t>S</t>
        </is>
      </c>
      <c r="G51" s="5">
        <f>IF(C51="카드",INDEX(비용표!$C$2:$C$7,MATCH(F51,비용표!$B$2:$B$7,0)),F51*INDEX(비용표!$C$8:$C$9,MATCH(C51,비용표!$B$8:$B$9,0)))</f>
        <v/>
      </c>
      <c r="H51" s="5">
        <f>G51*E51</f>
        <v/>
      </c>
      <c r="I51" s="10">
        <f>IF(A51=A50,I50&amp;" · ","")&amp;IF(C51="카드",D51&amp;E51,"["&amp;C51&amp;"] "&amp;D51)</f>
        <v/>
      </c>
    </row>
    <row r="52">
      <c r="A52" s="5" t="n">
        <v>15</v>
      </c>
      <c r="B52" s="5" t="n">
        <v>3</v>
      </c>
      <c r="C52" s="5" t="inlineStr">
        <is>
          <t>카드</t>
        </is>
      </c>
      <c r="D52" s="5" t="inlineStr">
        <is>
          <t>서황</t>
        </is>
      </c>
      <c r="E52" s="5" t="n">
        <v>1</v>
      </c>
      <c r="F52" s="5" t="inlineStr">
        <is>
          <t>S</t>
        </is>
      </c>
      <c r="G52" s="5">
        <f>IF(C52="카드",INDEX(비용표!$C$2:$C$7,MATCH(F52,비용표!$B$2:$B$7,0)),F52*INDEX(비용표!$C$8:$C$9,MATCH(C52,비용표!$B$8:$B$9,0)))</f>
        <v/>
      </c>
      <c r="H52" s="5">
        <f>G52*E52</f>
        <v/>
      </c>
      <c r="I52" s="10">
        <f>IF(A52=A51,I51&amp;" · ","")&amp;IF(C52="카드",D52&amp;E52,"["&amp;C52&amp;"] "&amp;D52)</f>
        <v/>
      </c>
    </row>
    <row r="53">
      <c r="A53" s="5" t="n">
        <v>15</v>
      </c>
      <c r="B53" s="5" t="n">
        <v>4</v>
      </c>
      <c r="C53" s="5" t="inlineStr">
        <is>
          <t>카드</t>
        </is>
      </c>
      <c r="D53" s="5" t="inlineStr">
        <is>
          <t>한섬</t>
        </is>
      </c>
      <c r="E53" s="5" t="n">
        <v>1</v>
      </c>
      <c r="F53" s="5" t="inlineStr">
        <is>
          <t>D</t>
        </is>
      </c>
      <c r="G53" s="5">
        <f>IF(C53="카드",INDEX(비용표!$C$2:$C$7,MATCH(F53,비용표!$B$2:$B$7,0)),F53*INDEX(비용표!$C$8:$C$9,MATCH(C53,비용표!$B$8:$B$9,0)))</f>
        <v/>
      </c>
      <c r="H53" s="5">
        <f>G53*E53</f>
        <v/>
      </c>
      <c r="I53" s="10">
        <f>IF(A53=A52,I52&amp;" · ","")&amp;IF(C53="카드",D53&amp;E53,"["&amp;C53&amp;"] "&amp;D53)</f>
        <v/>
      </c>
    </row>
    <row r="54">
      <c r="A54" s="5" t="n">
        <v>15</v>
      </c>
      <c r="B54" s="5" t="n">
        <v>5</v>
      </c>
      <c r="C54" s="5" t="inlineStr">
        <is>
          <t>카드</t>
        </is>
      </c>
      <c r="D54" s="5" t="inlineStr">
        <is>
          <t>순욱</t>
        </is>
      </c>
      <c r="E54" s="5" t="n">
        <v>1</v>
      </c>
      <c r="F54" s="5" t="inlineStr">
        <is>
          <t>S</t>
        </is>
      </c>
      <c r="G54" s="5">
        <f>IF(C54="카드",INDEX(비용표!$C$2:$C$7,MATCH(F54,비용표!$B$2:$B$7,0)),F54*INDEX(비용표!$C$8:$C$9,MATCH(C54,비용표!$B$8:$B$9,0)))</f>
        <v/>
      </c>
      <c r="H54" s="5">
        <f>G54*E54</f>
        <v/>
      </c>
      <c r="I54" s="10">
        <f>IF(A54=A53,I53&amp;" · ","")&amp;IF(C54="카드",D54&amp;E54,"["&amp;C54&amp;"] "&amp;D54)</f>
        <v/>
      </c>
    </row>
    <row r="55">
      <c r="A55" s="5" t="n">
        <v>16</v>
      </c>
      <c r="B55" s="5" t="n">
        <v>1</v>
      </c>
      <c r="C55" s="5" t="inlineStr">
        <is>
          <t>카드</t>
        </is>
      </c>
      <c r="D55" s="5" t="inlineStr">
        <is>
          <t>한호</t>
        </is>
      </c>
      <c r="E55" s="5" t="n">
        <v>1</v>
      </c>
      <c r="F55" s="5" t="inlineStr">
        <is>
          <t>C</t>
        </is>
      </c>
      <c r="G55" s="5">
        <f>IF(C55="카드",INDEX(비용표!$C$2:$C$7,MATCH(F55,비용표!$B$2:$B$7,0)),F55*INDEX(비용표!$C$8:$C$9,MATCH(C55,비용표!$B$8:$B$9,0)))</f>
        <v/>
      </c>
      <c r="H55" s="5">
        <f>G55*E55</f>
        <v/>
      </c>
      <c r="I55" s="10">
        <f>IF(A55=A54,I54&amp;" · ","")&amp;IF(C55="카드",D55&amp;E55,"["&amp;C55&amp;"] "&amp;D55)</f>
        <v/>
      </c>
    </row>
    <row r="56">
      <c r="A56" s="5" t="n">
        <v>16</v>
      </c>
      <c r="B56" s="5" t="n">
        <v>2</v>
      </c>
      <c r="C56" s="5" t="inlineStr">
        <is>
          <t>카드</t>
        </is>
      </c>
      <c r="D56" s="5" t="inlineStr">
        <is>
          <t>모개</t>
        </is>
      </c>
      <c r="E56" s="5" t="n">
        <v>1</v>
      </c>
      <c r="F56" s="5" t="inlineStr">
        <is>
          <t>C</t>
        </is>
      </c>
      <c r="G56" s="5">
        <f>IF(C56="카드",INDEX(비용표!$C$2:$C$7,MATCH(F56,비용표!$B$2:$B$7,0)),F56*INDEX(비용표!$C$8:$C$9,MATCH(C56,비용표!$B$8:$B$9,0)))</f>
        <v/>
      </c>
      <c r="H56" s="5">
        <f>G56*E56</f>
        <v/>
      </c>
      <c r="I56" s="10">
        <f>IF(A56=A55,I55&amp;" · ","")&amp;IF(C56="카드",D56&amp;E56,"["&amp;C56&amp;"] "&amp;D56)</f>
        <v/>
      </c>
    </row>
    <row r="57">
      <c r="A57" s="5" t="n">
        <v>16</v>
      </c>
      <c r="B57" s="5" t="n">
        <v>3</v>
      </c>
      <c r="C57" s="5" t="inlineStr">
        <is>
          <t>카드</t>
        </is>
      </c>
      <c r="D57" s="5" t="inlineStr">
        <is>
          <t>조조</t>
        </is>
      </c>
      <c r="E57" s="5" t="n">
        <v>1</v>
      </c>
      <c r="F57" s="5" t="inlineStr">
        <is>
          <t>S</t>
        </is>
      </c>
      <c r="G57" s="5">
        <f>IF(C57="카드",INDEX(비용표!$C$2:$C$7,MATCH(F57,비용표!$B$2:$B$7,0)),F57*INDEX(비용표!$C$8:$C$9,MATCH(C57,비용표!$B$8:$B$9,0)))</f>
        <v/>
      </c>
      <c r="H57" s="5">
        <f>G57*E57</f>
        <v/>
      </c>
      <c r="I57" s="10">
        <f>IF(A57=A56,I56&amp;" · ","")&amp;IF(C57="카드",D57&amp;E57,"["&amp;C57&amp;"] "&amp;D57)</f>
        <v/>
      </c>
    </row>
    <row r="58">
      <c r="A58" s="5" t="n">
        <v>17</v>
      </c>
      <c r="B58" s="5" t="n">
        <v>1</v>
      </c>
      <c r="C58" s="5" t="inlineStr">
        <is>
          <t>카드</t>
        </is>
      </c>
      <c r="D58" s="5" t="inlineStr">
        <is>
          <t>도겸</t>
        </is>
      </c>
      <c r="E58" s="5" t="n">
        <v>1</v>
      </c>
      <c r="F58" s="5" t="inlineStr">
        <is>
          <t>C</t>
        </is>
      </c>
      <c r="G58" s="5">
        <f>IF(C58="카드",INDEX(비용표!$C$2:$C$7,MATCH(F58,비용표!$B$2:$B$7,0)),F58*INDEX(비용표!$C$8:$C$9,MATCH(C58,비용표!$B$8:$B$9,0)))</f>
        <v/>
      </c>
      <c r="H58" s="5">
        <f>G58*E58</f>
        <v/>
      </c>
      <c r="I58" s="10">
        <f>IF(A58=A57,I57&amp;" · ","")&amp;IF(C58="카드",D58&amp;E58,"["&amp;C58&amp;"] "&amp;D58)</f>
        <v/>
      </c>
    </row>
    <row r="59">
      <c r="A59" s="5" t="n">
        <v>17</v>
      </c>
      <c r="B59" s="5" t="n">
        <v>2</v>
      </c>
      <c r="C59" s="5" t="inlineStr">
        <is>
          <t>카드</t>
        </is>
      </c>
      <c r="D59" s="5" t="inlineStr">
        <is>
          <t>미축</t>
        </is>
      </c>
      <c r="E59" s="5" t="n">
        <v>1</v>
      </c>
      <c r="F59" s="5" t="inlineStr">
        <is>
          <t>D</t>
        </is>
      </c>
      <c r="G59" s="5">
        <f>IF(C59="카드",INDEX(비용표!$C$2:$C$7,MATCH(F59,비용표!$B$2:$B$7,0)),F59*INDEX(비용표!$C$8:$C$9,MATCH(C59,비용표!$B$8:$B$9,0)))</f>
        <v/>
      </c>
      <c r="H59" s="5">
        <f>G59*E59</f>
        <v/>
      </c>
      <c r="I59" s="10">
        <f>IF(A59=A58,I58&amp;" · ","")&amp;IF(C59="카드",D59&amp;E59,"["&amp;C59&amp;"] "&amp;D59)</f>
        <v/>
      </c>
    </row>
    <row r="60">
      <c r="A60" s="5" t="n">
        <v>17</v>
      </c>
      <c r="B60" s="5" t="n">
        <v>3</v>
      </c>
      <c r="C60" s="5" t="inlineStr">
        <is>
          <t>카드</t>
        </is>
      </c>
      <c r="D60" s="5" t="inlineStr">
        <is>
          <t>손건</t>
        </is>
      </c>
      <c r="E60" s="5" t="n">
        <v>1</v>
      </c>
      <c r="F60" s="5" t="inlineStr">
        <is>
          <t>B</t>
        </is>
      </c>
      <c r="G60" s="5">
        <f>IF(C60="카드",INDEX(비용표!$C$2:$C$7,MATCH(F60,비용표!$B$2:$B$7,0)),F60*INDEX(비용표!$C$8:$C$9,MATCH(C60,비용표!$B$8:$B$9,0)))</f>
        <v/>
      </c>
      <c r="H60" s="5">
        <f>G60*E60</f>
        <v/>
      </c>
      <c r="I60" s="10">
        <f>IF(A60=A59,I59&amp;" · ","")&amp;IF(C60="카드",D60&amp;E60,"["&amp;C60&amp;"] "&amp;D60)</f>
        <v/>
      </c>
    </row>
    <row r="61">
      <c r="A61" s="5" t="n">
        <v>17</v>
      </c>
      <c r="B61" s="5" t="n">
        <v>4</v>
      </c>
      <c r="C61" s="5" t="inlineStr">
        <is>
          <t>카드</t>
        </is>
      </c>
      <c r="D61" s="5" t="inlineStr">
        <is>
          <t>유비</t>
        </is>
      </c>
      <c r="E61" s="5" t="n">
        <v>1</v>
      </c>
      <c r="F61" s="5" t="inlineStr">
        <is>
          <t>S</t>
        </is>
      </c>
      <c r="G61" s="5">
        <f>IF(C61="카드",INDEX(비용표!$C$2:$C$7,MATCH(F61,비용표!$B$2:$B$7,0)),F61*INDEX(비용표!$C$8:$C$9,MATCH(C61,비용표!$B$8:$B$9,0)))</f>
        <v/>
      </c>
      <c r="H61" s="5">
        <f>G61*E61</f>
        <v/>
      </c>
      <c r="I61" s="10">
        <f>IF(A61=A60,I60&amp;" · ","")&amp;IF(C61="카드",D61&amp;E61,"["&amp;C61&amp;"] "&amp;D61)</f>
        <v/>
      </c>
    </row>
    <row r="62">
      <c r="A62" s="5" t="n">
        <v>18</v>
      </c>
      <c r="B62" s="5" t="n">
        <v>1</v>
      </c>
      <c r="C62" s="5" t="inlineStr">
        <is>
          <t>카드</t>
        </is>
      </c>
      <c r="D62" s="5" t="inlineStr">
        <is>
          <t>조표</t>
        </is>
      </c>
      <c r="E62" s="5" t="n">
        <v>1</v>
      </c>
      <c r="F62" s="5" t="inlineStr">
        <is>
          <t>D</t>
        </is>
      </c>
      <c r="G62" s="5">
        <f>IF(C62="카드",INDEX(비용표!$C$2:$C$7,MATCH(F62,비용표!$B$2:$B$7,0)),F62*INDEX(비용표!$C$8:$C$9,MATCH(C62,비용표!$B$8:$B$9,0)))</f>
        <v/>
      </c>
      <c r="H62" s="5">
        <f>G62*E62</f>
        <v/>
      </c>
      <c r="I62" s="10">
        <f>IF(A62=A61,I61&amp;" · ","")&amp;IF(C62="카드",D62&amp;E62,"["&amp;C62&amp;"] "&amp;D62)</f>
        <v/>
      </c>
    </row>
    <row r="63">
      <c r="A63" s="5" t="n">
        <v>18</v>
      </c>
      <c r="B63" s="5" t="n">
        <v>2</v>
      </c>
      <c r="C63" s="5" t="inlineStr">
        <is>
          <t>카드</t>
        </is>
      </c>
      <c r="D63" s="5" t="inlineStr">
        <is>
          <t>장비</t>
        </is>
      </c>
      <c r="E63" s="5" t="n">
        <v>1</v>
      </c>
      <c r="F63" s="5" t="inlineStr">
        <is>
          <t>S</t>
        </is>
      </c>
      <c r="G63" s="5">
        <f>IF(C63="카드",INDEX(비용표!$C$2:$C$7,MATCH(F63,비용표!$B$2:$B$7,0)),F63*INDEX(비용표!$C$8:$C$9,MATCH(C63,비용표!$B$8:$B$9,0)))</f>
        <v/>
      </c>
      <c r="H63" s="5">
        <f>G63*E63</f>
        <v/>
      </c>
      <c r="I63" s="10">
        <f>IF(A63=A62,I62&amp;" · ","")&amp;IF(C63="카드",D63&amp;E63,"["&amp;C63&amp;"] "&amp;D63)</f>
        <v/>
      </c>
    </row>
    <row r="64">
      <c r="A64" s="5" t="n">
        <v>18</v>
      </c>
      <c r="B64" s="5" t="n">
        <v>3</v>
      </c>
      <c r="C64" s="5" t="inlineStr">
        <is>
          <t>카드</t>
        </is>
      </c>
      <c r="D64" s="5" t="inlineStr">
        <is>
          <t>여포</t>
        </is>
      </c>
      <c r="E64" s="5" t="n">
        <v>1</v>
      </c>
      <c r="F64" s="5" t="inlineStr">
        <is>
          <t>S</t>
        </is>
      </c>
      <c r="G64" s="5">
        <f>IF(C64="카드",INDEX(비용표!$C$2:$C$7,MATCH(F64,비용표!$B$2:$B$7,0)),F64*INDEX(비용표!$C$8:$C$9,MATCH(C64,비용표!$B$8:$B$9,0)))</f>
        <v/>
      </c>
      <c r="H64" s="5">
        <f>G64*E64</f>
        <v/>
      </c>
      <c r="I64" s="10">
        <f>IF(A64=A63,I63&amp;" · ","")&amp;IF(C64="카드",D64&amp;E64,"["&amp;C64&amp;"] "&amp;D64)</f>
        <v/>
      </c>
    </row>
    <row r="65">
      <c r="A65" s="5" t="n">
        <v>19</v>
      </c>
      <c r="B65" s="5" t="n">
        <v>1</v>
      </c>
      <c r="C65" s="5" t="inlineStr">
        <is>
          <t>카드</t>
        </is>
      </c>
      <c r="D65" s="5" t="inlineStr">
        <is>
          <t>여포</t>
        </is>
      </c>
      <c r="E65" s="5" t="n">
        <v>1</v>
      </c>
      <c r="F65" s="5" t="inlineStr">
        <is>
          <t>S</t>
        </is>
      </c>
      <c r="G65" s="5">
        <f>IF(C65="카드",INDEX(비용표!$C$2:$C$7,MATCH(F65,비용표!$B$2:$B$7,0)),F65*INDEX(비용표!$C$8:$C$9,MATCH(C65,비용표!$B$8:$B$9,0)))</f>
        <v/>
      </c>
      <c r="H65" s="5">
        <f>G65*E65</f>
        <v/>
      </c>
      <c r="I65" s="10">
        <f>IF(A65=A64,I64&amp;" · ","")&amp;IF(C65="카드",D65&amp;E65,"["&amp;C65&amp;"] "&amp;D65)</f>
        <v/>
      </c>
    </row>
    <row r="66">
      <c r="A66" s="5" t="n">
        <v>19</v>
      </c>
      <c r="B66" s="5" t="n">
        <v>2</v>
      </c>
      <c r="C66" s="5" t="inlineStr">
        <is>
          <t>카드</t>
        </is>
      </c>
      <c r="D66" s="5" t="inlineStr">
        <is>
          <t>유비</t>
        </is>
      </c>
      <c r="E66" s="5" t="n">
        <v>1</v>
      </c>
      <c r="F66" s="5" t="inlineStr">
        <is>
          <t>S</t>
        </is>
      </c>
      <c r="G66" s="5">
        <f>IF(C66="카드",INDEX(비용표!$C$2:$C$7,MATCH(F66,비용표!$B$2:$B$7,0)),F66*INDEX(비용표!$C$8:$C$9,MATCH(C66,비용표!$B$8:$B$9,0)))</f>
        <v/>
      </c>
      <c r="H66" s="5">
        <f>G66*E66</f>
        <v/>
      </c>
      <c r="I66" s="10">
        <f>IF(A66=A65,I65&amp;" · ","")&amp;IF(C66="카드",D66&amp;E66,"["&amp;C66&amp;"] "&amp;D66)</f>
        <v/>
      </c>
    </row>
    <row r="67">
      <c r="A67" s="5" t="n">
        <v>19</v>
      </c>
      <c r="B67" s="5" t="n">
        <v>3</v>
      </c>
      <c r="C67" s="5" t="inlineStr">
        <is>
          <t>카드</t>
        </is>
      </c>
      <c r="D67" s="5" t="inlineStr">
        <is>
          <t>기령</t>
        </is>
      </c>
      <c r="E67" s="5" t="n">
        <v>1</v>
      </c>
      <c r="F67" s="5" t="inlineStr">
        <is>
          <t>C</t>
        </is>
      </c>
      <c r="G67" s="5">
        <f>IF(C67="카드",INDEX(비용표!$C$2:$C$7,MATCH(F67,비용표!$B$2:$B$7,0)),F67*INDEX(비용표!$C$8:$C$9,MATCH(C67,비용표!$B$8:$B$9,0)))</f>
        <v/>
      </c>
      <c r="H67" s="5">
        <f>G67*E67</f>
        <v/>
      </c>
      <c r="I67" s="10">
        <f>IF(A67=A66,I66&amp;" · ","")&amp;IF(C67="카드",D67&amp;E67,"["&amp;C67&amp;"] "&amp;D67)</f>
        <v/>
      </c>
    </row>
    <row r="68">
      <c r="A68" s="5" t="n">
        <v>19</v>
      </c>
      <c r="B68" s="5" t="n">
        <v>4</v>
      </c>
      <c r="C68" s="5" t="inlineStr">
        <is>
          <t>카드</t>
        </is>
      </c>
      <c r="D68" s="5" t="inlineStr">
        <is>
          <t>원술</t>
        </is>
      </c>
      <c r="E68" s="5" t="n">
        <v>1</v>
      </c>
      <c r="F68" s="5" t="inlineStr">
        <is>
          <t>B</t>
        </is>
      </c>
      <c r="G68" s="5">
        <f>IF(C68="카드",INDEX(비용표!$C$2:$C$7,MATCH(F68,비용표!$B$2:$B$7,0)),F68*INDEX(비용표!$C$8:$C$9,MATCH(C68,비용표!$B$8:$B$9,0)))</f>
        <v/>
      </c>
      <c r="H68" s="5">
        <f>G68*E68</f>
        <v/>
      </c>
      <c r="I68" s="10">
        <f>IF(A68=A67,I67&amp;" · ","")&amp;IF(C68="카드",D68&amp;E68,"["&amp;C68&amp;"] "&amp;D68)</f>
        <v/>
      </c>
    </row>
    <row r="69">
      <c r="A69" s="5" t="n">
        <v>20</v>
      </c>
      <c r="B69" s="5" t="n">
        <v>1</v>
      </c>
      <c r="C69" s="5" t="inlineStr">
        <is>
          <t>카드</t>
        </is>
      </c>
      <c r="D69" s="5" t="inlineStr">
        <is>
          <t>공융</t>
        </is>
      </c>
      <c r="E69" s="5" t="n">
        <v>1</v>
      </c>
      <c r="F69" s="5" t="inlineStr">
        <is>
          <t>B</t>
        </is>
      </c>
      <c r="G69" s="5">
        <f>IF(C69="카드",INDEX(비용표!$C$2:$C$7,MATCH(F69,비용표!$B$2:$B$7,0)),F69*INDEX(비용표!$C$8:$C$9,MATCH(C69,비용표!$B$8:$B$9,0)))</f>
        <v/>
      </c>
      <c r="H69" s="5">
        <f>G69*E69</f>
        <v/>
      </c>
      <c r="I69" s="10">
        <f>IF(A69=A68,I68&amp;" · ","")&amp;IF(C69="카드",D69&amp;E69,"["&amp;C69&amp;"] "&amp;D69)</f>
        <v/>
      </c>
    </row>
    <row r="70">
      <c r="A70" s="5" t="n">
        <v>20</v>
      </c>
      <c r="B70" s="5" t="n">
        <v>2</v>
      </c>
      <c r="C70" s="5" t="inlineStr">
        <is>
          <t>카드</t>
        </is>
      </c>
      <c r="D70" s="5" t="inlineStr">
        <is>
          <t>태사자</t>
        </is>
      </c>
      <c r="E70" s="5" t="n">
        <v>1</v>
      </c>
      <c r="F70" s="5" t="inlineStr">
        <is>
          <t>S</t>
        </is>
      </c>
      <c r="G70" s="5">
        <f>IF(C70="카드",INDEX(비용표!$C$2:$C$7,MATCH(F70,비용표!$B$2:$B$7,0)),F70*INDEX(비용표!$C$8:$C$9,MATCH(C70,비용표!$B$8:$B$9,0)))</f>
        <v/>
      </c>
      <c r="H70" s="5">
        <f>G70*E70</f>
        <v/>
      </c>
      <c r="I70" s="10">
        <f>IF(A70=A69,I69&amp;" · ","")&amp;IF(C70="카드",D70&amp;E70,"["&amp;C70&amp;"] "&amp;D70)</f>
        <v/>
      </c>
    </row>
    <row r="71">
      <c r="A71" s="5" t="n">
        <v>21</v>
      </c>
      <c r="B71" s="5" t="n">
        <v>1</v>
      </c>
      <c r="C71" s="5" t="inlineStr">
        <is>
          <t>카드</t>
        </is>
      </c>
      <c r="D71" s="5" t="inlineStr">
        <is>
          <t>여포</t>
        </is>
      </c>
      <c r="E71" s="5" t="n">
        <v>1</v>
      </c>
      <c r="F71" s="5" t="inlineStr">
        <is>
          <t>S</t>
        </is>
      </c>
      <c r="G71" s="5">
        <f>IF(C71="카드",INDEX(비용표!$C$2:$C$7,MATCH(F71,비용표!$B$2:$B$7,0)),F71*INDEX(비용표!$C$8:$C$9,MATCH(C71,비용표!$B$8:$B$9,0)))</f>
        <v/>
      </c>
      <c r="H71" s="5">
        <f>G71*E71</f>
        <v/>
      </c>
      <c r="I71" s="10">
        <f>IF(A71=A70,I70&amp;" · ","")&amp;IF(C71="카드",D71&amp;E71,"["&amp;C71&amp;"] "&amp;D71)</f>
        <v/>
      </c>
    </row>
    <row r="72">
      <c r="A72" s="5" t="n">
        <v>21</v>
      </c>
      <c r="B72" s="5" t="n">
        <v>2</v>
      </c>
      <c r="C72" s="5" t="inlineStr">
        <is>
          <t>병기</t>
        </is>
      </c>
      <c r="D72" s="5" t="inlineStr">
        <is>
          <t>방천화극</t>
        </is>
      </c>
      <c r="E72" s="5" t="n">
        <v>1</v>
      </c>
      <c r="F72" s="5" t="n">
        <v>5</v>
      </c>
      <c r="G72" s="5">
        <f>IF(C72="카드",INDEX(비용표!$C$2:$C$7,MATCH(F72,비용표!$B$2:$B$7,0)),F72*INDEX(비용표!$C$8:$C$9,MATCH(C72,비용표!$B$8:$B$9,0)))</f>
        <v/>
      </c>
      <c r="H72" s="5">
        <f>G72*E72</f>
        <v/>
      </c>
      <c r="I72" s="10">
        <f>IF(A72=A71,I71&amp;" · ","")&amp;IF(C72="카드",D72&amp;E72,"["&amp;C72&amp;"] "&amp;D72)</f>
        <v/>
      </c>
    </row>
    <row r="73">
      <c r="A73" s="5" t="n">
        <v>21</v>
      </c>
      <c r="B73" s="5" t="n">
        <v>3</v>
      </c>
      <c r="C73" s="5" t="inlineStr">
        <is>
          <t>아이템</t>
        </is>
      </c>
      <c r="D73" s="5" t="inlineStr">
        <is>
          <t>적토마</t>
        </is>
      </c>
      <c r="E73" s="5" t="n">
        <v>1</v>
      </c>
      <c r="F73" s="5" t="n">
        <v>5</v>
      </c>
      <c r="G73" s="5">
        <f>IF(C73="카드",INDEX(비용표!$C$2:$C$7,MATCH(F73,비용표!$B$2:$B$7,0)),F73*INDEX(비용표!$C$8:$C$9,MATCH(C73,비용표!$B$8:$B$9,0)))</f>
        <v/>
      </c>
      <c r="H73" s="5">
        <f>G73*E73</f>
        <v/>
      </c>
      <c r="I73" s="10">
        <f>IF(A73=A72,I72&amp;" · ","")&amp;IF(C73="카드",D73&amp;E73,"["&amp;C73&amp;"] "&amp;D73)</f>
        <v/>
      </c>
    </row>
    <row r="74">
      <c r="A74" s="5" t="n">
        <v>21</v>
      </c>
      <c r="B74" s="5" t="n">
        <v>4</v>
      </c>
      <c r="C74" s="5" t="inlineStr">
        <is>
          <t>카드</t>
        </is>
      </c>
      <c r="D74" s="5" t="inlineStr">
        <is>
          <t>진궁</t>
        </is>
      </c>
      <c r="E74" s="5" t="n">
        <v>1</v>
      </c>
      <c r="F74" s="5" t="inlineStr">
        <is>
          <t>B</t>
        </is>
      </c>
      <c r="G74" s="5">
        <f>IF(C74="카드",INDEX(비용표!$C$2:$C$7,MATCH(F74,비용표!$B$2:$B$7,0)),F74*INDEX(비용표!$C$8:$C$9,MATCH(C74,비용표!$B$8:$B$9,0)))</f>
        <v/>
      </c>
      <c r="H74" s="5">
        <f>G74*E74</f>
        <v/>
      </c>
      <c r="I74" s="10">
        <f>IF(A74=A73,I73&amp;" · ","")&amp;IF(C74="카드",D74&amp;E74,"["&amp;C74&amp;"] "&amp;D74)</f>
        <v/>
      </c>
    </row>
    <row r="75">
      <c r="A75" s="5" t="n">
        <v>21</v>
      </c>
      <c r="B75" s="5" t="n">
        <v>5</v>
      </c>
      <c r="C75" s="5" t="inlineStr">
        <is>
          <t>카드</t>
        </is>
      </c>
      <c r="D75" s="5" t="inlineStr">
        <is>
          <t>고순</t>
        </is>
      </c>
      <c r="E75" s="5" t="n">
        <v>1</v>
      </c>
      <c r="F75" s="5" t="inlineStr">
        <is>
          <t>C</t>
        </is>
      </c>
      <c r="G75" s="5">
        <f>IF(C75="카드",INDEX(비용표!$C$2:$C$7,MATCH(F75,비용표!$B$2:$B$7,0)),F75*INDEX(비용표!$C$8:$C$9,MATCH(C75,비용표!$B$8:$B$9,0)))</f>
        <v/>
      </c>
      <c r="H75" s="5">
        <f>G75*E75</f>
        <v/>
      </c>
      <c r="I75" s="10">
        <f>IF(A75=A74,I74&amp;" · ","")&amp;IF(C75="카드",D75&amp;E75,"["&amp;C75&amp;"] "&amp;D75)</f>
        <v/>
      </c>
    </row>
    <row r="76">
      <c r="A76" s="5" t="n">
        <v>22</v>
      </c>
      <c r="B76" s="5" t="n">
        <v>1</v>
      </c>
      <c r="C76" s="5" t="inlineStr">
        <is>
          <t>카드</t>
        </is>
      </c>
      <c r="D76" s="5" t="inlineStr">
        <is>
          <t>고순</t>
        </is>
      </c>
      <c r="E76" s="5" t="n">
        <v>1</v>
      </c>
      <c r="F76" s="5" t="inlineStr">
        <is>
          <t>C</t>
        </is>
      </c>
      <c r="G76" s="5">
        <f>IF(C76="카드",INDEX(비용표!$C$2:$C$7,MATCH(F76,비용표!$B$2:$B$7,0)),F76*INDEX(비용표!$C$8:$C$9,MATCH(C76,비용표!$B$8:$B$9,0)))</f>
        <v/>
      </c>
      <c r="H76" s="5">
        <f>G76*E76</f>
        <v/>
      </c>
      <c r="I76" s="10">
        <f>IF(A76=A75,I75&amp;" · ","")&amp;IF(C76="카드",D76&amp;E76,"["&amp;C76&amp;"] "&amp;D76)</f>
        <v/>
      </c>
    </row>
    <row r="77">
      <c r="A77" s="5" t="n">
        <v>22</v>
      </c>
      <c r="B77" s="5" t="n">
        <v>2</v>
      </c>
      <c r="C77" s="5" t="inlineStr">
        <is>
          <t>카드</t>
        </is>
      </c>
      <c r="D77" s="5" t="inlineStr">
        <is>
          <t>여포</t>
        </is>
      </c>
      <c r="E77" s="5" t="n">
        <v>1</v>
      </c>
      <c r="F77" s="5" t="inlineStr">
        <is>
          <t>S</t>
        </is>
      </c>
      <c r="G77" s="5">
        <f>IF(C77="카드",INDEX(비용표!$C$2:$C$7,MATCH(F77,비용표!$B$2:$B$7,0)),F77*INDEX(비용표!$C$8:$C$9,MATCH(C77,비용표!$B$8:$B$9,0)))</f>
        <v/>
      </c>
      <c r="H77" s="5">
        <f>G77*E77</f>
        <v/>
      </c>
      <c r="I77" s="10">
        <f>IF(A77=A76,I76&amp;" · ","")&amp;IF(C77="카드",D77&amp;E77,"["&amp;C77&amp;"] "&amp;D77)</f>
        <v/>
      </c>
    </row>
    <row r="78">
      <c r="A78" s="5" t="n">
        <v>23</v>
      </c>
      <c r="B78" s="5" t="n">
        <v>1</v>
      </c>
      <c r="C78" s="5" t="inlineStr">
        <is>
          <t>카드</t>
        </is>
      </c>
      <c r="D78" s="5" t="inlineStr">
        <is>
          <t>여포</t>
        </is>
      </c>
      <c r="E78" s="5" t="n">
        <v>1</v>
      </c>
      <c r="F78" s="5" t="inlineStr">
        <is>
          <t>S</t>
        </is>
      </c>
      <c r="G78" s="5">
        <f>IF(C78="카드",INDEX(비용표!$C$2:$C$7,MATCH(F78,비용표!$B$2:$B$7,0)),F78*INDEX(비용표!$C$8:$C$9,MATCH(C78,비용표!$B$8:$B$9,0)))</f>
        <v/>
      </c>
      <c r="H78" s="5">
        <f>G78*E78</f>
        <v/>
      </c>
      <c r="I78" s="10">
        <f>IF(A78=A77,I77&amp;" · ","")&amp;IF(C78="카드",D78&amp;E78,"["&amp;C78&amp;"] "&amp;D78)</f>
        <v/>
      </c>
    </row>
    <row r="79">
      <c r="A79" s="5" t="n">
        <v>23</v>
      </c>
      <c r="B79" s="5" t="n">
        <v>2</v>
      </c>
      <c r="C79" s="5" t="inlineStr">
        <is>
          <t>카드</t>
        </is>
      </c>
      <c r="D79" s="5" t="inlineStr">
        <is>
          <t>진궁</t>
        </is>
      </c>
      <c r="E79" s="5" t="n">
        <v>1</v>
      </c>
      <c r="F79" s="5" t="inlineStr">
        <is>
          <t>B</t>
        </is>
      </c>
      <c r="G79" s="5">
        <f>IF(C79="카드",INDEX(비용표!$C$2:$C$7,MATCH(F79,비용표!$B$2:$B$7,0)),F79*INDEX(비용표!$C$8:$C$9,MATCH(C79,비용표!$B$8:$B$9,0)))</f>
        <v/>
      </c>
      <c r="H79" s="5">
        <f>G79*E79</f>
        <v/>
      </c>
      <c r="I79" s="10">
        <f>IF(A79=A78,I78&amp;" · ","")&amp;IF(C79="카드",D79&amp;E79,"["&amp;C79&amp;"] "&amp;D79)</f>
        <v/>
      </c>
    </row>
    <row r="80">
      <c r="A80" s="5" t="n">
        <v>23</v>
      </c>
      <c r="B80" s="5" t="n">
        <v>3</v>
      </c>
      <c r="C80" s="5" t="inlineStr">
        <is>
          <t>카드</t>
        </is>
      </c>
      <c r="D80" s="5" t="inlineStr">
        <is>
          <t>고순</t>
        </is>
      </c>
      <c r="E80" s="5" t="n">
        <v>1</v>
      </c>
      <c r="F80" s="5" t="inlineStr">
        <is>
          <t>C</t>
        </is>
      </c>
      <c r="G80" s="5">
        <f>IF(C80="카드",INDEX(비용표!$C$2:$C$7,MATCH(F80,비용표!$B$2:$B$7,0)),F80*INDEX(비용표!$C$8:$C$9,MATCH(C80,비용표!$B$8:$B$9,0)))</f>
        <v/>
      </c>
      <c r="H80" s="5">
        <f>G80*E80</f>
        <v/>
      </c>
      <c r="I80" s="10">
        <f>IF(A80=A79,I79&amp;" · ","")&amp;IF(C80="카드",D80&amp;E80,"["&amp;C80&amp;"] "&amp;D80)</f>
        <v/>
      </c>
    </row>
    <row r="81">
      <c r="A81" s="5" t="n">
        <v>23</v>
      </c>
      <c r="B81" s="5" t="n">
        <v>4</v>
      </c>
      <c r="C81" s="5" t="inlineStr">
        <is>
          <t>카드</t>
        </is>
      </c>
      <c r="D81" s="5" t="inlineStr">
        <is>
          <t>장료</t>
        </is>
      </c>
      <c r="E81" s="5" t="n">
        <v>1</v>
      </c>
      <c r="F81" s="5" t="inlineStr">
        <is>
          <t>S</t>
        </is>
      </c>
      <c r="G81" s="5">
        <f>IF(C81="카드",INDEX(비용표!$C$2:$C$7,MATCH(F81,비용표!$B$2:$B$7,0)),F81*INDEX(비용표!$C$8:$C$9,MATCH(C81,비용표!$B$8:$B$9,0)))</f>
        <v/>
      </c>
      <c r="H81" s="5">
        <f>G81*E81</f>
        <v/>
      </c>
      <c r="I81" s="10">
        <f>IF(A81=A80,I80&amp;" · ","")&amp;IF(C81="카드",D81&amp;E81,"["&amp;C81&amp;"] "&amp;D81)</f>
        <v/>
      </c>
    </row>
    <row r="82">
      <c r="A82" s="5" t="n">
        <v>23</v>
      </c>
      <c r="B82" s="5" t="n">
        <v>5</v>
      </c>
      <c r="C82" s="5" t="inlineStr">
        <is>
          <t>카드</t>
        </is>
      </c>
      <c r="D82" s="5" t="inlineStr">
        <is>
          <t>후성</t>
        </is>
      </c>
      <c r="E82" s="5" t="n">
        <v>1</v>
      </c>
      <c r="F82" s="5" t="inlineStr">
        <is>
          <t>C</t>
        </is>
      </c>
      <c r="G82" s="5">
        <f>IF(C82="카드",INDEX(비용표!$C$2:$C$7,MATCH(F82,비용표!$B$2:$B$7,0)),F82*INDEX(비용표!$C$8:$C$9,MATCH(C82,비용표!$B$8:$B$9,0)))</f>
        <v/>
      </c>
      <c r="H82" s="5">
        <f>G82*E82</f>
        <v/>
      </c>
      <c r="I82" s="10">
        <f>IF(A82=A81,I81&amp;" · ","")&amp;IF(C82="카드",D82&amp;E82,"["&amp;C82&amp;"] "&amp;D82)</f>
        <v/>
      </c>
    </row>
    <row r="83">
      <c r="A83" s="5" t="n">
        <v>24</v>
      </c>
      <c r="B83" s="5" t="n">
        <v>1</v>
      </c>
      <c r="C83" s="5" t="inlineStr">
        <is>
          <t>카드</t>
        </is>
      </c>
      <c r="D83" s="5" t="inlineStr">
        <is>
          <t>진등</t>
        </is>
      </c>
      <c r="E83" s="5" t="n">
        <v>1</v>
      </c>
      <c r="F83" s="5" t="inlineStr">
        <is>
          <t>C</t>
        </is>
      </c>
      <c r="G83" s="5">
        <f>IF(C83="카드",INDEX(비용표!$C$2:$C$7,MATCH(F83,비용표!$B$2:$B$7,0)),F83*INDEX(비용표!$C$8:$C$9,MATCH(C83,비용표!$B$8:$B$9,0)))</f>
        <v/>
      </c>
      <c r="H83" s="5">
        <f>G83*E83</f>
        <v/>
      </c>
      <c r="I83" s="10">
        <f>IF(A83=A82,I82&amp;" · ","")&amp;IF(C83="카드",D83&amp;E83,"["&amp;C83&amp;"] "&amp;D83)</f>
        <v/>
      </c>
    </row>
    <row r="84">
      <c r="A84" s="5" t="n">
        <v>24</v>
      </c>
      <c r="B84" s="5" t="n">
        <v>2</v>
      </c>
      <c r="C84" s="5" t="inlineStr">
        <is>
          <t>카드</t>
        </is>
      </c>
      <c r="D84" s="5" t="inlineStr">
        <is>
          <t>여포</t>
        </is>
      </c>
      <c r="E84" s="5" t="n">
        <v>1</v>
      </c>
      <c r="F84" s="5" t="inlineStr">
        <is>
          <t>S</t>
        </is>
      </c>
      <c r="G84" s="5">
        <f>IF(C84="카드",INDEX(비용표!$C$2:$C$7,MATCH(F84,비용표!$B$2:$B$7,0)),F84*INDEX(비용표!$C$8:$C$9,MATCH(C84,비용표!$B$8:$B$9,0)))</f>
        <v/>
      </c>
      <c r="H84" s="5">
        <f>G84*E84</f>
        <v/>
      </c>
      <c r="I84" s="10">
        <f>IF(A84=A83,I83&amp;" · ","")&amp;IF(C84="카드",D84&amp;E84,"["&amp;C84&amp;"] "&amp;D84)</f>
        <v/>
      </c>
    </row>
    <row r="85">
      <c r="A85" s="5" t="n">
        <v>24</v>
      </c>
      <c r="B85" s="5" t="n">
        <v>3</v>
      </c>
      <c r="C85" s="5" t="inlineStr">
        <is>
          <t>카드</t>
        </is>
      </c>
      <c r="D85" s="5" t="inlineStr">
        <is>
          <t>유비</t>
        </is>
      </c>
      <c r="E85" s="5" t="n">
        <v>1</v>
      </c>
      <c r="F85" s="5" t="inlineStr">
        <is>
          <t>S</t>
        </is>
      </c>
      <c r="G85" s="5">
        <f>IF(C85="카드",INDEX(비용표!$C$2:$C$7,MATCH(F85,비용표!$B$2:$B$7,0)),F85*INDEX(비용표!$C$8:$C$9,MATCH(C85,비용표!$B$8:$B$9,0)))</f>
        <v/>
      </c>
      <c r="H85" s="5">
        <f>G85*E85</f>
        <v/>
      </c>
      <c r="I85" s="10">
        <f>IF(A85=A84,I84&amp;" · ","")&amp;IF(C85="카드",D85&amp;E85,"["&amp;C85&amp;"] "&amp;D85)</f>
        <v/>
      </c>
    </row>
    <row r="86">
      <c r="A86" s="5" t="n">
        <v>25</v>
      </c>
      <c r="B86" s="5" t="n">
        <v>1</v>
      </c>
      <c r="C86" s="5" t="inlineStr">
        <is>
          <t>카드</t>
        </is>
      </c>
      <c r="D86" s="5" t="inlineStr">
        <is>
          <t>원술</t>
        </is>
      </c>
      <c r="E86" s="5" t="n">
        <v>1</v>
      </c>
      <c r="F86" s="5" t="inlineStr">
        <is>
          <t>B</t>
        </is>
      </c>
      <c r="G86" s="5">
        <f>IF(C86="카드",INDEX(비용표!$C$2:$C$7,MATCH(F86,비용표!$B$2:$B$7,0)),F86*INDEX(비용표!$C$8:$C$9,MATCH(C86,비용표!$B$8:$B$9,0)))</f>
        <v/>
      </c>
      <c r="H86" s="5">
        <f>G86*E86</f>
        <v/>
      </c>
      <c r="I86" s="10">
        <f>IF(A86=A85,I85&amp;" · ","")&amp;IF(C86="카드",D86&amp;E86,"["&amp;C86&amp;"] "&amp;D86)</f>
        <v/>
      </c>
    </row>
    <row r="87">
      <c r="A87" s="5" t="n">
        <v>25</v>
      </c>
      <c r="B87" s="5" t="n">
        <v>2</v>
      </c>
      <c r="C87" s="5" t="inlineStr">
        <is>
          <t>카드</t>
        </is>
      </c>
      <c r="D87" s="5" t="inlineStr">
        <is>
          <t>기령</t>
        </is>
      </c>
      <c r="E87" s="5" t="n">
        <v>1</v>
      </c>
      <c r="F87" s="5" t="inlineStr">
        <is>
          <t>C</t>
        </is>
      </c>
      <c r="G87" s="5">
        <f>IF(C87="카드",INDEX(비용표!$C$2:$C$7,MATCH(F87,비용표!$B$2:$B$7,0)),F87*INDEX(비용표!$C$8:$C$9,MATCH(C87,비용표!$B$8:$B$9,0)))</f>
        <v/>
      </c>
      <c r="H87" s="5">
        <f>G87*E87</f>
        <v/>
      </c>
      <c r="I87" s="10">
        <f>IF(A87=A86,I86&amp;" · ","")&amp;IF(C87="카드",D87&amp;E87,"["&amp;C87&amp;"] "&amp;D87)</f>
        <v/>
      </c>
    </row>
    <row r="88">
      <c r="A88" s="5" t="n">
        <v>25</v>
      </c>
      <c r="B88" s="5" t="n">
        <v>3</v>
      </c>
      <c r="C88" s="5" t="inlineStr">
        <is>
          <t>카드</t>
        </is>
      </c>
      <c r="D88" s="5" t="inlineStr">
        <is>
          <t>원윤</t>
        </is>
      </c>
      <c r="E88" s="5" t="n">
        <v>1</v>
      </c>
      <c r="F88" s="5" t="inlineStr">
        <is>
          <t>D</t>
        </is>
      </c>
      <c r="G88" s="5">
        <f>IF(C88="카드",INDEX(비용표!$C$2:$C$7,MATCH(F88,비용표!$B$2:$B$7,0)),F88*INDEX(비용표!$C$8:$C$9,MATCH(C88,비용표!$B$8:$B$9,0)))</f>
        <v/>
      </c>
      <c r="H88" s="5">
        <f>G88*E88</f>
        <v/>
      </c>
      <c r="I88" s="10">
        <f>IF(A88=A87,I87&amp;" · ","")&amp;IF(C88="카드",D88&amp;E88,"["&amp;C88&amp;"] "&amp;D88)</f>
        <v/>
      </c>
    </row>
    <row r="89">
      <c r="A89" s="5" t="n">
        <v>25</v>
      </c>
      <c r="B89" s="5" t="n">
        <v>4</v>
      </c>
      <c r="C89" s="5" t="inlineStr">
        <is>
          <t>카드</t>
        </is>
      </c>
      <c r="D89" s="5" t="inlineStr">
        <is>
          <t>이풍</t>
        </is>
      </c>
      <c r="E89" s="5" t="n">
        <v>1</v>
      </c>
      <c r="F89" s="5" t="inlineStr">
        <is>
          <t>C</t>
        </is>
      </c>
      <c r="G89" s="5">
        <f>IF(C89="카드",INDEX(비용표!$C$2:$C$7,MATCH(F89,비용표!$B$2:$B$7,0)),F89*INDEX(비용표!$C$8:$C$9,MATCH(C89,비용표!$B$8:$B$9,0)))</f>
        <v/>
      </c>
      <c r="H89" s="5">
        <f>G89*E89</f>
        <v/>
      </c>
      <c r="I89" s="10">
        <f>IF(A89=A88,I88&amp;" · ","")&amp;IF(C89="카드",D89&amp;E89,"["&amp;C89&amp;"] "&amp;D89)</f>
        <v/>
      </c>
    </row>
    <row r="90">
      <c r="A90" s="5" t="n">
        <v>25</v>
      </c>
      <c r="B90" s="5" t="n">
        <v>5</v>
      </c>
      <c r="C90" s="5" t="inlineStr">
        <is>
          <t>카드</t>
        </is>
      </c>
      <c r="D90" s="5" t="inlineStr">
        <is>
          <t>진기</t>
        </is>
      </c>
      <c r="E90" s="5" t="n">
        <v>1</v>
      </c>
      <c r="F90" s="5" t="inlineStr">
        <is>
          <t>C</t>
        </is>
      </c>
      <c r="G90" s="5">
        <f>IF(C90="카드",INDEX(비용표!$C$2:$C$7,MATCH(F90,비용표!$B$2:$B$7,0)),F90*INDEX(비용표!$C$8:$C$9,MATCH(C90,비용표!$B$8:$B$9,0)))</f>
        <v/>
      </c>
      <c r="H90" s="5">
        <f>G90*E90</f>
        <v/>
      </c>
      <c r="I90" s="10">
        <f>IF(A90=A89,I89&amp;" · ","")&amp;IF(C90="카드",D90&amp;E90,"["&amp;C90&amp;"] "&amp;D90)</f>
        <v/>
      </c>
    </row>
    <row r="91">
      <c r="A91" s="5" t="n">
        <v>26</v>
      </c>
      <c r="B91" s="5" t="n">
        <v>1</v>
      </c>
      <c r="C91" s="5" t="inlineStr">
        <is>
          <t>카드</t>
        </is>
      </c>
      <c r="D91" s="5" t="inlineStr">
        <is>
          <t>원소</t>
        </is>
      </c>
      <c r="E91" s="5" t="n">
        <v>1</v>
      </c>
      <c r="F91" s="5" t="inlineStr">
        <is>
          <t>C</t>
        </is>
      </c>
      <c r="G91" s="5">
        <f>IF(C91="카드",INDEX(비용표!$C$2:$C$7,MATCH(F91,비용표!$B$2:$B$7,0)),F91*INDEX(비용표!$C$8:$C$9,MATCH(C91,비용표!$B$8:$B$9,0)))</f>
        <v/>
      </c>
      <c r="H91" s="5">
        <f>G91*E91</f>
        <v/>
      </c>
      <c r="I91" s="10">
        <f>IF(A91=A90,I90&amp;" · ","")&amp;IF(C91="카드",D91&amp;E91,"["&amp;C91&amp;"] "&amp;D91)</f>
        <v/>
      </c>
    </row>
    <row r="92">
      <c r="A92" s="5" t="n">
        <v>26</v>
      </c>
      <c r="B92" s="5" t="n">
        <v>2</v>
      </c>
      <c r="C92" s="5" t="inlineStr">
        <is>
          <t>카드</t>
        </is>
      </c>
      <c r="D92" s="5" t="inlineStr">
        <is>
          <t>공손찬</t>
        </is>
      </c>
      <c r="E92" s="5" t="n">
        <v>1</v>
      </c>
      <c r="F92" s="5" t="inlineStr">
        <is>
          <t>C</t>
        </is>
      </c>
      <c r="G92" s="5">
        <f>IF(C92="카드",INDEX(비용표!$C$2:$C$7,MATCH(F92,비용표!$B$2:$B$7,0)),F92*INDEX(비용표!$C$8:$C$9,MATCH(C92,비용표!$B$8:$B$9,0)))</f>
        <v/>
      </c>
      <c r="H92" s="5">
        <f>G92*E92</f>
        <v/>
      </c>
      <c r="I92" s="10">
        <f>IF(A92=A91,I91&amp;" · ","")&amp;IF(C92="카드",D92&amp;E92,"["&amp;C92&amp;"] "&amp;D92)</f>
        <v/>
      </c>
    </row>
    <row r="93">
      <c r="A93" s="5" t="n">
        <v>26</v>
      </c>
      <c r="B93" s="5" t="n">
        <v>3</v>
      </c>
      <c r="C93" s="5" t="inlineStr">
        <is>
          <t>카드</t>
        </is>
      </c>
      <c r="D93" s="5" t="inlineStr">
        <is>
          <t>국의</t>
        </is>
      </c>
      <c r="E93" s="5" t="n">
        <v>1</v>
      </c>
      <c r="F93" s="5" t="inlineStr">
        <is>
          <t>C</t>
        </is>
      </c>
      <c r="G93" s="5">
        <f>IF(C93="카드",INDEX(비용표!$C$2:$C$7,MATCH(F93,비용표!$B$2:$B$7,0)),F93*INDEX(비용표!$C$8:$C$9,MATCH(C93,비용표!$B$8:$B$9,0)))</f>
        <v/>
      </c>
      <c r="H93" s="5">
        <f>G93*E93</f>
        <v/>
      </c>
      <c r="I93" s="10">
        <f>IF(A93=A92,I92&amp;" · ","")&amp;IF(C93="카드",D93&amp;E93,"["&amp;C93&amp;"] "&amp;D93)</f>
        <v/>
      </c>
    </row>
    <row r="94">
      <c r="A94" s="5" t="n">
        <v>27</v>
      </c>
      <c r="B94" s="5" t="n">
        <v>1</v>
      </c>
      <c r="C94" s="5" t="inlineStr">
        <is>
          <t>카드</t>
        </is>
      </c>
      <c r="D94" s="5" t="inlineStr">
        <is>
          <t>태사자</t>
        </is>
      </c>
      <c r="E94" s="5" t="n">
        <v>1</v>
      </c>
      <c r="F94" s="5" t="inlineStr">
        <is>
          <t>S</t>
        </is>
      </c>
      <c r="G94" s="5">
        <f>IF(C94="카드",INDEX(비용표!$C$2:$C$7,MATCH(F94,비용표!$B$2:$B$7,0)),F94*INDEX(비용표!$C$8:$C$9,MATCH(C94,비용표!$B$8:$B$9,0)))</f>
        <v/>
      </c>
      <c r="H94" s="5">
        <f>G94*E94</f>
        <v/>
      </c>
      <c r="I94" s="10">
        <f>IF(A94=A93,I93&amp;" · ","")&amp;IF(C94="카드",D94&amp;E94,"["&amp;C94&amp;"] "&amp;D94)</f>
        <v/>
      </c>
    </row>
    <row r="95">
      <c r="A95" s="5" t="n">
        <v>27</v>
      </c>
      <c r="B95" s="5" t="n">
        <v>2</v>
      </c>
      <c r="C95" s="5" t="inlineStr">
        <is>
          <t>병기</t>
        </is>
      </c>
      <c r="D95" s="5" t="inlineStr">
        <is>
          <t>수극</t>
        </is>
      </c>
      <c r="E95" s="5" t="n">
        <v>1</v>
      </c>
      <c r="F95" s="5" t="n">
        <v>1</v>
      </c>
      <c r="G95" s="5">
        <f>IF(C95="카드",INDEX(비용표!$C$2:$C$7,MATCH(F95,비용표!$B$2:$B$7,0)),F95*INDEX(비용표!$C$8:$C$9,MATCH(C95,비용표!$B$8:$B$9,0)))</f>
        <v/>
      </c>
      <c r="H95" s="5">
        <f>G95*E95</f>
        <v/>
      </c>
      <c r="I95" s="10">
        <f>IF(A95=A94,I94&amp;" · ","")&amp;IF(C95="카드",D95&amp;E95,"["&amp;C95&amp;"] "&amp;D95)</f>
        <v/>
      </c>
    </row>
    <row r="96">
      <c r="A96" s="5" t="n">
        <v>28</v>
      </c>
      <c r="B96" s="5" t="n">
        <v>1</v>
      </c>
      <c r="C96" s="5" t="inlineStr">
        <is>
          <t>카드</t>
        </is>
      </c>
      <c r="D96" s="5" t="inlineStr">
        <is>
          <t>손권</t>
        </is>
      </c>
      <c r="E96" s="5" t="n">
        <v>1</v>
      </c>
      <c r="F96" s="5" t="inlineStr">
        <is>
          <t>S</t>
        </is>
      </c>
      <c r="G96" s="5">
        <f>IF(C96="카드",INDEX(비용표!$C$2:$C$7,MATCH(F96,비용표!$B$2:$B$7,0)),F96*INDEX(비용표!$C$8:$C$9,MATCH(C96,비용표!$B$8:$B$9,0)))</f>
        <v/>
      </c>
      <c r="H96" s="5">
        <f>G96*E96</f>
        <v/>
      </c>
      <c r="I96" s="10">
        <f>IF(A96=A95,I95&amp;" · ","")&amp;IF(C96="카드",D96&amp;E96,"["&amp;C96&amp;"] "&amp;D96)</f>
        <v/>
      </c>
    </row>
    <row r="97">
      <c r="A97" s="5" t="n">
        <v>28</v>
      </c>
      <c r="B97" s="5" t="n">
        <v>2</v>
      </c>
      <c r="C97" s="5" t="inlineStr">
        <is>
          <t>카드</t>
        </is>
      </c>
      <c r="D97" s="5" t="inlineStr">
        <is>
          <t>장소</t>
        </is>
      </c>
      <c r="E97" s="5" t="n">
        <v>1</v>
      </c>
      <c r="F97" s="5" t="inlineStr">
        <is>
          <t>A</t>
        </is>
      </c>
      <c r="G97" s="5">
        <f>IF(C97="카드",INDEX(비용표!$C$2:$C$7,MATCH(F97,비용표!$B$2:$B$7,0)),F97*INDEX(비용표!$C$8:$C$9,MATCH(C97,비용표!$B$8:$B$9,0)))</f>
        <v/>
      </c>
      <c r="H97" s="5">
        <f>G97*E97</f>
        <v/>
      </c>
      <c r="I97" s="10">
        <f>IF(A97=A96,I96&amp;" · ","")&amp;IF(C97="카드",D97&amp;E97,"["&amp;C97&amp;"] "&amp;D97)</f>
        <v/>
      </c>
    </row>
    <row r="98">
      <c r="A98" s="5" t="n">
        <v>28</v>
      </c>
      <c r="B98" s="5" t="n">
        <v>3</v>
      </c>
      <c r="C98" s="5" t="inlineStr">
        <is>
          <t>카드</t>
        </is>
      </c>
      <c r="D98" s="5" t="inlineStr">
        <is>
          <t>주유</t>
        </is>
      </c>
      <c r="E98" s="5" t="n">
        <v>1</v>
      </c>
      <c r="F98" s="5" t="inlineStr">
        <is>
          <t>S</t>
        </is>
      </c>
      <c r="G98" s="5">
        <f>IF(C98="카드",INDEX(비용표!$C$2:$C$7,MATCH(F98,비용표!$B$2:$B$7,0)),F98*INDEX(비용표!$C$8:$C$9,MATCH(C98,비용표!$B$8:$B$9,0)))</f>
        <v/>
      </c>
      <c r="H98" s="5">
        <f>G98*E98</f>
        <v/>
      </c>
      <c r="I98" s="10">
        <f>IF(A98=A97,I97&amp;" · ","")&amp;IF(C98="카드",D98&amp;E98,"["&amp;C98&amp;"] "&amp;D98)</f>
        <v/>
      </c>
    </row>
    <row r="99">
      <c r="A99" s="5" t="n">
        <v>29</v>
      </c>
      <c r="B99" s="5" t="n">
        <v>1</v>
      </c>
      <c r="C99" s="5" t="inlineStr">
        <is>
          <t>카드</t>
        </is>
      </c>
      <c r="D99" s="5" t="inlineStr">
        <is>
          <t>장수</t>
        </is>
      </c>
      <c r="E99" s="5" t="n">
        <v>1</v>
      </c>
      <c r="F99" s="5" t="inlineStr">
        <is>
          <t>B</t>
        </is>
      </c>
      <c r="G99" s="5">
        <f>IF(C99="카드",INDEX(비용표!$C$2:$C$7,MATCH(F99,비용표!$B$2:$B$7,0)),F99*INDEX(비용표!$C$8:$C$9,MATCH(C99,비용표!$B$8:$B$9,0)))</f>
        <v/>
      </c>
      <c r="H99" s="5">
        <f>G99*E99</f>
        <v/>
      </c>
      <c r="I99" s="10">
        <f>IF(A99=A98,I98&amp;" · ","")&amp;IF(C99="카드",D99&amp;E99,"["&amp;C99&amp;"] "&amp;D99)</f>
        <v/>
      </c>
    </row>
    <row r="100">
      <c r="A100" s="5" t="n">
        <v>29</v>
      </c>
      <c r="B100" s="5" t="n">
        <v>2</v>
      </c>
      <c r="C100" s="5" t="inlineStr">
        <is>
          <t>카드</t>
        </is>
      </c>
      <c r="D100" s="5" t="inlineStr">
        <is>
          <t>가후</t>
        </is>
      </c>
      <c r="E100" s="5" t="n">
        <v>1</v>
      </c>
      <c r="F100" s="5" t="inlineStr">
        <is>
          <t>S</t>
        </is>
      </c>
      <c r="G100" s="5">
        <f>IF(C100="카드",INDEX(비용표!$C$2:$C$7,MATCH(F100,비용표!$B$2:$B$7,0)),F100*INDEX(비용표!$C$8:$C$9,MATCH(C100,비용표!$B$8:$B$9,0)))</f>
        <v/>
      </c>
      <c r="H100" s="5">
        <f>G100*E100</f>
        <v/>
      </c>
      <c r="I100" s="10">
        <f>IF(A100=A99,I99&amp;" · ","")&amp;IF(C100="카드",D100&amp;E100,"["&amp;C100&amp;"] "&amp;D100)</f>
        <v/>
      </c>
    </row>
    <row r="101">
      <c r="A101" s="5" t="n">
        <v>29</v>
      </c>
      <c r="B101" s="5" t="n">
        <v>3</v>
      </c>
      <c r="C101" s="5" t="inlineStr">
        <is>
          <t>카드</t>
        </is>
      </c>
      <c r="D101" s="5" t="inlineStr">
        <is>
          <t>조조</t>
        </is>
      </c>
      <c r="E101" s="5" t="n">
        <v>1</v>
      </c>
      <c r="F101" s="5" t="inlineStr">
        <is>
          <t>S</t>
        </is>
      </c>
      <c r="G101" s="5">
        <f>IF(C101="카드",INDEX(비용표!$C$2:$C$7,MATCH(F101,비용표!$B$2:$B$7,0)),F101*INDEX(비용표!$C$8:$C$9,MATCH(C101,비용표!$B$8:$B$9,0)))</f>
        <v/>
      </c>
      <c r="H101" s="5">
        <f>G101*E101</f>
        <v/>
      </c>
      <c r="I101" s="10">
        <f>IF(A101=A100,I100&amp;" · ","")&amp;IF(C101="카드",D101&amp;E101,"["&amp;C101&amp;"] "&amp;D101)</f>
        <v/>
      </c>
    </row>
    <row r="102">
      <c r="A102" s="5" t="n">
        <v>29</v>
      </c>
      <c r="B102" s="5" t="n">
        <v>4</v>
      </c>
      <c r="C102" s="5" t="inlineStr">
        <is>
          <t>아이템</t>
        </is>
      </c>
      <c r="D102" s="5" t="inlineStr">
        <is>
          <t>절영</t>
        </is>
      </c>
      <c r="E102" s="5" t="n">
        <v>1</v>
      </c>
      <c r="F102" s="5" t="n">
        <v>4</v>
      </c>
      <c r="G102" s="5">
        <f>IF(C102="카드",INDEX(비용표!$C$2:$C$7,MATCH(F102,비용표!$B$2:$B$7,0)),F102*INDEX(비용표!$C$8:$C$9,MATCH(C102,비용표!$B$8:$B$9,0)))</f>
        <v/>
      </c>
      <c r="H102" s="5">
        <f>G102*E102</f>
        <v/>
      </c>
      <c r="I102" s="10">
        <f>IF(A102=A101,I101&amp;" · ","")&amp;IF(C102="카드",D102&amp;E102,"["&amp;C102&amp;"] "&amp;D102)</f>
        <v/>
      </c>
    </row>
    <row r="103">
      <c r="A103" s="5" t="n">
        <v>30</v>
      </c>
      <c r="B103" s="5" t="n">
        <v>1</v>
      </c>
      <c r="C103" s="5" t="inlineStr">
        <is>
          <t>카드</t>
        </is>
      </c>
      <c r="D103" s="5" t="inlineStr">
        <is>
          <t>가후</t>
        </is>
      </c>
      <c r="E103" s="5" t="n">
        <v>1</v>
      </c>
      <c r="F103" s="5" t="inlineStr">
        <is>
          <t>S</t>
        </is>
      </c>
      <c r="G103" s="5">
        <f>IF(C103="카드",INDEX(비용표!$C$2:$C$7,MATCH(F103,비용표!$B$2:$B$7,0)),F103*INDEX(비용표!$C$8:$C$9,MATCH(C103,비용표!$B$8:$B$9,0)))</f>
        <v/>
      </c>
      <c r="H103" s="5">
        <f>G103*E103</f>
        <v/>
      </c>
      <c r="I103" s="10">
        <f>IF(A103=A102,I102&amp;" · ","")&amp;IF(C103="카드",D103&amp;E103,"["&amp;C103&amp;"] "&amp;D103)</f>
        <v/>
      </c>
    </row>
    <row r="104">
      <c r="A104" s="5" t="n">
        <v>30</v>
      </c>
      <c r="B104" s="5" t="n">
        <v>2</v>
      </c>
      <c r="C104" s="5" t="inlineStr">
        <is>
          <t>카드</t>
        </is>
      </c>
      <c r="D104" s="5" t="inlineStr">
        <is>
          <t>장수</t>
        </is>
      </c>
      <c r="E104" s="5" t="n">
        <v>1</v>
      </c>
      <c r="F104" s="5" t="inlineStr">
        <is>
          <t>B</t>
        </is>
      </c>
      <c r="G104" s="5">
        <f>IF(C104="카드",INDEX(비용표!$C$2:$C$7,MATCH(F104,비용표!$B$2:$B$7,0)),F104*INDEX(비용표!$C$8:$C$9,MATCH(C104,비용표!$B$8:$B$9,0)))</f>
        <v/>
      </c>
      <c r="H104" s="5">
        <f>G104*E104</f>
        <v/>
      </c>
      <c r="I104" s="10">
        <f>IF(A104=A103,I103&amp;" · ","")&amp;IF(C104="카드",D104&amp;E104,"["&amp;C104&amp;"] "&amp;D104)</f>
        <v/>
      </c>
    </row>
    <row r="105">
      <c r="A105" s="5" t="n">
        <v>31</v>
      </c>
      <c r="B105" s="5" t="n">
        <v>1</v>
      </c>
      <c r="C105" s="5" t="inlineStr">
        <is>
          <t>카드</t>
        </is>
      </c>
      <c r="D105" s="5" t="inlineStr">
        <is>
          <t>조조</t>
        </is>
      </c>
      <c r="E105" s="5" t="n">
        <v>1</v>
      </c>
      <c r="F105" s="5" t="inlineStr">
        <is>
          <t>S</t>
        </is>
      </c>
      <c r="G105" s="5">
        <f>IF(C105="카드",INDEX(비용표!$C$2:$C$7,MATCH(F105,비용표!$B$2:$B$7,0)),F105*INDEX(비용표!$C$8:$C$9,MATCH(C105,비용표!$B$8:$B$9,0)))</f>
        <v/>
      </c>
      <c r="H105" s="5">
        <f>G105*E105</f>
        <v/>
      </c>
      <c r="I105" s="10">
        <f>IF(A105=A104,I104&amp;" · ","")&amp;IF(C105="카드",D105&amp;E105,"["&amp;C105&amp;"] "&amp;D105)</f>
        <v/>
      </c>
    </row>
    <row r="106">
      <c r="A106" s="5" t="n">
        <v>31</v>
      </c>
      <c r="B106" s="5" t="n">
        <v>2</v>
      </c>
      <c r="C106" s="5" t="inlineStr">
        <is>
          <t>카드</t>
        </is>
      </c>
      <c r="D106" s="5" t="inlineStr">
        <is>
          <t>유비</t>
        </is>
      </c>
      <c r="E106" s="5" t="n">
        <v>1</v>
      </c>
      <c r="F106" s="5" t="inlineStr">
        <is>
          <t>S</t>
        </is>
      </c>
      <c r="G106" s="5">
        <f>IF(C106="카드",INDEX(비용표!$C$2:$C$7,MATCH(F106,비용표!$B$2:$B$7,0)),F106*INDEX(비용표!$C$8:$C$9,MATCH(C106,비용표!$B$8:$B$9,0)))</f>
        <v/>
      </c>
      <c r="H106" s="5">
        <f>G106*E106</f>
        <v/>
      </c>
      <c r="I106" s="10">
        <f>IF(A106=A105,I105&amp;" · ","")&amp;IF(C106="카드",D106&amp;E106,"["&amp;C106&amp;"] "&amp;D106)</f>
        <v/>
      </c>
    </row>
    <row r="107">
      <c r="A107" s="5" t="n">
        <v>32</v>
      </c>
      <c r="B107" s="5" t="n">
        <v>1</v>
      </c>
      <c r="C107" s="5" t="inlineStr">
        <is>
          <t>카드</t>
        </is>
      </c>
      <c r="D107" s="5" t="inlineStr">
        <is>
          <t>헌제</t>
        </is>
      </c>
      <c r="E107" s="5" t="n">
        <v>1</v>
      </c>
      <c r="F107" s="5" t="inlineStr">
        <is>
          <t>E</t>
        </is>
      </c>
      <c r="G107" s="5">
        <f>IF(C107="카드",INDEX(비용표!$C$2:$C$7,MATCH(F107,비용표!$B$2:$B$7,0)),F107*INDEX(비용표!$C$8:$C$9,MATCH(C107,비용표!$B$8:$B$9,0)))</f>
        <v/>
      </c>
      <c r="H107" s="5">
        <f>G107*E107</f>
        <v/>
      </c>
      <c r="I107" s="10">
        <f>IF(A107=A106,I106&amp;" · ","")&amp;IF(C107="카드",D107&amp;E107,"["&amp;C107&amp;"] "&amp;D107)</f>
        <v/>
      </c>
    </row>
    <row r="108">
      <c r="A108" s="5" t="n">
        <v>32</v>
      </c>
      <c r="B108" s="5" t="n">
        <v>2</v>
      </c>
      <c r="C108" s="5" t="inlineStr">
        <is>
          <t>카드</t>
        </is>
      </c>
      <c r="D108" s="5" t="inlineStr">
        <is>
          <t>유비</t>
        </is>
      </c>
      <c r="E108" s="5" t="n">
        <v>1</v>
      </c>
      <c r="F108" s="5" t="inlineStr">
        <is>
          <t>S</t>
        </is>
      </c>
      <c r="G108" s="5">
        <f>IF(C108="카드",INDEX(비용표!$C$2:$C$7,MATCH(F108,비용표!$B$2:$B$7,0)),F108*INDEX(비용표!$C$8:$C$9,MATCH(C108,비용표!$B$8:$B$9,0)))</f>
        <v/>
      </c>
      <c r="H108" s="5">
        <f>G108*E108</f>
        <v/>
      </c>
      <c r="I108" s="10">
        <f>IF(A108=A107,I107&amp;" · ","")&amp;IF(C108="카드",D108&amp;E108,"["&amp;C108&amp;"] "&amp;D108)</f>
        <v/>
      </c>
    </row>
    <row r="109">
      <c r="A109" s="5" t="n">
        <v>32</v>
      </c>
      <c r="B109" s="5" t="n">
        <v>3</v>
      </c>
      <c r="C109" s="5" t="inlineStr">
        <is>
          <t>카드</t>
        </is>
      </c>
      <c r="D109" s="5" t="inlineStr">
        <is>
          <t>마등</t>
        </is>
      </c>
      <c r="E109" s="5" t="n">
        <v>1</v>
      </c>
      <c r="F109" s="5" t="inlineStr">
        <is>
          <t>A</t>
        </is>
      </c>
      <c r="G109" s="5">
        <f>IF(C109="카드",INDEX(비용표!$C$2:$C$7,MATCH(F109,비용표!$B$2:$B$7,0)),F109*INDEX(비용표!$C$8:$C$9,MATCH(C109,비용표!$B$8:$B$9,0)))</f>
        <v/>
      </c>
      <c r="H109" s="5">
        <f>G109*E109</f>
        <v/>
      </c>
      <c r="I109" s="10">
        <f>IF(A109=A108,I108&amp;" · ","")&amp;IF(C109="카드",D109&amp;E109,"["&amp;C109&amp;"] "&amp;D109)</f>
        <v/>
      </c>
    </row>
    <row r="110">
      <c r="A110" s="5" t="n">
        <v>33</v>
      </c>
      <c r="B110" s="5" t="n">
        <v>1</v>
      </c>
      <c r="C110" s="5" t="inlineStr">
        <is>
          <t>카드</t>
        </is>
      </c>
      <c r="D110" s="5" t="inlineStr">
        <is>
          <t>관우</t>
        </is>
      </c>
      <c r="E110" s="5" t="n">
        <v>1</v>
      </c>
      <c r="F110" s="5" t="inlineStr">
        <is>
          <t>S</t>
        </is>
      </c>
      <c r="G110" s="5">
        <f>IF(C110="카드",INDEX(비용표!$C$2:$C$7,MATCH(F110,비용표!$B$2:$B$7,0)),F110*INDEX(비용표!$C$8:$C$9,MATCH(C110,비용표!$B$8:$B$9,0)))</f>
        <v/>
      </c>
      <c r="H110" s="5">
        <f>G110*E110</f>
        <v/>
      </c>
      <c r="I110" s="10">
        <f>IF(A110=A109,I109&amp;" · ","")&amp;IF(C110="카드",D110&amp;E110,"["&amp;C110&amp;"] "&amp;D110)</f>
        <v/>
      </c>
    </row>
    <row r="111">
      <c r="A111" s="5" t="n">
        <v>33</v>
      </c>
      <c r="B111" s="5" t="n">
        <v>2</v>
      </c>
      <c r="C111" s="5" t="inlineStr">
        <is>
          <t>카드</t>
        </is>
      </c>
      <c r="D111" s="5" t="inlineStr">
        <is>
          <t>장료</t>
        </is>
      </c>
      <c r="E111" s="5" t="n">
        <v>1</v>
      </c>
      <c r="F111" s="5" t="inlineStr">
        <is>
          <t>S</t>
        </is>
      </c>
      <c r="G111" s="5">
        <f>IF(C111="카드",INDEX(비용표!$C$2:$C$7,MATCH(F111,비용표!$B$2:$B$7,0)),F111*INDEX(비용표!$C$8:$C$9,MATCH(C111,비용표!$B$8:$B$9,0)))</f>
        <v/>
      </c>
      <c r="H111" s="5">
        <f>G111*E111</f>
        <v/>
      </c>
      <c r="I111" s="10">
        <f>IF(A111=A110,I110&amp;" · ","")&amp;IF(C111="카드",D111&amp;E111,"["&amp;C111&amp;"] "&amp;D111)</f>
        <v/>
      </c>
    </row>
    <row r="112">
      <c r="A112" s="5" t="n">
        <v>33</v>
      </c>
      <c r="B112" s="5" t="n">
        <v>3</v>
      </c>
      <c r="C112" s="5" t="inlineStr">
        <is>
          <t>카드</t>
        </is>
      </c>
      <c r="D112" s="5" t="inlineStr">
        <is>
          <t>조조</t>
        </is>
      </c>
      <c r="E112" s="5" t="n">
        <v>1</v>
      </c>
      <c r="F112" s="5" t="inlineStr">
        <is>
          <t>S</t>
        </is>
      </c>
      <c r="G112" s="5">
        <f>IF(C112="카드",INDEX(비용표!$C$2:$C$7,MATCH(F112,비용표!$B$2:$B$7,0)),F112*INDEX(비용표!$C$8:$C$9,MATCH(C112,비용표!$B$8:$B$9,0)))</f>
        <v/>
      </c>
      <c r="H112" s="5">
        <f>G112*E112</f>
        <v/>
      </c>
      <c r="I112" s="10">
        <f>IF(A112=A111,I111&amp;" · ","")&amp;IF(C112="카드",D112&amp;E112,"["&amp;C112&amp;"] "&amp;D112)</f>
        <v/>
      </c>
    </row>
    <row r="113">
      <c r="A113" s="5" t="n">
        <v>34</v>
      </c>
      <c r="B113" s="5" t="n">
        <v>1</v>
      </c>
      <c r="C113" s="5" t="inlineStr">
        <is>
          <t>카드</t>
        </is>
      </c>
      <c r="D113" s="5" t="inlineStr">
        <is>
          <t>곽가</t>
        </is>
      </c>
      <c r="E113" s="5" t="n">
        <v>1</v>
      </c>
      <c r="F113" s="5" t="inlineStr">
        <is>
          <t>S</t>
        </is>
      </c>
      <c r="G113" s="5">
        <f>IF(C113="카드",INDEX(비용표!$C$2:$C$7,MATCH(F113,비용표!$B$2:$B$7,0)),F113*INDEX(비용표!$C$8:$C$9,MATCH(C113,비용표!$B$8:$B$9,0)))</f>
        <v/>
      </c>
      <c r="H113" s="5">
        <f>G113*E113</f>
        <v/>
      </c>
      <c r="I113" s="10">
        <f>IF(A113=A112,I112&amp;" · ","")&amp;IF(C113="카드",D113&amp;E113,"["&amp;C113&amp;"] "&amp;D113)</f>
        <v/>
      </c>
    </row>
    <row r="114">
      <c r="A114" s="5" t="n">
        <v>34</v>
      </c>
      <c r="B114" s="5" t="n">
        <v>2</v>
      </c>
      <c r="C114" s="5" t="inlineStr">
        <is>
          <t>카드</t>
        </is>
      </c>
      <c r="D114" s="5" t="inlineStr">
        <is>
          <t>조조</t>
        </is>
      </c>
      <c r="E114" s="5" t="n">
        <v>1</v>
      </c>
      <c r="F114" s="5" t="inlineStr">
        <is>
          <t>S</t>
        </is>
      </c>
      <c r="G114" s="5">
        <f>IF(C114="카드",INDEX(비용표!$C$2:$C$7,MATCH(F114,비용표!$B$2:$B$7,0)),F114*INDEX(비용표!$C$8:$C$9,MATCH(C114,비용표!$B$8:$B$9,0)))</f>
        <v/>
      </c>
      <c r="H114" s="5">
        <f>G114*E114</f>
        <v/>
      </c>
      <c r="I114" s="10">
        <f>IF(A114=A113,I113&amp;" · ","")&amp;IF(C114="카드",D114&amp;E114,"["&amp;C114&amp;"] "&amp;D114)</f>
        <v/>
      </c>
    </row>
    <row r="115">
      <c r="A115" s="5" t="n">
        <v>34</v>
      </c>
      <c r="B115" s="5" t="n">
        <v>3</v>
      </c>
      <c r="C115" s="5" t="inlineStr">
        <is>
          <t>카드</t>
        </is>
      </c>
      <c r="D115" s="5" t="inlineStr">
        <is>
          <t>원소</t>
        </is>
      </c>
      <c r="E115" s="5" t="n">
        <v>1</v>
      </c>
      <c r="F115" s="5" t="inlineStr">
        <is>
          <t>C</t>
        </is>
      </c>
      <c r="G115" s="5">
        <f>IF(C115="카드",INDEX(비용표!$C$2:$C$7,MATCH(F115,비용표!$B$2:$B$7,0)),F115*INDEX(비용표!$C$8:$C$9,MATCH(C115,비용표!$B$8:$B$9,0)))</f>
        <v/>
      </c>
      <c r="H115" s="5">
        <f>G115*E115</f>
        <v/>
      </c>
      <c r="I115" s="10">
        <f>IF(A115=A114,I114&amp;" · ","")&amp;IF(C115="카드",D115&amp;E115,"["&amp;C115&amp;"] "&amp;D115)</f>
        <v/>
      </c>
    </row>
    <row r="116">
      <c r="A116" s="5" t="n">
        <v>35</v>
      </c>
      <c r="B116" s="5" t="n">
        <v>1</v>
      </c>
      <c r="C116" s="5" t="inlineStr">
        <is>
          <t>카드</t>
        </is>
      </c>
      <c r="D116" s="5" t="inlineStr">
        <is>
          <t>순욱</t>
        </is>
      </c>
      <c r="E116" s="5" t="n">
        <v>1</v>
      </c>
      <c r="F116" s="5" t="inlineStr">
        <is>
          <t>S</t>
        </is>
      </c>
      <c r="G116" s="5">
        <f>IF(C116="카드",INDEX(비용표!$C$2:$C$7,MATCH(F116,비용표!$B$2:$B$7,0)),F116*INDEX(비용표!$C$8:$C$9,MATCH(C116,비용표!$B$8:$B$9,0)))</f>
        <v/>
      </c>
      <c r="H116" s="5">
        <f>G116*E116</f>
        <v/>
      </c>
      <c r="I116" s="10">
        <f>IF(A116=A115,I115&amp;" · ","")&amp;IF(C116="카드",D116&amp;E116,"["&amp;C116&amp;"] "&amp;D116)</f>
        <v/>
      </c>
    </row>
    <row r="117">
      <c r="A117" s="5" t="n">
        <v>35</v>
      </c>
      <c r="B117" s="5" t="n">
        <v>2</v>
      </c>
      <c r="C117" s="5" t="inlineStr">
        <is>
          <t>카드</t>
        </is>
      </c>
      <c r="D117" s="5" t="inlineStr">
        <is>
          <t>순유</t>
        </is>
      </c>
      <c r="E117" s="5" t="n">
        <v>1</v>
      </c>
      <c r="F117" s="5" t="inlineStr">
        <is>
          <t>A</t>
        </is>
      </c>
      <c r="G117" s="5">
        <f>IF(C117="카드",INDEX(비용표!$C$2:$C$7,MATCH(F117,비용표!$B$2:$B$7,0)),F117*INDEX(비용표!$C$8:$C$9,MATCH(C117,비용표!$B$8:$B$9,0)))</f>
        <v/>
      </c>
      <c r="H117" s="5">
        <f>G117*E117</f>
        <v/>
      </c>
      <c r="I117" s="10">
        <f>IF(A117=A116,I116&amp;" · ","")&amp;IF(C117="카드",D117&amp;E117,"["&amp;C117&amp;"] "&amp;D117)</f>
        <v/>
      </c>
    </row>
    <row r="118">
      <c r="A118" s="5" t="n">
        <v>35</v>
      </c>
      <c r="B118" s="5" t="n">
        <v>3</v>
      </c>
      <c r="C118" s="5" t="inlineStr">
        <is>
          <t>카드</t>
        </is>
      </c>
      <c r="D118" s="5" t="inlineStr">
        <is>
          <t>조조</t>
        </is>
      </c>
      <c r="E118" s="5" t="n">
        <v>1</v>
      </c>
      <c r="F118" s="5" t="inlineStr">
        <is>
          <t>S</t>
        </is>
      </c>
      <c r="G118" s="5">
        <f>IF(C118="카드",INDEX(비용표!$C$2:$C$7,MATCH(F118,비용표!$B$2:$B$7,0)),F118*INDEX(비용표!$C$8:$C$9,MATCH(C118,비용표!$B$8:$B$9,0)))</f>
        <v/>
      </c>
      <c r="H118" s="5">
        <f>G118*E118</f>
        <v/>
      </c>
      <c r="I118" s="10">
        <f>IF(A118=A117,I117&amp;" · ","")&amp;IF(C118="카드",D118&amp;E118,"["&amp;C118&amp;"] "&amp;D118)</f>
        <v/>
      </c>
    </row>
    <row r="119">
      <c r="A119" s="5" t="n">
        <v>36</v>
      </c>
      <c r="B119" s="5" t="n">
        <v>1</v>
      </c>
      <c r="C119" s="5" t="inlineStr">
        <is>
          <t>카드</t>
        </is>
      </c>
      <c r="D119" s="5" t="inlineStr">
        <is>
          <t>전풍</t>
        </is>
      </c>
      <c r="E119" s="5" t="n">
        <v>1</v>
      </c>
      <c r="F119" s="5" t="inlineStr">
        <is>
          <t>A</t>
        </is>
      </c>
      <c r="G119" s="5">
        <f>IF(C119="카드",INDEX(비용표!$C$2:$C$7,MATCH(F119,비용표!$B$2:$B$7,0)),F119*INDEX(비용표!$C$8:$C$9,MATCH(C119,비용표!$B$8:$B$9,0)))</f>
        <v/>
      </c>
      <c r="H119" s="5">
        <f>G119*E119</f>
        <v/>
      </c>
      <c r="I119" s="10">
        <f>IF(A119=A118,I118&amp;" · ","")&amp;IF(C119="카드",D119&amp;E119,"["&amp;C119&amp;"] "&amp;D119)</f>
        <v/>
      </c>
    </row>
    <row r="120">
      <c r="A120" s="5" t="n">
        <v>36</v>
      </c>
      <c r="B120" s="5" t="n">
        <v>2</v>
      </c>
      <c r="C120" s="5" t="inlineStr">
        <is>
          <t>카드</t>
        </is>
      </c>
      <c r="D120" s="5" t="inlineStr">
        <is>
          <t>저수</t>
        </is>
      </c>
      <c r="E120" s="5" t="n">
        <v>1</v>
      </c>
      <c r="F120" s="5" t="inlineStr">
        <is>
          <t>A</t>
        </is>
      </c>
      <c r="G120" s="5">
        <f>IF(C120="카드",INDEX(비용표!$C$2:$C$7,MATCH(F120,비용표!$B$2:$B$7,0)),F120*INDEX(비용표!$C$8:$C$9,MATCH(C120,비용표!$B$8:$B$9,0)))</f>
        <v/>
      </c>
      <c r="H120" s="5">
        <f>G120*E120</f>
        <v/>
      </c>
      <c r="I120" s="10">
        <f>IF(A120=A119,I119&amp;" · ","")&amp;IF(C120="카드",D120&amp;E120,"["&amp;C120&amp;"] "&amp;D120)</f>
        <v/>
      </c>
    </row>
    <row r="121">
      <c r="A121" s="5" t="n">
        <v>36</v>
      </c>
      <c r="B121" s="5" t="n">
        <v>3</v>
      </c>
      <c r="C121" s="5" t="inlineStr">
        <is>
          <t>카드</t>
        </is>
      </c>
      <c r="D121" s="5" t="inlineStr">
        <is>
          <t>심배</t>
        </is>
      </c>
      <c r="E121" s="5" t="n">
        <v>1</v>
      </c>
      <c r="F121" s="5" t="inlineStr">
        <is>
          <t>B</t>
        </is>
      </c>
      <c r="G121" s="5">
        <f>IF(C121="카드",INDEX(비용표!$C$2:$C$7,MATCH(F121,비용표!$B$2:$B$7,0)),F121*INDEX(비용표!$C$8:$C$9,MATCH(C121,비용표!$B$8:$B$9,0)))</f>
        <v/>
      </c>
      <c r="H121" s="5">
        <f>G121*E121</f>
        <v/>
      </c>
      <c r="I121" s="10">
        <f>IF(A121=A120,I120&amp;" · ","")&amp;IF(C121="카드",D121&amp;E121,"["&amp;C121&amp;"] "&amp;D121)</f>
        <v/>
      </c>
    </row>
    <row r="122">
      <c r="A122" s="5" t="n">
        <v>36</v>
      </c>
      <c r="B122" s="5" t="n">
        <v>4</v>
      </c>
      <c r="C122" s="5" t="inlineStr">
        <is>
          <t>카드</t>
        </is>
      </c>
      <c r="D122" s="5" t="inlineStr">
        <is>
          <t>곽도</t>
        </is>
      </c>
      <c r="E122" s="5" t="n">
        <v>1</v>
      </c>
      <c r="F122" s="5" t="inlineStr">
        <is>
          <t>B</t>
        </is>
      </c>
      <c r="G122" s="5">
        <f>IF(C122="카드",INDEX(비용표!$C$2:$C$7,MATCH(F122,비용표!$B$2:$B$7,0)),F122*INDEX(비용표!$C$8:$C$9,MATCH(C122,비용표!$B$8:$B$9,0)))</f>
        <v/>
      </c>
      <c r="H122" s="5">
        <f>G122*E122</f>
        <v/>
      </c>
      <c r="I122" s="10">
        <f>IF(A122=A121,I121&amp;" · ","")&amp;IF(C122="카드",D122&amp;E122,"["&amp;C122&amp;"] "&amp;D122)</f>
        <v/>
      </c>
    </row>
    <row r="123">
      <c r="A123" s="5" t="n">
        <v>36</v>
      </c>
      <c r="B123" s="5" t="n">
        <v>5</v>
      </c>
      <c r="C123" s="5" t="inlineStr">
        <is>
          <t>카드</t>
        </is>
      </c>
      <c r="D123" s="5" t="inlineStr">
        <is>
          <t>허유</t>
        </is>
      </c>
      <c r="E123" s="5" t="n">
        <v>1</v>
      </c>
      <c r="F123" s="5" t="inlineStr">
        <is>
          <t>D</t>
        </is>
      </c>
      <c r="G123" s="5">
        <f>IF(C123="카드",INDEX(비용표!$C$2:$C$7,MATCH(F123,비용표!$B$2:$B$7,0)),F123*INDEX(비용표!$C$8:$C$9,MATCH(C123,비용표!$B$8:$B$9,0)))</f>
        <v/>
      </c>
      <c r="H123" s="5">
        <f>G123*E123</f>
        <v/>
      </c>
      <c r="I123" s="10">
        <f>IF(A123=A122,I122&amp;" · ","")&amp;IF(C123="카드",D123&amp;E123,"["&amp;C123&amp;"] "&amp;D123)</f>
        <v/>
      </c>
    </row>
    <row r="124">
      <c r="A124" s="5" t="n">
        <v>37</v>
      </c>
      <c r="B124" s="5" t="n">
        <v>1</v>
      </c>
      <c r="C124" s="5" t="inlineStr">
        <is>
          <t>카드</t>
        </is>
      </c>
      <c r="D124" s="5" t="inlineStr">
        <is>
          <t>안량</t>
        </is>
      </c>
      <c r="E124" s="5" t="n">
        <v>1</v>
      </c>
      <c r="F124" s="5" t="inlineStr">
        <is>
          <t>A</t>
        </is>
      </c>
      <c r="G124" s="5">
        <f>IF(C124="카드",INDEX(비용표!$C$2:$C$7,MATCH(F124,비용표!$B$2:$B$7,0)),F124*INDEX(비용표!$C$8:$C$9,MATCH(C124,비용표!$B$8:$B$9,0)))</f>
        <v/>
      </c>
      <c r="H124" s="5">
        <f>G124*E124</f>
        <v/>
      </c>
      <c r="I124" s="10">
        <f>IF(A124=A123,I123&amp;" · ","")&amp;IF(C124="카드",D124&amp;E124,"["&amp;C124&amp;"] "&amp;D124)</f>
        <v/>
      </c>
    </row>
    <row r="125">
      <c r="A125" s="5" t="n">
        <v>37</v>
      </c>
      <c r="B125" s="5" t="n">
        <v>2</v>
      </c>
      <c r="C125" s="5" t="inlineStr">
        <is>
          <t>카드</t>
        </is>
      </c>
      <c r="D125" s="5" t="inlineStr">
        <is>
          <t>문추</t>
        </is>
      </c>
      <c r="E125" s="5" t="n">
        <v>1</v>
      </c>
      <c r="F125" s="5" t="inlineStr">
        <is>
          <t>A</t>
        </is>
      </c>
      <c r="G125" s="5">
        <f>IF(C125="카드",INDEX(비용표!$C$2:$C$7,MATCH(F125,비용표!$B$2:$B$7,0)),F125*INDEX(비용표!$C$8:$C$9,MATCH(C125,비용표!$B$8:$B$9,0)))</f>
        <v/>
      </c>
      <c r="H125" s="5">
        <f>G125*E125</f>
        <v/>
      </c>
      <c r="I125" s="10">
        <f>IF(A125=A124,I124&amp;" · ","")&amp;IF(C125="카드",D125&amp;E125,"["&amp;C125&amp;"] "&amp;D125)</f>
        <v/>
      </c>
    </row>
    <row r="126">
      <c r="A126" s="5" t="n">
        <v>37</v>
      </c>
      <c r="B126" s="5" t="n">
        <v>3</v>
      </c>
      <c r="C126" s="5" t="inlineStr">
        <is>
          <t>카드</t>
        </is>
      </c>
      <c r="D126" s="5" t="inlineStr">
        <is>
          <t>원소</t>
        </is>
      </c>
      <c r="E126" s="5" t="n">
        <v>1</v>
      </c>
      <c r="F126" s="5" t="inlineStr">
        <is>
          <t>C</t>
        </is>
      </c>
      <c r="G126" s="5">
        <f>IF(C126="카드",INDEX(비용표!$C$2:$C$7,MATCH(F126,비용표!$B$2:$B$7,0)),F126*INDEX(비용표!$C$8:$C$9,MATCH(C126,비용표!$B$8:$B$9,0)))</f>
        <v/>
      </c>
      <c r="H126" s="5">
        <f>G126*E126</f>
        <v/>
      </c>
      <c r="I126" s="10">
        <f>IF(A126=A125,I125&amp;" · ","")&amp;IF(C126="카드",D126&amp;E126,"["&amp;C126&amp;"] "&amp;D126)</f>
        <v/>
      </c>
    </row>
    <row r="127">
      <c r="A127" s="5" t="n">
        <v>38</v>
      </c>
      <c r="B127" s="5" t="n">
        <v>1</v>
      </c>
      <c r="C127" s="5" t="inlineStr">
        <is>
          <t>카드</t>
        </is>
      </c>
      <c r="D127" s="5" t="inlineStr">
        <is>
          <t>조조</t>
        </is>
      </c>
      <c r="E127" s="5" t="n">
        <v>1</v>
      </c>
      <c r="F127" s="5" t="inlineStr">
        <is>
          <t>S</t>
        </is>
      </c>
      <c r="G127" s="5">
        <f>IF(C127="카드",INDEX(비용표!$C$2:$C$7,MATCH(F127,비용표!$B$2:$B$7,0)),F127*INDEX(비용표!$C$8:$C$9,MATCH(C127,비용표!$B$8:$B$9,0)))</f>
        <v/>
      </c>
      <c r="H127" s="5">
        <f>G127*E127</f>
        <v/>
      </c>
      <c r="I127" s="10">
        <f>IF(A127=A126,I126&amp;" · ","")&amp;IF(C127="카드",D127&amp;E127,"["&amp;C127&amp;"] "&amp;D127)</f>
        <v/>
      </c>
    </row>
    <row r="128">
      <c r="A128" s="5" t="n">
        <v>38</v>
      </c>
      <c r="B128" s="5" t="n">
        <v>2</v>
      </c>
      <c r="C128" s="5" t="inlineStr">
        <is>
          <t>카드</t>
        </is>
      </c>
      <c r="D128" s="5" t="inlineStr">
        <is>
          <t>관우</t>
        </is>
      </c>
      <c r="E128" s="5" t="n">
        <v>1</v>
      </c>
      <c r="F128" s="5" t="inlineStr">
        <is>
          <t>S</t>
        </is>
      </c>
      <c r="G128" s="5">
        <f>IF(C128="카드",INDEX(비용표!$C$2:$C$7,MATCH(F128,비용표!$B$2:$B$7,0)),F128*INDEX(비용표!$C$8:$C$9,MATCH(C128,비용표!$B$8:$B$9,0)))</f>
        <v/>
      </c>
      <c r="H128" s="5">
        <f>G128*E128</f>
        <v/>
      </c>
      <c r="I128" s="10">
        <f>IF(A128=A127,I127&amp;" · ","")&amp;IF(C128="카드",D128&amp;E128,"["&amp;C128&amp;"] "&amp;D128)</f>
        <v/>
      </c>
    </row>
    <row r="129">
      <c r="A129" s="5" t="n">
        <v>38</v>
      </c>
      <c r="B129" s="5" t="n">
        <v>3</v>
      </c>
      <c r="C129" s="5" t="inlineStr">
        <is>
          <t>카드</t>
        </is>
      </c>
      <c r="D129" s="5" t="inlineStr">
        <is>
          <t>원소</t>
        </is>
      </c>
      <c r="E129" s="5" t="n">
        <v>1</v>
      </c>
      <c r="F129" s="5" t="inlineStr">
        <is>
          <t>C</t>
        </is>
      </c>
      <c r="G129" s="5">
        <f>IF(C129="카드",INDEX(비용표!$C$2:$C$7,MATCH(F129,비용표!$B$2:$B$7,0)),F129*INDEX(비용표!$C$8:$C$9,MATCH(C129,비용표!$B$8:$B$9,0)))</f>
        <v/>
      </c>
      <c r="H129" s="5">
        <f>G129*E129</f>
        <v/>
      </c>
      <c r="I129" s="10">
        <f>IF(A129=A128,I128&amp;" · ","")&amp;IF(C129="카드",D129&amp;E129,"["&amp;C129&amp;"] "&amp;D129)</f>
        <v/>
      </c>
    </row>
    <row r="130">
      <c r="A130" s="5" t="n">
        <v>38</v>
      </c>
      <c r="B130" s="5" t="n">
        <v>4</v>
      </c>
      <c r="C130" s="5" t="inlineStr">
        <is>
          <t>카드</t>
        </is>
      </c>
      <c r="D130" s="5" t="inlineStr">
        <is>
          <t>안량</t>
        </is>
      </c>
      <c r="E130" s="5" t="n">
        <v>1</v>
      </c>
      <c r="F130" s="5" t="inlineStr">
        <is>
          <t>A</t>
        </is>
      </c>
      <c r="G130" s="5">
        <f>IF(C130="카드",INDEX(비용표!$C$2:$C$7,MATCH(F130,비용표!$B$2:$B$7,0)),F130*INDEX(비용표!$C$8:$C$9,MATCH(C130,비용표!$B$8:$B$9,0)))</f>
        <v/>
      </c>
      <c r="H130" s="5">
        <f>G130*E130</f>
        <v/>
      </c>
      <c r="I130" s="10">
        <f>IF(A130=A129,I129&amp;" · ","")&amp;IF(C130="카드",D130&amp;E130,"["&amp;C130&amp;"] "&amp;D130)</f>
        <v/>
      </c>
    </row>
    <row r="131">
      <c r="A131" s="5" t="n">
        <v>38</v>
      </c>
      <c r="B131" s="5" t="n">
        <v>5</v>
      </c>
      <c r="C131" s="5" t="inlineStr">
        <is>
          <t>카드</t>
        </is>
      </c>
      <c r="D131" s="5" t="inlineStr">
        <is>
          <t>문추</t>
        </is>
      </c>
      <c r="E131" s="5" t="n">
        <v>1</v>
      </c>
      <c r="F131" s="5" t="inlineStr">
        <is>
          <t>A</t>
        </is>
      </c>
      <c r="G131" s="5">
        <f>IF(C131="카드",INDEX(비용표!$C$2:$C$7,MATCH(F131,비용표!$B$2:$B$7,0)),F131*INDEX(비용표!$C$8:$C$9,MATCH(C131,비용표!$B$8:$B$9,0)))</f>
        <v/>
      </c>
      <c r="H131" s="5">
        <f>G131*E131</f>
        <v/>
      </c>
      <c r="I131" s="10">
        <f>IF(A131=A130,I130&amp;" · ","")&amp;IF(C131="카드",D131&amp;E131,"["&amp;C131&amp;"] "&amp;D131)</f>
        <v/>
      </c>
    </row>
    <row r="132">
      <c r="A132" s="5" t="n">
        <v>39</v>
      </c>
      <c r="B132" s="5" t="n">
        <v>1</v>
      </c>
      <c r="C132" s="5" t="inlineStr">
        <is>
          <t>카드</t>
        </is>
      </c>
      <c r="D132" s="5" t="inlineStr">
        <is>
          <t>허유</t>
        </is>
      </c>
      <c r="E132" s="5" t="n">
        <v>1</v>
      </c>
      <c r="F132" s="5" t="inlineStr">
        <is>
          <t>D</t>
        </is>
      </c>
      <c r="G132" s="5">
        <f>IF(C132="카드",INDEX(비용표!$C$2:$C$7,MATCH(F132,비용표!$B$2:$B$7,0)),F132*INDEX(비용표!$C$8:$C$9,MATCH(C132,비용표!$B$8:$B$9,0)))</f>
        <v/>
      </c>
      <c r="H132" s="5">
        <f>G132*E132</f>
        <v/>
      </c>
      <c r="I132" s="10">
        <f>IF(A132=A131,I131&amp;" · ","")&amp;IF(C132="카드",D132&amp;E132,"["&amp;C132&amp;"] "&amp;D132)</f>
        <v/>
      </c>
    </row>
    <row r="133">
      <c r="A133" s="5" t="n">
        <v>39</v>
      </c>
      <c r="B133" s="5" t="n">
        <v>2</v>
      </c>
      <c r="C133" s="5" t="inlineStr">
        <is>
          <t>카드</t>
        </is>
      </c>
      <c r="D133" s="5" t="inlineStr">
        <is>
          <t>조조</t>
        </is>
      </c>
      <c r="E133" s="5" t="n">
        <v>1</v>
      </c>
      <c r="F133" s="5" t="inlineStr">
        <is>
          <t>S</t>
        </is>
      </c>
      <c r="G133" s="5">
        <f>IF(C133="카드",INDEX(비용표!$C$2:$C$7,MATCH(F133,비용표!$B$2:$B$7,0)),F133*INDEX(비용표!$C$8:$C$9,MATCH(C133,비용표!$B$8:$B$9,0)))</f>
        <v/>
      </c>
      <c r="H133" s="5">
        <f>G133*E133</f>
        <v/>
      </c>
      <c r="I133" s="10">
        <f>IF(A133=A132,I132&amp;" · ","")&amp;IF(C133="카드",D133&amp;E133,"["&amp;C133&amp;"] "&amp;D133)</f>
        <v/>
      </c>
    </row>
    <row r="134">
      <c r="A134" s="5" t="n">
        <v>39</v>
      </c>
      <c r="B134" s="5" t="n">
        <v>3</v>
      </c>
      <c r="C134" s="5" t="inlineStr">
        <is>
          <t>카드</t>
        </is>
      </c>
      <c r="D134" s="5" t="inlineStr">
        <is>
          <t>순우경</t>
        </is>
      </c>
      <c r="E134" s="5" t="n">
        <v>1</v>
      </c>
      <c r="F134" s="5" t="inlineStr">
        <is>
          <t>B</t>
        </is>
      </c>
      <c r="G134" s="5">
        <f>IF(C134="카드",INDEX(비용표!$C$2:$C$7,MATCH(F134,비용표!$B$2:$B$7,0)),F134*INDEX(비용표!$C$8:$C$9,MATCH(C134,비용표!$B$8:$B$9,0)))</f>
        <v/>
      </c>
      <c r="H134" s="5">
        <f>G134*E134</f>
        <v/>
      </c>
      <c r="I134" s="10">
        <f>IF(A134=A133,I133&amp;" · ","")&amp;IF(C134="카드",D134&amp;E134,"["&amp;C134&amp;"] "&amp;D134)</f>
        <v/>
      </c>
    </row>
    <row r="135">
      <c r="A135" s="5" t="n">
        <v>39</v>
      </c>
      <c r="B135" s="5" t="n">
        <v>4</v>
      </c>
      <c r="C135" s="5" t="inlineStr">
        <is>
          <t>카드</t>
        </is>
      </c>
      <c r="D135" s="5" t="inlineStr">
        <is>
          <t>저수</t>
        </is>
      </c>
      <c r="E135" s="5" t="n">
        <v>1</v>
      </c>
      <c r="F135" s="5" t="inlineStr">
        <is>
          <t>A</t>
        </is>
      </c>
      <c r="G135" s="5">
        <f>IF(C135="카드",INDEX(비용표!$C$2:$C$7,MATCH(F135,비용표!$B$2:$B$7,0)),F135*INDEX(비용표!$C$8:$C$9,MATCH(C135,비용표!$B$8:$B$9,0)))</f>
        <v/>
      </c>
      <c r="H135" s="5">
        <f>G135*E135</f>
        <v/>
      </c>
      <c r="I135" s="10">
        <f>IF(A135=A134,I134&amp;" · ","")&amp;IF(C135="카드",D135&amp;E135,"["&amp;C135&amp;"] "&amp;D135)</f>
        <v/>
      </c>
    </row>
    <row r="136">
      <c r="A136" s="5" t="n">
        <v>40</v>
      </c>
      <c r="B136" s="5" t="n">
        <v>1</v>
      </c>
      <c r="C136" s="5" t="inlineStr">
        <is>
          <t>카드</t>
        </is>
      </c>
      <c r="D136" s="5" t="inlineStr">
        <is>
          <t>관우</t>
        </is>
      </c>
      <c r="E136" s="5" t="n">
        <v>1</v>
      </c>
      <c r="F136" s="5" t="inlineStr">
        <is>
          <t>S</t>
        </is>
      </c>
      <c r="G136" s="5">
        <f>IF(C136="카드",INDEX(비용표!$C$2:$C$7,MATCH(F136,비용표!$B$2:$B$7,0)),F136*INDEX(비용표!$C$8:$C$9,MATCH(C136,비용표!$B$8:$B$9,0)))</f>
        <v/>
      </c>
      <c r="H136" s="5">
        <f>G136*E136</f>
        <v/>
      </c>
      <c r="I136" s="10">
        <f>IF(A136=A135,I135&amp;" · ","")&amp;IF(C136="카드",D136&amp;E136,"["&amp;C136&amp;"] "&amp;D136)</f>
        <v/>
      </c>
    </row>
    <row r="137">
      <c r="A137" s="5" t="n">
        <v>40</v>
      </c>
      <c r="B137" s="5" t="n">
        <v>2</v>
      </c>
      <c r="C137" s="5" t="inlineStr">
        <is>
          <t>카드</t>
        </is>
      </c>
      <c r="D137" s="5" t="inlineStr">
        <is>
          <t>진기</t>
        </is>
      </c>
      <c r="E137" s="5" t="n">
        <v>1</v>
      </c>
      <c r="F137" s="5" t="inlineStr">
        <is>
          <t>C</t>
        </is>
      </c>
      <c r="G137" s="5">
        <f>IF(C137="카드",INDEX(비용표!$C$2:$C$7,MATCH(F137,비용표!$B$2:$B$7,0)),F137*INDEX(비용표!$C$8:$C$9,MATCH(C137,비용표!$B$8:$B$9,0)))</f>
        <v/>
      </c>
      <c r="H137" s="5">
        <f>G137*E137</f>
        <v/>
      </c>
      <c r="I137" s="10">
        <f>IF(A137=A136,I136&amp;" · ","")&amp;IF(C137="카드",D137&amp;E137,"["&amp;C137&amp;"] "&amp;D137)</f>
        <v/>
      </c>
    </row>
    <row r="138">
      <c r="A138" s="5" t="n">
        <v>40</v>
      </c>
      <c r="B138" s="5" t="n">
        <v>3</v>
      </c>
      <c r="C138" s="5" t="inlineStr">
        <is>
          <t>카드</t>
        </is>
      </c>
      <c r="D138" s="5" t="inlineStr">
        <is>
          <t>손건</t>
        </is>
      </c>
      <c r="E138" s="5" t="n">
        <v>1</v>
      </c>
      <c r="F138" s="5" t="inlineStr">
        <is>
          <t>B</t>
        </is>
      </c>
      <c r="G138" s="5">
        <f>IF(C138="카드",INDEX(비용표!$C$2:$C$7,MATCH(F138,비용표!$B$2:$B$7,0)),F138*INDEX(비용표!$C$8:$C$9,MATCH(C138,비용표!$B$8:$B$9,0)))</f>
        <v/>
      </c>
      <c r="H138" s="5">
        <f>G138*E138</f>
        <v/>
      </c>
      <c r="I138" s="10">
        <f>IF(A138=A137,I137&amp;" · ","")&amp;IF(C138="카드",D138&amp;E138,"["&amp;C138&amp;"] "&amp;D138)</f>
        <v/>
      </c>
    </row>
    <row r="139">
      <c r="A139" s="5" t="n">
        <v>40</v>
      </c>
      <c r="B139" s="5" t="n">
        <v>4</v>
      </c>
      <c r="C139" s="5" t="inlineStr">
        <is>
          <t>카드</t>
        </is>
      </c>
      <c r="D139" s="5" t="inlineStr">
        <is>
          <t>하후돈</t>
        </is>
      </c>
      <c r="E139" s="5" t="n">
        <v>1</v>
      </c>
      <c r="F139" s="5" t="inlineStr">
        <is>
          <t>S</t>
        </is>
      </c>
      <c r="G139" s="5">
        <f>IF(C139="카드",INDEX(비용표!$C$2:$C$7,MATCH(F139,비용표!$B$2:$B$7,0)),F139*INDEX(비용표!$C$8:$C$9,MATCH(C139,비용표!$B$8:$B$9,0)))</f>
        <v/>
      </c>
      <c r="H139" s="5">
        <f>G139*E139</f>
        <v/>
      </c>
      <c r="I139" s="10">
        <f>IF(A139=A138,I138&amp;" · ","")&amp;IF(C139="카드",D139&amp;E139,"["&amp;C139&amp;"] "&amp;D139)</f>
        <v/>
      </c>
    </row>
    <row r="140">
      <c r="A140" s="5" t="n">
        <v>40</v>
      </c>
      <c r="B140" s="5" t="n">
        <v>5</v>
      </c>
      <c r="C140" s="5" t="inlineStr">
        <is>
          <t>병기</t>
        </is>
      </c>
      <c r="D140" s="5" t="inlineStr">
        <is>
          <t>청룡언월도</t>
        </is>
      </c>
      <c r="E140" s="5" t="n">
        <v>1</v>
      </c>
      <c r="F140" s="5" t="n">
        <v>5</v>
      </c>
      <c r="G140" s="5">
        <f>IF(C140="카드",INDEX(비용표!$C$2:$C$7,MATCH(F140,비용표!$B$2:$B$7,0)),F140*INDEX(비용표!$C$8:$C$9,MATCH(C140,비용표!$B$8:$B$9,0)))</f>
        <v/>
      </c>
      <c r="H140" s="5">
        <f>G140*E140</f>
        <v/>
      </c>
      <c r="I140" s="10">
        <f>IF(A140=A139,I139&amp;" · ","")&amp;IF(C140="카드",D140&amp;E140,"["&amp;C140&amp;"] "&amp;D140)</f>
        <v/>
      </c>
    </row>
    <row r="141">
      <c r="A141" s="5" t="n">
        <v>41</v>
      </c>
      <c r="B141" s="5" t="n">
        <v>1</v>
      </c>
      <c r="C141" s="5" t="inlineStr">
        <is>
          <t>카드</t>
        </is>
      </c>
      <c r="D141" s="5" t="inlineStr">
        <is>
          <t>관우</t>
        </is>
      </c>
      <c r="E141" s="5" t="n">
        <v>1</v>
      </c>
      <c r="F141" s="5" t="inlineStr">
        <is>
          <t>S</t>
        </is>
      </c>
      <c r="G141" s="5">
        <f>IF(C141="카드",INDEX(비용표!$C$2:$C$7,MATCH(F141,비용표!$B$2:$B$7,0)),F141*INDEX(비용표!$C$8:$C$9,MATCH(C141,비용표!$B$8:$B$9,0)))</f>
        <v/>
      </c>
      <c r="H141" s="5">
        <f>G141*E141</f>
        <v/>
      </c>
      <c r="I141" s="10">
        <f>IF(A141=A140,I140&amp;" · ","")&amp;IF(C141="카드",D141&amp;E141,"["&amp;C141&amp;"] "&amp;D141)</f>
        <v/>
      </c>
    </row>
    <row r="142">
      <c r="A142" s="5" t="n">
        <v>41</v>
      </c>
      <c r="B142" s="5" t="n">
        <v>2</v>
      </c>
      <c r="C142" s="5" t="inlineStr">
        <is>
          <t>카드</t>
        </is>
      </c>
      <c r="D142" s="5" t="inlineStr">
        <is>
          <t>장비</t>
        </is>
      </c>
      <c r="E142" s="5" t="n">
        <v>1</v>
      </c>
      <c r="F142" s="5" t="inlineStr">
        <is>
          <t>S</t>
        </is>
      </c>
      <c r="G142" s="5">
        <f>IF(C142="카드",INDEX(비용표!$C$2:$C$7,MATCH(F142,비용표!$B$2:$B$7,0)),F142*INDEX(비용표!$C$8:$C$9,MATCH(C142,비용표!$B$8:$B$9,0)))</f>
        <v/>
      </c>
      <c r="H142" s="5">
        <f>G142*E142</f>
        <v/>
      </c>
      <c r="I142" s="10">
        <f>IF(A142=A141,I141&amp;" · ","")&amp;IF(C142="카드",D142&amp;E142,"["&amp;C142&amp;"] "&amp;D142)</f>
        <v/>
      </c>
    </row>
    <row r="143">
      <c r="A143" s="5" t="n">
        <v>41</v>
      </c>
      <c r="B143" s="5" t="n">
        <v>3</v>
      </c>
      <c r="C143" s="5" t="inlineStr">
        <is>
          <t>카드</t>
        </is>
      </c>
      <c r="D143" s="5" t="inlineStr">
        <is>
          <t>유비</t>
        </is>
      </c>
      <c r="E143" s="5" t="n">
        <v>1</v>
      </c>
      <c r="F143" s="5" t="inlineStr">
        <is>
          <t>S</t>
        </is>
      </c>
      <c r="G143" s="5">
        <f>IF(C143="카드",INDEX(비용표!$C$2:$C$7,MATCH(F143,비용표!$B$2:$B$7,0)),F143*INDEX(비용표!$C$8:$C$9,MATCH(C143,비용표!$B$8:$B$9,0)))</f>
        <v/>
      </c>
      <c r="H143" s="5">
        <f>G143*E143</f>
        <v/>
      </c>
      <c r="I143" s="10">
        <f>IF(A143=A142,I142&amp;" · ","")&amp;IF(C143="카드",D143&amp;E143,"["&amp;C143&amp;"] "&amp;D143)</f>
        <v/>
      </c>
    </row>
    <row r="144">
      <c r="A144" s="5" t="n">
        <v>41</v>
      </c>
      <c r="B144" s="5" t="n">
        <v>4</v>
      </c>
      <c r="C144" s="5" t="inlineStr">
        <is>
          <t>카드</t>
        </is>
      </c>
      <c r="D144" s="5" t="inlineStr">
        <is>
          <t>조운</t>
        </is>
      </c>
      <c r="E144" s="5" t="n">
        <v>1</v>
      </c>
      <c r="F144" s="5" t="inlineStr">
        <is>
          <t>S</t>
        </is>
      </c>
      <c r="G144" s="5">
        <f>IF(C144="카드",INDEX(비용표!$C$2:$C$7,MATCH(F144,비용표!$B$2:$B$7,0)),F144*INDEX(비용표!$C$8:$C$9,MATCH(C144,비용표!$B$8:$B$9,0)))</f>
        <v/>
      </c>
      <c r="H144" s="5">
        <f>G144*E144</f>
        <v/>
      </c>
      <c r="I144" s="10">
        <f>IF(A144=A143,I143&amp;" · ","")&amp;IF(C144="카드",D144&amp;E144,"["&amp;C144&amp;"] "&amp;D144)</f>
        <v/>
      </c>
    </row>
    <row r="145">
      <c r="A145" s="5" t="n">
        <v>41</v>
      </c>
      <c r="B145" s="5" t="n">
        <v>5</v>
      </c>
      <c r="C145" s="5" t="inlineStr">
        <is>
          <t>카드</t>
        </is>
      </c>
      <c r="D145" s="5" t="inlineStr">
        <is>
          <t>주창</t>
        </is>
      </c>
      <c r="E145" s="5" t="n">
        <v>1</v>
      </c>
      <c r="F145" s="5" t="inlineStr">
        <is>
          <t>A</t>
        </is>
      </c>
      <c r="G145" s="5">
        <f>IF(C145="카드",INDEX(비용표!$C$2:$C$7,MATCH(F145,비용표!$B$2:$B$7,0)),F145*INDEX(비용표!$C$8:$C$9,MATCH(C145,비용표!$B$8:$B$9,0)))</f>
        <v/>
      </c>
      <c r="H145" s="5">
        <f>G145*E145</f>
        <v/>
      </c>
      <c r="I145" s="10">
        <f>IF(A145=A144,I144&amp;" · ","")&amp;IF(C145="카드",D145&amp;E145,"["&amp;C145&amp;"] "&amp;D145)</f>
        <v/>
      </c>
    </row>
    <row r="146">
      <c r="A146" s="5" t="n">
        <v>42</v>
      </c>
      <c r="B146" s="5" t="n">
        <v>1</v>
      </c>
      <c r="C146" s="5" t="inlineStr">
        <is>
          <t>카드</t>
        </is>
      </c>
      <c r="D146" s="5" t="inlineStr">
        <is>
          <t>하후돈</t>
        </is>
      </c>
      <c r="E146" s="5" t="n">
        <v>1</v>
      </c>
      <c r="F146" s="5" t="inlineStr">
        <is>
          <t>S</t>
        </is>
      </c>
      <c r="G146" s="5">
        <f>IF(C146="카드",INDEX(비용표!$C$2:$C$7,MATCH(F146,비용표!$B$2:$B$7,0)),F146*INDEX(비용표!$C$8:$C$9,MATCH(C146,비용표!$B$8:$B$9,0)))</f>
        <v/>
      </c>
      <c r="H146" s="5">
        <f>G146*E146</f>
        <v/>
      </c>
      <c r="I146" s="10">
        <f>IF(A146=A145,I145&amp;" · ","")&amp;IF(C146="카드",D146&amp;E146,"["&amp;C146&amp;"] "&amp;D146)</f>
        <v/>
      </c>
    </row>
    <row r="147">
      <c r="A147" s="5" t="n">
        <v>42</v>
      </c>
      <c r="B147" s="5" t="n">
        <v>2</v>
      </c>
      <c r="C147" s="5" t="inlineStr">
        <is>
          <t>카드</t>
        </is>
      </c>
      <c r="D147" s="5" t="inlineStr">
        <is>
          <t>조성</t>
        </is>
      </c>
      <c r="E147" s="5" t="n">
        <v>1</v>
      </c>
      <c r="F147" s="5" t="inlineStr">
        <is>
          <t>C</t>
        </is>
      </c>
      <c r="G147" s="5">
        <f>IF(C147="카드",INDEX(비용표!$C$2:$C$7,MATCH(F147,비용표!$B$2:$B$7,0)),F147*INDEX(비용표!$C$8:$C$9,MATCH(C147,비용표!$B$8:$B$9,0)))</f>
        <v/>
      </c>
      <c r="H147" s="5">
        <f>G147*E147</f>
        <v/>
      </c>
      <c r="I147" s="10">
        <f>IF(A147=A146,I146&amp;" · ","")&amp;IF(C147="카드",D147&amp;E147,"["&amp;C147&amp;"] "&amp;D147)</f>
        <v/>
      </c>
    </row>
    <row r="148">
      <c r="A148" s="5" t="n">
        <v>43</v>
      </c>
      <c r="B148" s="5" t="n">
        <v>1</v>
      </c>
      <c r="C148" s="5" t="inlineStr">
        <is>
          <t>카드</t>
        </is>
      </c>
      <c r="D148" s="5" t="inlineStr">
        <is>
          <t>장료</t>
        </is>
      </c>
      <c r="E148" s="5" t="n">
        <v>1</v>
      </c>
      <c r="F148" s="5" t="inlineStr">
        <is>
          <t>S</t>
        </is>
      </c>
      <c r="G148" s="5">
        <f>IF(C148="카드",INDEX(비용표!$C$2:$C$7,MATCH(F148,비용표!$B$2:$B$7,0)),F148*INDEX(비용표!$C$8:$C$9,MATCH(C148,비용표!$B$8:$B$9,0)))</f>
        <v/>
      </c>
      <c r="H148" s="5">
        <f>G148*E148</f>
        <v/>
      </c>
      <c r="I148" s="10">
        <f>IF(A148=A147,I147&amp;" · ","")&amp;IF(C148="카드",D148&amp;E148,"["&amp;C148&amp;"] "&amp;D148)</f>
        <v/>
      </c>
    </row>
    <row r="149">
      <c r="A149" s="5" t="n">
        <v>43</v>
      </c>
      <c r="B149" s="5" t="n">
        <v>2</v>
      </c>
      <c r="C149" s="5" t="inlineStr">
        <is>
          <t>카드</t>
        </is>
      </c>
      <c r="D149" s="5" t="inlineStr">
        <is>
          <t>허저</t>
        </is>
      </c>
      <c r="E149" s="5" t="n">
        <v>1</v>
      </c>
      <c r="F149" s="5" t="inlineStr">
        <is>
          <t>S</t>
        </is>
      </c>
      <c r="G149" s="5">
        <f>IF(C149="카드",INDEX(비용표!$C$2:$C$7,MATCH(F149,비용표!$B$2:$B$7,0)),F149*INDEX(비용표!$C$8:$C$9,MATCH(C149,비용표!$B$8:$B$9,0)))</f>
        <v/>
      </c>
      <c r="H149" s="5">
        <f>G149*E149</f>
        <v/>
      </c>
      <c r="I149" s="10">
        <f>IF(A149=A148,I148&amp;" · ","")&amp;IF(C149="카드",D149&amp;E149,"["&amp;C149&amp;"] "&amp;D149)</f>
        <v/>
      </c>
    </row>
    <row r="150">
      <c r="A150" s="5" t="n">
        <v>43</v>
      </c>
      <c r="B150" s="5" t="n">
        <v>3</v>
      </c>
      <c r="C150" s="5" t="inlineStr">
        <is>
          <t>카드</t>
        </is>
      </c>
      <c r="D150" s="5" t="inlineStr">
        <is>
          <t>서황</t>
        </is>
      </c>
      <c r="E150" s="5" t="n">
        <v>1</v>
      </c>
      <c r="F150" s="5" t="inlineStr">
        <is>
          <t>S</t>
        </is>
      </c>
      <c r="G150" s="5">
        <f>IF(C150="카드",INDEX(비용표!$C$2:$C$7,MATCH(F150,비용표!$B$2:$B$7,0)),F150*INDEX(비용표!$C$8:$C$9,MATCH(C150,비용표!$B$8:$B$9,0)))</f>
        <v/>
      </c>
      <c r="H150" s="5">
        <f>G150*E150</f>
        <v/>
      </c>
      <c r="I150" s="10">
        <f>IF(A150=A149,I149&amp;" · ","")&amp;IF(C150="카드",D150&amp;E150,"["&amp;C150&amp;"] "&amp;D150)</f>
        <v/>
      </c>
    </row>
    <row r="151">
      <c r="A151" s="5" t="n">
        <v>43</v>
      </c>
      <c r="B151" s="5" t="n">
        <v>4</v>
      </c>
      <c r="C151" s="5" t="inlineStr">
        <is>
          <t>아이템</t>
        </is>
      </c>
      <c r="D151" s="5" t="inlineStr">
        <is>
          <t>대완마</t>
        </is>
      </c>
      <c r="E151" s="5" t="n">
        <v>1</v>
      </c>
      <c r="F151" s="5" t="n">
        <v>2</v>
      </c>
      <c r="G151" s="5">
        <f>IF(C151="카드",INDEX(비용표!$C$2:$C$7,MATCH(F151,비용표!$B$2:$B$7,0)),F151*INDEX(비용표!$C$8:$C$9,MATCH(C151,비용표!$B$8:$B$9,0)))</f>
        <v/>
      </c>
      <c r="H151" s="5">
        <f>G151*E151</f>
        <v/>
      </c>
      <c r="I151" s="10">
        <f>IF(A151=A150,I150&amp;" · ","")&amp;IF(C151="카드",D151&amp;E151,"["&amp;C151&amp;"] "&amp;D151)</f>
        <v/>
      </c>
    </row>
    <row r="152">
      <c r="A152" s="5" t="n">
        <v>44</v>
      </c>
      <c r="B152" s="5" t="n">
        <v>1</v>
      </c>
      <c r="C152" s="5" t="inlineStr">
        <is>
          <t>카드</t>
        </is>
      </c>
      <c r="D152" s="5" t="inlineStr">
        <is>
          <t>유비</t>
        </is>
      </c>
      <c r="E152" s="5" t="n">
        <v>1</v>
      </c>
      <c r="F152" s="5" t="inlineStr">
        <is>
          <t>S</t>
        </is>
      </c>
      <c r="G152" s="5">
        <f>IF(C152="카드",INDEX(비용표!$C$2:$C$7,MATCH(F152,비용표!$B$2:$B$7,0)),F152*INDEX(비용표!$C$8:$C$9,MATCH(C152,비용표!$B$8:$B$9,0)))</f>
        <v/>
      </c>
      <c r="H152" s="5">
        <f>G152*E152</f>
        <v/>
      </c>
      <c r="I152" s="10">
        <f>IF(A152=A151,I151&amp;" · ","")&amp;IF(C152="카드",D152&amp;E152,"["&amp;C152&amp;"] "&amp;D152)</f>
        <v/>
      </c>
    </row>
    <row r="153">
      <c r="A153" s="5" t="n">
        <v>44</v>
      </c>
      <c r="B153" s="5" t="n">
        <v>2</v>
      </c>
      <c r="C153" s="5" t="inlineStr">
        <is>
          <t>카드</t>
        </is>
      </c>
      <c r="D153" s="5" t="inlineStr">
        <is>
          <t>채모</t>
        </is>
      </c>
      <c r="E153" s="5" t="n">
        <v>1</v>
      </c>
      <c r="F153" s="5" t="inlineStr">
        <is>
          <t>B</t>
        </is>
      </c>
      <c r="G153" s="5">
        <f>IF(C153="카드",INDEX(비용표!$C$2:$C$7,MATCH(F153,비용표!$B$2:$B$7,0)),F153*INDEX(비용표!$C$8:$C$9,MATCH(C153,비용표!$B$8:$B$9,0)))</f>
        <v/>
      </c>
      <c r="H153" s="5">
        <f>G153*E153</f>
        <v/>
      </c>
      <c r="I153" s="10">
        <f>IF(A153=A152,I152&amp;" · ","")&amp;IF(C153="카드",D153&amp;E153,"["&amp;C153&amp;"] "&amp;D153)</f>
        <v/>
      </c>
    </row>
    <row r="154">
      <c r="A154" s="5" t="n">
        <v>44</v>
      </c>
      <c r="B154" s="5" t="n">
        <v>3</v>
      </c>
      <c r="C154" s="5" t="inlineStr">
        <is>
          <t>카드</t>
        </is>
      </c>
      <c r="D154" s="5" t="inlineStr">
        <is>
          <t>괴월</t>
        </is>
      </c>
      <c r="E154" s="5" t="n">
        <v>1</v>
      </c>
      <c r="F154" s="5" t="inlineStr">
        <is>
          <t>B</t>
        </is>
      </c>
      <c r="G154" s="5">
        <f>IF(C154="카드",INDEX(비용표!$C$2:$C$7,MATCH(F154,비용표!$B$2:$B$7,0)),F154*INDEX(비용표!$C$8:$C$9,MATCH(C154,비용표!$B$8:$B$9,0)))</f>
        <v/>
      </c>
      <c r="H154" s="5">
        <f>G154*E154</f>
        <v/>
      </c>
      <c r="I154" s="10">
        <f>IF(A154=A153,I153&amp;" · ","")&amp;IF(C154="카드",D154&amp;E154,"["&amp;C154&amp;"] "&amp;D154)</f>
        <v/>
      </c>
    </row>
    <row r="155">
      <c r="A155" s="5" t="n">
        <v>44</v>
      </c>
      <c r="B155" s="5" t="n">
        <v>4</v>
      </c>
      <c r="C155" s="5" t="inlineStr">
        <is>
          <t>아이템</t>
        </is>
      </c>
      <c r="D155" s="5" t="inlineStr">
        <is>
          <t>적로</t>
        </is>
      </c>
      <c r="E155" s="5" t="n">
        <v>1</v>
      </c>
      <c r="F155" s="5" t="n">
        <v>3</v>
      </c>
      <c r="G155" s="5">
        <f>IF(C155="카드",INDEX(비용표!$C$2:$C$7,MATCH(F155,비용표!$B$2:$B$7,0)),F155*INDEX(비용표!$C$8:$C$9,MATCH(C155,비용표!$B$8:$B$9,0)))</f>
        <v/>
      </c>
      <c r="H155" s="5">
        <f>G155*E155</f>
        <v/>
      </c>
      <c r="I155" s="10">
        <f>IF(A155=A154,I154&amp;" · ","")&amp;IF(C155="카드",D155&amp;E155,"["&amp;C155&amp;"] "&amp;D155)</f>
        <v/>
      </c>
    </row>
    <row r="156">
      <c r="A156" s="5" t="n">
        <v>45</v>
      </c>
      <c r="B156" s="5" t="n">
        <v>1</v>
      </c>
      <c r="C156" s="5" t="inlineStr">
        <is>
          <t>카드</t>
        </is>
      </c>
      <c r="D156" s="5" t="inlineStr">
        <is>
          <t>서서</t>
        </is>
      </c>
      <c r="E156" s="5" t="n">
        <v>1</v>
      </c>
      <c r="F156" s="5" t="inlineStr">
        <is>
          <t>S</t>
        </is>
      </c>
      <c r="G156" s="5">
        <f>IF(C156="카드",INDEX(비용표!$C$2:$C$7,MATCH(F156,비용표!$B$2:$B$7,0)),F156*INDEX(비용표!$C$8:$C$9,MATCH(C156,비용표!$B$8:$B$9,0)))</f>
        <v/>
      </c>
      <c r="H156" s="5">
        <f>G156*E156</f>
        <v/>
      </c>
      <c r="I156" s="10">
        <f>IF(A156=A155,I155&amp;" · ","")&amp;IF(C156="카드",D156&amp;E156,"["&amp;C156&amp;"] "&amp;D156)</f>
        <v/>
      </c>
    </row>
    <row r="157">
      <c r="A157" s="5" t="n">
        <v>45</v>
      </c>
      <c r="B157" s="5" t="n">
        <v>2</v>
      </c>
      <c r="C157" s="5" t="inlineStr">
        <is>
          <t>카드</t>
        </is>
      </c>
      <c r="D157" s="5" t="inlineStr">
        <is>
          <t>유비</t>
        </is>
      </c>
      <c r="E157" s="5" t="n">
        <v>1</v>
      </c>
      <c r="F157" s="5" t="inlineStr">
        <is>
          <t>S</t>
        </is>
      </c>
      <c r="G157" s="5">
        <f>IF(C157="카드",INDEX(비용표!$C$2:$C$7,MATCH(F157,비용표!$B$2:$B$7,0)),F157*INDEX(비용표!$C$8:$C$9,MATCH(C157,비용표!$B$8:$B$9,0)))</f>
        <v/>
      </c>
      <c r="H157" s="5">
        <f>G157*E157</f>
        <v/>
      </c>
      <c r="I157" s="10">
        <f>IF(A157=A156,I156&amp;" · ","")&amp;IF(C157="카드",D157&amp;E157,"["&amp;C157&amp;"] "&amp;D157)</f>
        <v/>
      </c>
    </row>
    <row r="158">
      <c r="A158" s="5" t="n">
        <v>45</v>
      </c>
      <c r="B158" s="5" t="n">
        <v>3</v>
      </c>
      <c r="C158" s="5" t="inlineStr">
        <is>
          <t>카드</t>
        </is>
      </c>
      <c r="D158" s="5" t="inlineStr">
        <is>
          <t>조인</t>
        </is>
      </c>
      <c r="E158" s="5" t="n">
        <v>1</v>
      </c>
      <c r="F158" s="5" t="inlineStr">
        <is>
          <t>A</t>
        </is>
      </c>
      <c r="G158" s="5">
        <f>IF(C158="카드",INDEX(비용표!$C$2:$C$7,MATCH(F158,비용표!$B$2:$B$7,0)),F158*INDEX(비용표!$C$8:$C$9,MATCH(C158,비용표!$B$8:$B$9,0)))</f>
        <v/>
      </c>
      <c r="H158" s="5">
        <f>G158*E158</f>
        <v/>
      </c>
      <c r="I158" s="10">
        <f>IF(A158=A157,I157&amp;" · ","")&amp;IF(C158="카드",D158&amp;E158,"["&amp;C158&amp;"] "&amp;D158)</f>
        <v/>
      </c>
    </row>
    <row r="159">
      <c r="A159" s="5" t="n">
        <v>46</v>
      </c>
      <c r="B159" s="5" t="n">
        <v>1</v>
      </c>
      <c r="C159" s="5" t="inlineStr">
        <is>
          <t>카드</t>
        </is>
      </c>
      <c r="D159" s="5" t="inlineStr">
        <is>
          <t>서서</t>
        </is>
      </c>
      <c r="E159" s="5" t="n">
        <v>1</v>
      </c>
      <c r="F159" s="5" t="inlineStr">
        <is>
          <t>S</t>
        </is>
      </c>
      <c r="G159" s="5">
        <f>IF(C159="카드",INDEX(비용표!$C$2:$C$7,MATCH(F159,비용표!$B$2:$B$7,0)),F159*INDEX(비용표!$C$8:$C$9,MATCH(C159,비용표!$B$8:$B$9,0)))</f>
        <v/>
      </c>
      <c r="H159" s="5">
        <f>G159*E159</f>
        <v/>
      </c>
      <c r="I159" s="10">
        <f>IF(A159=A158,I158&amp;" · ","")&amp;IF(C159="카드",D159&amp;E159,"["&amp;C159&amp;"] "&amp;D159)</f>
        <v/>
      </c>
    </row>
    <row r="160">
      <c r="A160" s="5" t="n">
        <v>46</v>
      </c>
      <c r="B160" s="5" t="n">
        <v>2</v>
      </c>
      <c r="C160" s="5" t="inlineStr">
        <is>
          <t>카드</t>
        </is>
      </c>
      <c r="D160" s="5" t="inlineStr">
        <is>
          <t>정욱</t>
        </is>
      </c>
      <c r="E160" s="5" t="n">
        <v>1</v>
      </c>
      <c r="F160" s="5" t="inlineStr">
        <is>
          <t>A</t>
        </is>
      </c>
      <c r="G160" s="5">
        <f>IF(C160="카드",INDEX(비용표!$C$2:$C$7,MATCH(F160,비용표!$B$2:$B$7,0)),F160*INDEX(비용표!$C$8:$C$9,MATCH(C160,비용표!$B$8:$B$9,0)))</f>
        <v/>
      </c>
      <c r="H160" s="5">
        <f>G160*E160</f>
        <v/>
      </c>
      <c r="I160" s="10">
        <f>IF(A160=A159,I159&amp;" · ","")&amp;IF(C160="카드",D160&amp;E160,"["&amp;C160&amp;"] "&amp;D160)</f>
        <v/>
      </c>
    </row>
    <row r="161">
      <c r="A161" s="5" t="n">
        <v>46</v>
      </c>
      <c r="B161" s="5" t="n">
        <v>3</v>
      </c>
      <c r="C161" s="5" t="inlineStr">
        <is>
          <t>카드</t>
        </is>
      </c>
      <c r="D161" s="5" t="inlineStr">
        <is>
          <t>조조</t>
        </is>
      </c>
      <c r="E161" s="5" t="n">
        <v>1</v>
      </c>
      <c r="F161" s="5" t="inlineStr">
        <is>
          <t>S</t>
        </is>
      </c>
      <c r="G161" s="5">
        <f>IF(C161="카드",INDEX(비용표!$C$2:$C$7,MATCH(F161,비용표!$B$2:$B$7,0)),F161*INDEX(비용표!$C$8:$C$9,MATCH(C161,비용표!$B$8:$B$9,0)))</f>
        <v/>
      </c>
      <c r="H161" s="5">
        <f>G161*E161</f>
        <v/>
      </c>
      <c r="I161" s="10">
        <f>IF(A161=A160,I160&amp;" · ","")&amp;IF(C161="카드",D161&amp;E161,"["&amp;C161&amp;"] "&amp;D161)</f>
        <v/>
      </c>
    </row>
    <row r="162">
      <c r="A162" s="5" t="n">
        <v>47</v>
      </c>
      <c r="B162" s="5" t="n">
        <v>1</v>
      </c>
      <c r="C162" s="5" t="inlineStr">
        <is>
          <t>카드</t>
        </is>
      </c>
      <c r="D162" s="5" t="inlineStr">
        <is>
          <t>유비</t>
        </is>
      </c>
      <c r="E162" s="5" t="n">
        <v>1</v>
      </c>
      <c r="F162" s="5" t="inlineStr">
        <is>
          <t>S</t>
        </is>
      </c>
      <c r="G162" s="5">
        <f>IF(C162="카드",INDEX(비용표!$C$2:$C$7,MATCH(F162,비용표!$B$2:$B$7,0)),F162*INDEX(비용표!$C$8:$C$9,MATCH(C162,비용표!$B$8:$B$9,0)))</f>
        <v/>
      </c>
      <c r="H162" s="5">
        <f>G162*E162</f>
        <v/>
      </c>
      <c r="I162" s="10">
        <f>IF(A162=A161,I161&amp;" · ","")&amp;IF(C162="카드",D162&amp;E162,"["&amp;C162&amp;"] "&amp;D162)</f>
        <v/>
      </c>
    </row>
    <row r="163">
      <c r="A163" s="5" t="n">
        <v>47</v>
      </c>
      <c r="B163" s="5" t="n">
        <v>2</v>
      </c>
      <c r="C163" s="5" t="inlineStr">
        <is>
          <t>카드</t>
        </is>
      </c>
      <c r="D163" s="5" t="inlineStr">
        <is>
          <t>관우</t>
        </is>
      </c>
      <c r="E163" s="5" t="n">
        <v>1</v>
      </c>
      <c r="F163" s="5" t="inlineStr">
        <is>
          <t>S</t>
        </is>
      </c>
      <c r="G163" s="5">
        <f>IF(C163="카드",INDEX(비용표!$C$2:$C$7,MATCH(F163,비용표!$B$2:$B$7,0)),F163*INDEX(비용표!$C$8:$C$9,MATCH(C163,비용표!$B$8:$B$9,0)))</f>
        <v/>
      </c>
      <c r="H163" s="5">
        <f>G163*E163</f>
        <v/>
      </c>
      <c r="I163" s="10">
        <f>IF(A163=A162,I162&amp;" · ","")&amp;IF(C163="카드",D163&amp;E163,"["&amp;C163&amp;"] "&amp;D163)</f>
        <v/>
      </c>
    </row>
    <row r="164">
      <c r="A164" s="5" t="n">
        <v>47</v>
      </c>
      <c r="B164" s="5" t="n">
        <v>3</v>
      </c>
      <c r="C164" s="5" t="inlineStr">
        <is>
          <t>카드</t>
        </is>
      </c>
      <c r="D164" s="5" t="inlineStr">
        <is>
          <t>장비</t>
        </is>
      </c>
      <c r="E164" s="5" t="n">
        <v>1</v>
      </c>
      <c r="F164" s="5" t="inlineStr">
        <is>
          <t>S</t>
        </is>
      </c>
      <c r="G164" s="5">
        <f>IF(C164="카드",INDEX(비용표!$C$2:$C$7,MATCH(F164,비용표!$B$2:$B$7,0)),F164*INDEX(비용표!$C$8:$C$9,MATCH(C164,비용표!$B$8:$B$9,0)))</f>
        <v/>
      </c>
      <c r="H164" s="5">
        <f>G164*E164</f>
        <v/>
      </c>
      <c r="I164" s="10">
        <f>IF(A164=A163,I163&amp;" · ","")&amp;IF(C164="카드",D164&amp;E164,"["&amp;C164&amp;"] "&amp;D164)</f>
        <v/>
      </c>
    </row>
    <row r="165">
      <c r="A165" s="5" t="n">
        <v>47</v>
      </c>
      <c r="B165" s="5" t="n">
        <v>4</v>
      </c>
      <c r="C165" s="5" t="inlineStr">
        <is>
          <t>카드</t>
        </is>
      </c>
      <c r="D165" s="5" t="inlineStr">
        <is>
          <t>제갈량</t>
        </is>
      </c>
      <c r="E165" s="5" t="n">
        <v>1</v>
      </c>
      <c r="F165" s="5" t="inlineStr">
        <is>
          <t>S</t>
        </is>
      </c>
      <c r="G165" s="5">
        <f>IF(C165="카드",INDEX(비용표!$C$2:$C$7,MATCH(F165,비용표!$B$2:$B$7,0)),F165*INDEX(비용표!$C$8:$C$9,MATCH(C165,비용표!$B$8:$B$9,0)))</f>
        <v/>
      </c>
      <c r="H165" s="5">
        <f>G165*E165</f>
        <v/>
      </c>
      <c r="I165" s="10">
        <f>IF(A165=A164,I164&amp;" · ","")&amp;IF(C165="카드",D165&amp;E165,"["&amp;C165&amp;"] "&amp;D165)</f>
        <v/>
      </c>
    </row>
    <row r="166">
      <c r="A166" s="5" t="n">
        <v>47</v>
      </c>
      <c r="B166" s="5" t="n">
        <v>5</v>
      </c>
      <c r="C166" s="5" t="inlineStr">
        <is>
          <t>카드</t>
        </is>
      </c>
      <c r="D166" s="5" t="inlineStr">
        <is>
          <t>서서</t>
        </is>
      </c>
      <c r="E166" s="5" t="n">
        <v>1</v>
      </c>
      <c r="F166" s="5" t="inlineStr">
        <is>
          <t>S</t>
        </is>
      </c>
      <c r="G166" s="5">
        <f>IF(C166="카드",INDEX(비용표!$C$2:$C$7,MATCH(F166,비용표!$B$2:$B$7,0)),F166*INDEX(비용표!$C$8:$C$9,MATCH(C166,비용표!$B$8:$B$9,0)))</f>
        <v/>
      </c>
      <c r="H166" s="5">
        <f>G166*E166</f>
        <v/>
      </c>
      <c r="I166" s="10">
        <f>IF(A166=A165,I165&amp;" · ","")&amp;IF(C166="카드",D166&amp;E166,"["&amp;C166&amp;"] "&amp;D166)</f>
        <v/>
      </c>
    </row>
    <row r="167">
      <c r="A167" s="5" t="n">
        <v>48</v>
      </c>
      <c r="B167" s="5" t="n">
        <v>1</v>
      </c>
      <c r="C167" s="5" t="inlineStr">
        <is>
          <t>카드</t>
        </is>
      </c>
      <c r="D167" s="5" t="inlineStr">
        <is>
          <t>제갈량</t>
        </is>
      </c>
      <c r="E167" s="5" t="n">
        <v>1</v>
      </c>
      <c r="F167" s="5" t="inlineStr">
        <is>
          <t>S</t>
        </is>
      </c>
      <c r="G167" s="5">
        <f>IF(C167="카드",INDEX(비용표!$C$2:$C$7,MATCH(F167,비용표!$B$2:$B$7,0)),F167*INDEX(비용표!$C$8:$C$9,MATCH(C167,비용표!$B$8:$B$9,0)))</f>
        <v/>
      </c>
      <c r="H167" s="5">
        <f>G167*E167</f>
        <v/>
      </c>
      <c r="I167" s="10">
        <f>IF(A167=A166,I166&amp;" · ","")&amp;IF(C167="카드",D167&amp;E167,"["&amp;C167&amp;"] "&amp;D167)</f>
        <v/>
      </c>
    </row>
    <row r="168">
      <c r="A168" s="5" t="n">
        <v>48</v>
      </c>
      <c r="B168" s="5" t="n">
        <v>2</v>
      </c>
      <c r="C168" s="5" t="inlineStr">
        <is>
          <t>카드</t>
        </is>
      </c>
      <c r="D168" s="5" t="inlineStr">
        <is>
          <t>하후돈</t>
        </is>
      </c>
      <c r="E168" s="5" t="n">
        <v>1</v>
      </c>
      <c r="F168" s="5" t="inlineStr">
        <is>
          <t>S</t>
        </is>
      </c>
      <c r="G168" s="5">
        <f>IF(C168="카드",INDEX(비용표!$C$2:$C$7,MATCH(F168,비용표!$B$2:$B$7,0)),F168*INDEX(비용표!$C$8:$C$9,MATCH(C168,비용표!$B$8:$B$9,0)))</f>
        <v/>
      </c>
      <c r="H168" s="5">
        <f>G168*E168</f>
        <v/>
      </c>
      <c r="I168" s="10">
        <f>IF(A168=A167,I167&amp;" · ","")&amp;IF(C168="카드",D168&amp;E168,"["&amp;C168&amp;"] "&amp;D168)</f>
        <v/>
      </c>
    </row>
    <row r="169">
      <c r="A169" s="5" t="n">
        <v>48</v>
      </c>
      <c r="B169" s="5" t="n">
        <v>3</v>
      </c>
      <c r="C169" s="5" t="inlineStr">
        <is>
          <t>카드</t>
        </is>
      </c>
      <c r="D169" s="5" t="inlineStr">
        <is>
          <t>관우</t>
        </is>
      </c>
      <c r="E169" s="5" t="n">
        <v>1</v>
      </c>
      <c r="F169" s="5" t="inlineStr">
        <is>
          <t>S</t>
        </is>
      </c>
      <c r="G169" s="5">
        <f>IF(C169="카드",INDEX(비용표!$C$2:$C$7,MATCH(F169,비용표!$B$2:$B$7,0)),F169*INDEX(비용표!$C$8:$C$9,MATCH(C169,비용표!$B$8:$B$9,0)))</f>
        <v/>
      </c>
      <c r="H169" s="5">
        <f>G169*E169</f>
        <v/>
      </c>
      <c r="I169" s="10">
        <f>IF(A169=A168,I168&amp;" · ","")&amp;IF(C169="카드",D169&amp;E169,"["&amp;C169&amp;"] "&amp;D169)</f>
        <v/>
      </c>
    </row>
    <row r="170">
      <c r="A170" s="5" t="n">
        <v>48</v>
      </c>
      <c r="B170" s="5" t="n">
        <v>4</v>
      </c>
      <c r="C170" s="5" t="inlineStr">
        <is>
          <t>카드</t>
        </is>
      </c>
      <c r="D170" s="5" t="inlineStr">
        <is>
          <t>장비</t>
        </is>
      </c>
      <c r="E170" s="5" t="n">
        <v>1</v>
      </c>
      <c r="F170" s="5" t="inlineStr">
        <is>
          <t>S</t>
        </is>
      </c>
      <c r="G170" s="5">
        <f>IF(C170="카드",INDEX(비용표!$C$2:$C$7,MATCH(F170,비용표!$B$2:$B$7,0)),F170*INDEX(비용표!$C$8:$C$9,MATCH(C170,비용표!$B$8:$B$9,0)))</f>
        <v/>
      </c>
      <c r="H170" s="5">
        <f>G170*E170</f>
        <v/>
      </c>
      <c r="I170" s="10">
        <f>IF(A170=A169,I169&amp;" · ","")&amp;IF(C170="카드",D170&amp;E170,"["&amp;C170&amp;"] "&amp;D170)</f>
        <v/>
      </c>
    </row>
    <row r="171">
      <c r="A171" s="5" t="n">
        <v>48</v>
      </c>
      <c r="B171" s="5" t="n">
        <v>5</v>
      </c>
      <c r="C171" s="5" t="inlineStr">
        <is>
          <t>카드</t>
        </is>
      </c>
      <c r="D171" s="5" t="inlineStr">
        <is>
          <t>조운</t>
        </is>
      </c>
      <c r="E171" s="5" t="n">
        <v>1</v>
      </c>
      <c r="F171" s="5" t="inlineStr">
        <is>
          <t>S</t>
        </is>
      </c>
      <c r="G171" s="5">
        <f>IF(C171="카드",INDEX(비용표!$C$2:$C$7,MATCH(F171,비용표!$B$2:$B$7,0)),F171*INDEX(비용표!$C$8:$C$9,MATCH(C171,비용표!$B$8:$B$9,0)))</f>
        <v/>
      </c>
      <c r="H171" s="5">
        <f>G171*E171</f>
        <v/>
      </c>
      <c r="I171" s="10">
        <f>IF(A171=A170,I170&amp;" · ","")&amp;IF(C171="카드",D171&amp;E171,"["&amp;C171&amp;"] "&amp;D171)</f>
        <v/>
      </c>
    </row>
    <row r="172">
      <c r="A172" s="5" t="n">
        <v>49</v>
      </c>
      <c r="B172" s="5" t="n">
        <v>1</v>
      </c>
      <c r="C172" s="5" t="inlineStr">
        <is>
          <t>카드</t>
        </is>
      </c>
      <c r="D172" s="5" t="inlineStr">
        <is>
          <t>유종</t>
        </is>
      </c>
      <c r="E172" s="5" t="n">
        <v>1</v>
      </c>
      <c r="F172" s="5" t="inlineStr">
        <is>
          <t>C</t>
        </is>
      </c>
      <c r="G172" s="5">
        <f>IF(C172="카드",INDEX(비용표!$C$2:$C$7,MATCH(F172,비용표!$B$2:$B$7,0)),F172*INDEX(비용표!$C$8:$C$9,MATCH(C172,비용표!$B$8:$B$9,0)))</f>
        <v/>
      </c>
      <c r="H172" s="5">
        <f>G172*E172</f>
        <v/>
      </c>
      <c r="I172" s="10">
        <f>IF(A172=A171,I171&amp;" · ","")&amp;IF(C172="카드",D172&amp;E172,"["&amp;C172&amp;"] "&amp;D172)</f>
        <v/>
      </c>
    </row>
    <row r="173">
      <c r="A173" s="5" t="n">
        <v>49</v>
      </c>
      <c r="B173" s="5" t="n">
        <v>2</v>
      </c>
      <c r="C173" s="5" t="inlineStr">
        <is>
          <t>카드</t>
        </is>
      </c>
      <c r="D173" s="5" t="inlineStr">
        <is>
          <t>채모</t>
        </is>
      </c>
      <c r="E173" s="5" t="n">
        <v>1</v>
      </c>
      <c r="F173" s="5" t="inlineStr">
        <is>
          <t>B</t>
        </is>
      </c>
      <c r="G173" s="5">
        <f>IF(C173="카드",INDEX(비용표!$C$2:$C$7,MATCH(F173,비용표!$B$2:$B$7,0)),F173*INDEX(비용표!$C$8:$C$9,MATCH(C173,비용표!$B$8:$B$9,0)))</f>
        <v/>
      </c>
      <c r="H173" s="5">
        <f>G173*E173</f>
        <v/>
      </c>
      <c r="I173" s="10">
        <f>IF(A173=A172,I172&amp;" · ","")&amp;IF(C173="카드",D173&amp;E173,"["&amp;C173&amp;"] "&amp;D173)</f>
        <v/>
      </c>
    </row>
    <row r="174">
      <c r="A174" s="5" t="n">
        <v>49</v>
      </c>
      <c r="B174" s="5" t="n">
        <v>3</v>
      </c>
      <c r="C174" s="5" t="inlineStr">
        <is>
          <t>카드</t>
        </is>
      </c>
      <c r="D174" s="5" t="inlineStr">
        <is>
          <t>괴월</t>
        </is>
      </c>
      <c r="E174" s="5" t="n">
        <v>1</v>
      </c>
      <c r="F174" s="5" t="inlineStr">
        <is>
          <t>B</t>
        </is>
      </c>
      <c r="G174" s="5">
        <f>IF(C174="카드",INDEX(비용표!$C$2:$C$7,MATCH(F174,비용표!$B$2:$B$7,0)),F174*INDEX(비용표!$C$8:$C$9,MATCH(C174,비용표!$B$8:$B$9,0)))</f>
        <v/>
      </c>
      <c r="H174" s="5">
        <f>G174*E174</f>
        <v/>
      </c>
      <c r="I174" s="10">
        <f>IF(A174=A173,I173&amp;" · ","")&amp;IF(C174="카드",D174&amp;E174,"["&amp;C174&amp;"] "&amp;D174)</f>
        <v/>
      </c>
    </row>
    <row r="175">
      <c r="A175" s="5" t="n">
        <v>49</v>
      </c>
      <c r="B175" s="5" t="n">
        <v>4</v>
      </c>
      <c r="C175" s="5" t="inlineStr">
        <is>
          <t>카드</t>
        </is>
      </c>
      <c r="D175" s="5" t="inlineStr">
        <is>
          <t>조조</t>
        </is>
      </c>
      <c r="E175" s="5" t="n">
        <v>1</v>
      </c>
      <c r="F175" s="5" t="inlineStr">
        <is>
          <t>S</t>
        </is>
      </c>
      <c r="G175" s="5">
        <f>IF(C175="카드",INDEX(비용표!$C$2:$C$7,MATCH(F175,비용표!$B$2:$B$7,0)),F175*INDEX(비용표!$C$8:$C$9,MATCH(C175,비용표!$B$8:$B$9,0)))</f>
        <v/>
      </c>
      <c r="H175" s="5">
        <f>G175*E175</f>
        <v/>
      </c>
      <c r="I175" s="10">
        <f>IF(A175=A174,I174&amp;" · ","")&amp;IF(C175="카드",D175&amp;E175,"["&amp;C175&amp;"] "&amp;D175)</f>
        <v/>
      </c>
    </row>
    <row r="176">
      <c r="A176" s="5" t="n">
        <v>50</v>
      </c>
      <c r="B176" s="5" t="n">
        <v>1</v>
      </c>
      <c r="C176" s="5" t="inlineStr">
        <is>
          <t>카드</t>
        </is>
      </c>
      <c r="D176" s="5" t="inlineStr">
        <is>
          <t>조운</t>
        </is>
      </c>
      <c r="E176" s="5" t="n">
        <v>1</v>
      </c>
      <c r="F176" s="5" t="inlineStr">
        <is>
          <t>S</t>
        </is>
      </c>
      <c r="G176" s="5">
        <f>IF(C176="카드",INDEX(비용표!$C$2:$C$7,MATCH(F176,비용표!$B$2:$B$7,0)),F176*INDEX(비용표!$C$8:$C$9,MATCH(C176,비용표!$B$8:$B$9,0)))</f>
        <v/>
      </c>
      <c r="H176" s="5">
        <f>G176*E176</f>
        <v/>
      </c>
      <c r="I176" s="10">
        <f>IF(A176=A175,I175&amp;" · ","")&amp;IF(C176="카드",D176&amp;E176,"["&amp;C176&amp;"] "&amp;D176)</f>
        <v/>
      </c>
    </row>
    <row r="177">
      <c r="A177" s="5" t="n">
        <v>50</v>
      </c>
      <c r="B177" s="5" t="n">
        <v>2</v>
      </c>
      <c r="C177" s="5" t="inlineStr">
        <is>
          <t>카드</t>
        </is>
      </c>
      <c r="D177" s="5" t="inlineStr">
        <is>
          <t>하후은</t>
        </is>
      </c>
      <c r="E177" s="5" t="n">
        <v>1</v>
      </c>
      <c r="F177" s="5" t="inlineStr">
        <is>
          <t>C</t>
        </is>
      </c>
      <c r="G177" s="5">
        <f>IF(C177="카드",INDEX(비용표!$C$2:$C$7,MATCH(F177,비용표!$B$2:$B$7,0)),F177*INDEX(비용표!$C$8:$C$9,MATCH(C177,비용표!$B$8:$B$9,0)))</f>
        <v/>
      </c>
      <c r="H177" s="5">
        <f>G177*E177</f>
        <v/>
      </c>
      <c r="I177" s="10">
        <f>IF(A177=A176,I176&amp;" · ","")&amp;IF(C177="카드",D177&amp;E177,"["&amp;C177&amp;"] "&amp;D177)</f>
        <v/>
      </c>
    </row>
    <row r="178">
      <c r="A178" s="5" t="n">
        <v>50</v>
      </c>
      <c r="B178" s="5" t="n">
        <v>3</v>
      </c>
      <c r="C178" s="5" t="inlineStr">
        <is>
          <t>카드</t>
        </is>
      </c>
      <c r="D178" s="5" t="inlineStr">
        <is>
          <t>유선</t>
        </is>
      </c>
      <c r="E178" s="5" t="n">
        <v>1</v>
      </c>
      <c r="F178" s="5" t="inlineStr">
        <is>
          <t>D</t>
        </is>
      </c>
      <c r="G178" s="5">
        <f>IF(C178="카드",INDEX(비용표!$C$2:$C$7,MATCH(F178,비용표!$B$2:$B$7,0)),F178*INDEX(비용표!$C$8:$C$9,MATCH(C178,비용표!$B$8:$B$9,0)))</f>
        <v/>
      </c>
      <c r="H178" s="5">
        <f>G178*E178</f>
        <v/>
      </c>
      <c r="I178" s="10">
        <f>IF(A178=A177,I177&amp;" · ","")&amp;IF(C178="카드",D178&amp;E178,"["&amp;C178&amp;"] "&amp;D178)</f>
        <v/>
      </c>
    </row>
    <row r="179">
      <c r="A179" s="5" t="n">
        <v>50</v>
      </c>
      <c r="B179" s="5" t="n">
        <v>4</v>
      </c>
      <c r="C179" s="5" t="inlineStr">
        <is>
          <t>병기</t>
        </is>
      </c>
      <c r="D179" s="5" t="inlineStr">
        <is>
          <t>청강검</t>
        </is>
      </c>
      <c r="E179" s="5" t="n">
        <v>1</v>
      </c>
      <c r="F179" s="5" t="n">
        <v>4</v>
      </c>
      <c r="G179" s="5">
        <f>IF(C179="카드",INDEX(비용표!$C$2:$C$7,MATCH(F179,비용표!$B$2:$B$7,0)),F179*INDEX(비용표!$C$8:$C$9,MATCH(C179,비용표!$B$8:$B$9,0)))</f>
        <v/>
      </c>
      <c r="H179" s="5">
        <f>G179*E179</f>
        <v/>
      </c>
      <c r="I179" s="10">
        <f>IF(A179=A178,I178&amp;" · ","")&amp;IF(C179="카드",D179&amp;E179,"["&amp;C179&amp;"] "&amp;D179)</f>
        <v/>
      </c>
    </row>
    <row r="180">
      <c r="A180" s="5" t="n">
        <v>51</v>
      </c>
      <c r="B180" s="5" t="n">
        <v>1</v>
      </c>
      <c r="C180" s="5" t="inlineStr">
        <is>
          <t>카드</t>
        </is>
      </c>
      <c r="D180" s="5" t="inlineStr">
        <is>
          <t>장비</t>
        </is>
      </c>
      <c r="E180" s="5" t="n">
        <v>1</v>
      </c>
      <c r="F180" s="5" t="inlineStr">
        <is>
          <t>S</t>
        </is>
      </c>
      <c r="G180" s="5">
        <f>IF(C180="카드",INDEX(비용표!$C$2:$C$7,MATCH(F180,비용표!$B$2:$B$7,0)),F180*INDEX(비용표!$C$8:$C$9,MATCH(C180,비용표!$B$8:$B$9,0)))</f>
        <v/>
      </c>
      <c r="H180" s="5">
        <f>G180*E180</f>
        <v/>
      </c>
      <c r="I180" s="10">
        <f>IF(A180=A179,I179&amp;" · ","")&amp;IF(C180="카드",D180&amp;E180,"["&amp;C180&amp;"] "&amp;D180)</f>
        <v/>
      </c>
    </row>
    <row r="181">
      <c r="A181" s="5" t="n">
        <v>51</v>
      </c>
      <c r="B181" s="5" t="n">
        <v>2</v>
      </c>
      <c r="C181" s="5" t="inlineStr">
        <is>
          <t>카드</t>
        </is>
      </c>
      <c r="D181" s="5" t="inlineStr">
        <is>
          <t>하후걸</t>
        </is>
      </c>
      <c r="E181" s="5" t="n">
        <v>1</v>
      </c>
      <c r="F181" s="5" t="inlineStr">
        <is>
          <t>C</t>
        </is>
      </c>
      <c r="G181" s="5">
        <f>IF(C181="카드",INDEX(비용표!$C$2:$C$7,MATCH(F181,비용표!$B$2:$B$7,0)),F181*INDEX(비용표!$C$8:$C$9,MATCH(C181,비용표!$B$8:$B$9,0)))</f>
        <v/>
      </c>
      <c r="H181" s="5">
        <f>G181*E181</f>
        <v/>
      </c>
      <c r="I181" s="10">
        <f>IF(A181=A180,I180&amp;" · ","")&amp;IF(C181="카드",D181&amp;E181,"["&amp;C181&amp;"] "&amp;D181)</f>
        <v/>
      </c>
    </row>
    <row r="182">
      <c r="A182" s="5" t="n">
        <v>51</v>
      </c>
      <c r="B182" s="5" t="n">
        <v>3</v>
      </c>
      <c r="C182" s="5" t="inlineStr">
        <is>
          <t>병기</t>
        </is>
      </c>
      <c r="D182" s="5" t="inlineStr">
        <is>
          <t>장팔사모</t>
        </is>
      </c>
      <c r="E182" s="5" t="n">
        <v>1</v>
      </c>
      <c r="F182" s="5" t="n">
        <v>5</v>
      </c>
      <c r="G182" s="5">
        <f>IF(C182="카드",INDEX(비용표!$C$2:$C$7,MATCH(F182,비용표!$B$2:$B$7,0)),F182*INDEX(비용표!$C$8:$C$9,MATCH(C182,비용표!$B$8:$B$9,0)))</f>
        <v/>
      </c>
      <c r="H182" s="5">
        <f>G182*E182</f>
        <v/>
      </c>
      <c r="I182" s="10">
        <f>IF(A182=A181,I181&amp;" · ","")&amp;IF(C182="카드",D182&amp;E182,"["&amp;C182&amp;"] "&amp;D182)</f>
        <v/>
      </c>
    </row>
    <row r="183">
      <c r="A183" s="5" t="n">
        <v>51</v>
      </c>
      <c r="B183" s="5" t="n">
        <v>4</v>
      </c>
      <c r="C183" s="5" t="inlineStr">
        <is>
          <t>카드</t>
        </is>
      </c>
      <c r="D183" s="5" t="inlineStr">
        <is>
          <t>조조</t>
        </is>
      </c>
      <c r="E183" s="5" t="n">
        <v>1</v>
      </c>
      <c r="F183" s="5" t="inlineStr">
        <is>
          <t>S</t>
        </is>
      </c>
      <c r="G183" s="5">
        <f>IF(C183="카드",INDEX(비용표!$C$2:$C$7,MATCH(F183,비용표!$B$2:$B$7,0)),F183*INDEX(비용표!$C$8:$C$9,MATCH(C183,비용표!$B$8:$B$9,0)))</f>
        <v/>
      </c>
      <c r="H183" s="5">
        <f>G183*E183</f>
        <v/>
      </c>
      <c r="I183" s="10">
        <f>IF(A183=A182,I182&amp;" · ","")&amp;IF(C183="카드",D183&amp;E183,"["&amp;C183&amp;"] "&amp;D183)</f>
        <v/>
      </c>
    </row>
    <row r="184">
      <c r="A184" s="5" t="n">
        <v>51</v>
      </c>
      <c r="B184" s="5" t="n">
        <v>5</v>
      </c>
      <c r="C184" s="5" t="inlineStr">
        <is>
          <t>카드</t>
        </is>
      </c>
      <c r="D184" s="5" t="inlineStr">
        <is>
          <t>장료</t>
        </is>
      </c>
      <c r="E184" s="5" t="n">
        <v>1</v>
      </c>
      <c r="F184" s="5" t="inlineStr">
        <is>
          <t>S</t>
        </is>
      </c>
      <c r="G184" s="5">
        <f>IF(C184="카드",INDEX(비용표!$C$2:$C$7,MATCH(F184,비용표!$B$2:$B$7,0)),F184*INDEX(비용표!$C$8:$C$9,MATCH(C184,비용표!$B$8:$B$9,0)))</f>
        <v/>
      </c>
      <c r="H184" s="5">
        <f>G184*E184</f>
        <v/>
      </c>
      <c r="I184" s="10">
        <f>IF(A184=A183,I183&amp;" · ","")&amp;IF(C184="카드",D184&amp;E184,"["&amp;C184&amp;"] "&amp;D184)</f>
        <v/>
      </c>
    </row>
    <row r="185">
      <c r="A185" s="5" t="n">
        <v>52</v>
      </c>
      <c r="B185" s="5" t="n">
        <v>1</v>
      </c>
      <c r="C185" s="5" t="inlineStr">
        <is>
          <t>카드</t>
        </is>
      </c>
      <c r="D185" s="5" t="inlineStr">
        <is>
          <t>유기</t>
        </is>
      </c>
      <c r="E185" s="5" t="n">
        <v>1</v>
      </c>
      <c r="F185" s="5" t="inlineStr">
        <is>
          <t>D</t>
        </is>
      </c>
      <c r="G185" s="5">
        <f>IF(C185="카드",INDEX(비용표!$C$2:$C$7,MATCH(F185,비용표!$B$2:$B$7,0)),F185*INDEX(비용표!$C$8:$C$9,MATCH(C185,비용표!$B$8:$B$9,0)))</f>
        <v/>
      </c>
      <c r="H185" s="5">
        <f>G185*E185</f>
        <v/>
      </c>
      <c r="I185" s="10">
        <f>IF(A185=A184,I184&amp;" · ","")&amp;IF(C185="카드",D185&amp;E185,"["&amp;C185&amp;"] "&amp;D185)</f>
        <v/>
      </c>
    </row>
    <row r="186">
      <c r="A186" s="5" t="n">
        <v>52</v>
      </c>
      <c r="B186" s="5" t="n">
        <v>2</v>
      </c>
      <c r="C186" s="5" t="inlineStr">
        <is>
          <t>카드</t>
        </is>
      </c>
      <c r="D186" s="5" t="inlineStr">
        <is>
          <t>유비</t>
        </is>
      </c>
      <c r="E186" s="5" t="n">
        <v>1</v>
      </c>
      <c r="F186" s="5" t="inlineStr">
        <is>
          <t>S</t>
        </is>
      </c>
      <c r="G186" s="5">
        <f>IF(C186="카드",INDEX(비용표!$C$2:$C$7,MATCH(F186,비용표!$B$2:$B$7,0)),F186*INDEX(비용표!$C$8:$C$9,MATCH(C186,비용표!$B$8:$B$9,0)))</f>
        <v/>
      </c>
      <c r="H186" s="5">
        <f>G186*E186</f>
        <v/>
      </c>
      <c r="I186" s="10">
        <f>IF(A186=A185,I185&amp;" · ","")&amp;IF(C186="카드",D186&amp;E186,"["&amp;C186&amp;"] "&amp;D186)</f>
        <v/>
      </c>
    </row>
    <row r="187">
      <c r="A187" s="5" t="n">
        <v>52</v>
      </c>
      <c r="B187" s="5" t="n">
        <v>3</v>
      </c>
      <c r="C187" s="5" t="inlineStr">
        <is>
          <t>카드</t>
        </is>
      </c>
      <c r="D187" s="5" t="inlineStr">
        <is>
          <t>제갈량</t>
        </is>
      </c>
      <c r="E187" s="5" t="n">
        <v>1</v>
      </c>
      <c r="F187" s="5" t="inlineStr">
        <is>
          <t>S</t>
        </is>
      </c>
      <c r="G187" s="5">
        <f>IF(C187="카드",INDEX(비용표!$C$2:$C$7,MATCH(F187,비용표!$B$2:$B$7,0)),F187*INDEX(비용표!$C$8:$C$9,MATCH(C187,비용표!$B$8:$B$9,0)))</f>
        <v/>
      </c>
      <c r="H187" s="5">
        <f>G187*E187</f>
        <v/>
      </c>
      <c r="I187" s="10">
        <f>IF(A187=A186,I186&amp;" · ","")&amp;IF(C187="카드",D187&amp;E187,"["&amp;C187&amp;"] "&amp;D187)</f>
        <v/>
      </c>
    </row>
    <row r="188">
      <c r="A188" s="5" t="n">
        <v>53</v>
      </c>
      <c r="B188" s="5" t="n">
        <v>1</v>
      </c>
      <c r="C188" s="5" t="inlineStr">
        <is>
          <t>카드</t>
        </is>
      </c>
      <c r="D188" s="5" t="inlineStr">
        <is>
          <t>노숙</t>
        </is>
      </c>
      <c r="E188" s="5" t="n">
        <v>1</v>
      </c>
      <c r="F188" s="5" t="inlineStr">
        <is>
          <t>S</t>
        </is>
      </c>
      <c r="G188" s="5">
        <f>IF(C188="카드",INDEX(비용표!$C$2:$C$7,MATCH(F188,비용표!$B$2:$B$7,0)),F188*INDEX(비용표!$C$8:$C$9,MATCH(C188,비용표!$B$8:$B$9,0)))</f>
        <v/>
      </c>
      <c r="H188" s="5">
        <f>G188*E188</f>
        <v/>
      </c>
      <c r="I188" s="10">
        <f>IF(A188=A187,I187&amp;" · ","")&amp;IF(C188="카드",D188&amp;E188,"["&amp;C188&amp;"] "&amp;D188)</f>
        <v/>
      </c>
    </row>
    <row r="189">
      <c r="A189" s="5" t="n">
        <v>53</v>
      </c>
      <c r="B189" s="5" t="n">
        <v>2</v>
      </c>
      <c r="C189" s="5" t="inlineStr">
        <is>
          <t>카드</t>
        </is>
      </c>
      <c r="D189" s="5" t="inlineStr">
        <is>
          <t>제갈량</t>
        </is>
      </c>
      <c r="E189" s="5" t="n">
        <v>1</v>
      </c>
      <c r="F189" s="5" t="inlineStr">
        <is>
          <t>S</t>
        </is>
      </c>
      <c r="G189" s="5">
        <f>IF(C189="카드",INDEX(비용표!$C$2:$C$7,MATCH(F189,비용표!$B$2:$B$7,0)),F189*INDEX(비용표!$C$8:$C$9,MATCH(C189,비용표!$B$8:$B$9,0)))</f>
        <v/>
      </c>
      <c r="H189" s="5">
        <f>G189*E189</f>
        <v/>
      </c>
      <c r="I189" s="10">
        <f>IF(A189=A188,I188&amp;" · ","")&amp;IF(C189="카드",D189&amp;E189,"["&amp;C189&amp;"] "&amp;D189)</f>
        <v/>
      </c>
    </row>
    <row r="190">
      <c r="A190" s="5" t="n">
        <v>53</v>
      </c>
      <c r="B190" s="5" t="n">
        <v>3</v>
      </c>
      <c r="C190" s="5" t="inlineStr">
        <is>
          <t>카드</t>
        </is>
      </c>
      <c r="D190" s="5" t="inlineStr">
        <is>
          <t>손권</t>
        </is>
      </c>
      <c r="E190" s="5" t="n">
        <v>1</v>
      </c>
      <c r="F190" s="5" t="inlineStr">
        <is>
          <t>S</t>
        </is>
      </c>
      <c r="G190" s="5">
        <f>IF(C190="카드",INDEX(비용표!$C$2:$C$7,MATCH(F190,비용표!$B$2:$B$7,0)),F190*INDEX(비용표!$C$8:$C$9,MATCH(C190,비용표!$B$8:$B$9,0)))</f>
        <v/>
      </c>
      <c r="H190" s="5">
        <f>G190*E190</f>
        <v/>
      </c>
      <c r="I190" s="10">
        <f>IF(A190=A189,I189&amp;" · ","")&amp;IF(C190="카드",D190&amp;E190,"["&amp;C190&amp;"] "&amp;D190)</f>
        <v/>
      </c>
    </row>
    <row r="191">
      <c r="A191" s="5" t="n">
        <v>54</v>
      </c>
      <c r="B191" s="5" t="n">
        <v>1</v>
      </c>
      <c r="C191" s="5" t="inlineStr">
        <is>
          <t>카드</t>
        </is>
      </c>
      <c r="D191" s="5" t="inlineStr">
        <is>
          <t>제갈량</t>
        </is>
      </c>
      <c r="E191" s="5" t="n">
        <v>1</v>
      </c>
      <c r="F191" s="5" t="inlineStr">
        <is>
          <t>S</t>
        </is>
      </c>
      <c r="G191" s="5">
        <f>IF(C191="카드",INDEX(비용표!$C$2:$C$7,MATCH(F191,비용표!$B$2:$B$7,0)),F191*INDEX(비용표!$C$8:$C$9,MATCH(C191,비용표!$B$8:$B$9,0)))</f>
        <v/>
      </c>
      <c r="H191" s="5">
        <f>G191*E191</f>
        <v/>
      </c>
      <c r="I191" s="10">
        <f>IF(A191=A190,I190&amp;" · ","")&amp;IF(C191="카드",D191&amp;E191,"["&amp;C191&amp;"] "&amp;D191)</f>
        <v/>
      </c>
    </row>
    <row r="192">
      <c r="A192" s="5" t="n">
        <v>54</v>
      </c>
      <c r="B192" s="5" t="n">
        <v>2</v>
      </c>
      <c r="C192" s="5" t="inlineStr">
        <is>
          <t>카드</t>
        </is>
      </c>
      <c r="D192" s="5" t="inlineStr">
        <is>
          <t>장소</t>
        </is>
      </c>
      <c r="E192" s="5" t="n">
        <v>1</v>
      </c>
      <c r="F192" s="5" t="inlineStr">
        <is>
          <t>A</t>
        </is>
      </c>
      <c r="G192" s="5">
        <f>IF(C192="카드",INDEX(비용표!$C$2:$C$7,MATCH(F192,비용표!$B$2:$B$7,0)),F192*INDEX(비용표!$C$8:$C$9,MATCH(C192,비용표!$B$8:$B$9,0)))</f>
        <v/>
      </c>
      <c r="H192" s="5">
        <f>G192*E192</f>
        <v/>
      </c>
      <c r="I192" s="10">
        <f>IF(A192=A191,I191&amp;" · ","")&amp;IF(C192="카드",D192&amp;E192,"["&amp;C192&amp;"] "&amp;D192)</f>
        <v/>
      </c>
    </row>
    <row r="193">
      <c r="A193" s="5" t="n">
        <v>54</v>
      </c>
      <c r="B193" s="5" t="n">
        <v>3</v>
      </c>
      <c r="C193" s="5" t="inlineStr">
        <is>
          <t>카드</t>
        </is>
      </c>
      <c r="D193" s="5" t="inlineStr">
        <is>
          <t>우번</t>
        </is>
      </c>
      <c r="E193" s="5" t="n">
        <v>1</v>
      </c>
      <c r="F193" s="5" t="inlineStr">
        <is>
          <t>B</t>
        </is>
      </c>
      <c r="G193" s="5">
        <f>IF(C193="카드",INDEX(비용표!$C$2:$C$7,MATCH(F193,비용표!$B$2:$B$7,0)),F193*INDEX(비용표!$C$8:$C$9,MATCH(C193,비용표!$B$8:$B$9,0)))</f>
        <v/>
      </c>
      <c r="H193" s="5">
        <f>G193*E193</f>
        <v/>
      </c>
      <c r="I193" s="10">
        <f>IF(A193=A192,I192&amp;" · ","")&amp;IF(C193="카드",D193&amp;E193,"["&amp;C193&amp;"] "&amp;D193)</f>
        <v/>
      </c>
    </row>
    <row r="194">
      <c r="A194" s="5" t="n">
        <v>54</v>
      </c>
      <c r="B194" s="5" t="n">
        <v>4</v>
      </c>
      <c r="C194" s="5" t="inlineStr">
        <is>
          <t>카드</t>
        </is>
      </c>
      <c r="D194" s="5" t="inlineStr">
        <is>
          <t>보즐</t>
        </is>
      </c>
      <c r="E194" s="5" t="n">
        <v>1</v>
      </c>
      <c r="F194" s="5" t="inlineStr">
        <is>
          <t>D</t>
        </is>
      </c>
      <c r="G194" s="5">
        <f>IF(C194="카드",INDEX(비용표!$C$2:$C$7,MATCH(F194,비용표!$B$2:$B$7,0)),F194*INDEX(비용표!$C$8:$C$9,MATCH(C194,비용표!$B$8:$B$9,0)))</f>
        <v/>
      </c>
      <c r="H194" s="5">
        <f>G194*E194</f>
        <v/>
      </c>
      <c r="I194" s="10">
        <f>IF(A194=A193,I193&amp;" · ","")&amp;IF(C194="카드",D194&amp;E194,"["&amp;C194&amp;"] "&amp;D194)</f>
        <v/>
      </c>
    </row>
    <row r="195">
      <c r="A195" s="5" t="n">
        <v>54</v>
      </c>
      <c r="B195" s="5" t="n">
        <v>5</v>
      </c>
      <c r="C195" s="5" t="inlineStr">
        <is>
          <t>카드</t>
        </is>
      </c>
      <c r="D195" s="5" t="inlineStr">
        <is>
          <t>설종</t>
        </is>
      </c>
      <c r="E195" s="5" t="n">
        <v>1</v>
      </c>
      <c r="F195" s="5" t="inlineStr">
        <is>
          <t>D</t>
        </is>
      </c>
      <c r="G195" s="5">
        <f>IF(C195="카드",INDEX(비용표!$C$2:$C$7,MATCH(F195,비용표!$B$2:$B$7,0)),F195*INDEX(비용표!$C$8:$C$9,MATCH(C195,비용표!$B$8:$B$9,0)))</f>
        <v/>
      </c>
      <c r="H195" s="5">
        <f>G195*E195</f>
        <v/>
      </c>
      <c r="I195" s="10">
        <f>IF(A195=A194,I194&amp;" · ","")&amp;IF(C195="카드",D195&amp;E195,"["&amp;C195&amp;"] "&amp;D195)</f>
        <v/>
      </c>
    </row>
    <row r="196">
      <c r="A196" s="5" t="n">
        <v>55</v>
      </c>
      <c r="B196" s="5" t="n">
        <v>1</v>
      </c>
      <c r="C196" s="5" t="inlineStr">
        <is>
          <t>카드</t>
        </is>
      </c>
      <c r="D196" s="5" t="inlineStr">
        <is>
          <t>손권</t>
        </is>
      </c>
      <c r="E196" s="5" t="n">
        <v>1</v>
      </c>
      <c r="F196" s="5" t="inlineStr">
        <is>
          <t>S</t>
        </is>
      </c>
      <c r="G196" s="5">
        <f>IF(C196="카드",INDEX(비용표!$C$2:$C$7,MATCH(F196,비용표!$B$2:$B$7,0)),F196*INDEX(비용표!$C$8:$C$9,MATCH(C196,비용표!$B$8:$B$9,0)))</f>
        <v/>
      </c>
      <c r="H196" s="5">
        <f>G196*E196</f>
        <v/>
      </c>
      <c r="I196" s="10">
        <f>IF(A196=A195,I195&amp;" · ","")&amp;IF(C196="카드",D196&amp;E196,"["&amp;C196&amp;"] "&amp;D196)</f>
        <v/>
      </c>
    </row>
    <row r="197">
      <c r="A197" s="5" t="n">
        <v>55</v>
      </c>
      <c r="B197" s="5" t="n">
        <v>2</v>
      </c>
      <c r="C197" s="5" t="inlineStr">
        <is>
          <t>카드</t>
        </is>
      </c>
      <c r="D197" s="5" t="inlineStr">
        <is>
          <t>주유</t>
        </is>
      </c>
      <c r="E197" s="5" t="n">
        <v>1</v>
      </c>
      <c r="F197" s="5" t="inlineStr">
        <is>
          <t>S</t>
        </is>
      </c>
      <c r="G197" s="5">
        <f>IF(C197="카드",INDEX(비용표!$C$2:$C$7,MATCH(F197,비용표!$B$2:$B$7,0)),F197*INDEX(비용표!$C$8:$C$9,MATCH(C197,비용표!$B$8:$B$9,0)))</f>
        <v/>
      </c>
      <c r="H197" s="5">
        <f>G197*E197</f>
        <v/>
      </c>
      <c r="I197" s="10">
        <f>IF(A197=A196,I196&amp;" · ","")&amp;IF(C197="카드",D197&amp;E197,"["&amp;C197&amp;"] "&amp;D197)</f>
        <v/>
      </c>
    </row>
    <row r="198">
      <c r="A198" s="5" t="n">
        <v>55</v>
      </c>
      <c r="B198" s="5" t="n">
        <v>3</v>
      </c>
      <c r="C198" s="5" t="inlineStr">
        <is>
          <t>카드</t>
        </is>
      </c>
      <c r="D198" s="5" t="inlineStr">
        <is>
          <t>장소</t>
        </is>
      </c>
      <c r="E198" s="5" t="n">
        <v>1</v>
      </c>
      <c r="F198" s="5" t="inlineStr">
        <is>
          <t>A</t>
        </is>
      </c>
      <c r="G198" s="5">
        <f>IF(C198="카드",INDEX(비용표!$C$2:$C$7,MATCH(F198,비용표!$B$2:$B$7,0)),F198*INDEX(비용표!$C$8:$C$9,MATCH(C198,비용표!$B$8:$B$9,0)))</f>
        <v/>
      </c>
      <c r="H198" s="5">
        <f>G198*E198</f>
        <v/>
      </c>
      <c r="I198" s="10">
        <f>IF(A198=A197,I197&amp;" · ","")&amp;IF(C198="카드",D198&amp;E198,"["&amp;C198&amp;"] "&amp;D198)</f>
        <v/>
      </c>
    </row>
    <row r="199">
      <c r="A199" s="5" t="n">
        <v>56</v>
      </c>
      <c r="B199" s="5" t="n">
        <v>1</v>
      </c>
      <c r="C199" s="5" t="inlineStr">
        <is>
          <t>카드</t>
        </is>
      </c>
      <c r="D199" s="5" t="inlineStr">
        <is>
          <t>주유</t>
        </is>
      </c>
      <c r="E199" s="5" t="n">
        <v>1</v>
      </c>
      <c r="F199" s="5" t="inlineStr">
        <is>
          <t>S</t>
        </is>
      </c>
      <c r="G199" s="5">
        <f>IF(C199="카드",INDEX(비용표!$C$2:$C$7,MATCH(F199,비용표!$B$2:$B$7,0)),F199*INDEX(비용표!$C$8:$C$9,MATCH(C199,비용표!$B$8:$B$9,0)))</f>
        <v/>
      </c>
      <c r="H199" s="5">
        <f>G199*E199</f>
        <v/>
      </c>
      <c r="I199" s="10">
        <f>IF(A199=A198,I198&amp;" · ","")&amp;IF(C199="카드",D199&amp;E199,"["&amp;C199&amp;"] "&amp;D199)</f>
        <v/>
      </c>
    </row>
    <row r="200">
      <c r="A200" s="5" t="n">
        <v>56</v>
      </c>
      <c r="B200" s="5" t="n">
        <v>2</v>
      </c>
      <c r="C200" s="5" t="inlineStr">
        <is>
          <t>카드</t>
        </is>
      </c>
      <c r="D200" s="5" t="inlineStr">
        <is>
          <t>채모</t>
        </is>
      </c>
      <c r="E200" s="5" t="n">
        <v>1</v>
      </c>
      <c r="F200" s="5" t="inlineStr">
        <is>
          <t>B</t>
        </is>
      </c>
      <c r="G200" s="5">
        <f>IF(C200="카드",INDEX(비용표!$C$2:$C$7,MATCH(F200,비용표!$B$2:$B$7,0)),F200*INDEX(비용표!$C$8:$C$9,MATCH(C200,비용표!$B$8:$B$9,0)))</f>
        <v/>
      </c>
      <c r="H200" s="5">
        <f>G200*E200</f>
        <v/>
      </c>
      <c r="I200" s="10">
        <f>IF(A200=A199,I199&amp;" · ","")&amp;IF(C200="카드",D200&amp;E200,"["&amp;C200&amp;"] "&amp;D200)</f>
        <v/>
      </c>
    </row>
    <row r="201">
      <c r="A201" s="5" t="n">
        <v>56</v>
      </c>
      <c r="B201" s="5" t="n">
        <v>3</v>
      </c>
      <c r="C201" s="5" t="inlineStr">
        <is>
          <t>카드</t>
        </is>
      </c>
      <c r="D201" s="5" t="inlineStr">
        <is>
          <t>장윤</t>
        </is>
      </c>
      <c r="E201" s="5" t="n">
        <v>1</v>
      </c>
      <c r="F201" s="5" t="inlineStr">
        <is>
          <t>C</t>
        </is>
      </c>
      <c r="G201" s="5">
        <f>IF(C201="카드",INDEX(비용표!$C$2:$C$7,MATCH(F201,비용표!$B$2:$B$7,0)),F201*INDEX(비용표!$C$8:$C$9,MATCH(C201,비용표!$B$8:$B$9,0)))</f>
        <v/>
      </c>
      <c r="H201" s="5">
        <f>G201*E201</f>
        <v/>
      </c>
      <c r="I201" s="10">
        <f>IF(A201=A200,I200&amp;" · ","")&amp;IF(C201="카드",D201&amp;E201,"["&amp;C201&amp;"] "&amp;D201)</f>
        <v/>
      </c>
    </row>
    <row r="202">
      <c r="A202" s="5" t="n">
        <v>57</v>
      </c>
      <c r="B202" s="5" t="n">
        <v>1</v>
      </c>
      <c r="C202" s="5" t="inlineStr">
        <is>
          <t>카드</t>
        </is>
      </c>
      <c r="D202" s="5" t="inlineStr">
        <is>
          <t>제갈량</t>
        </is>
      </c>
      <c r="E202" s="5" t="n">
        <v>1</v>
      </c>
      <c r="F202" s="5" t="inlineStr">
        <is>
          <t>S</t>
        </is>
      </c>
      <c r="G202" s="5">
        <f>IF(C202="카드",INDEX(비용표!$C$2:$C$7,MATCH(F202,비용표!$B$2:$B$7,0)),F202*INDEX(비용표!$C$8:$C$9,MATCH(C202,비용표!$B$8:$B$9,0)))</f>
        <v/>
      </c>
      <c r="H202" s="5">
        <f>G202*E202</f>
        <v/>
      </c>
      <c r="I202" s="10">
        <f>IF(A202=A201,I201&amp;" · ","")&amp;IF(C202="카드",D202&amp;E202,"["&amp;C202&amp;"] "&amp;D202)</f>
        <v/>
      </c>
    </row>
    <row r="203">
      <c r="A203" s="5" t="n">
        <v>57</v>
      </c>
      <c r="B203" s="5" t="n">
        <v>2</v>
      </c>
      <c r="C203" s="5" t="inlineStr">
        <is>
          <t>카드</t>
        </is>
      </c>
      <c r="D203" s="5" t="inlineStr">
        <is>
          <t>노숙</t>
        </is>
      </c>
      <c r="E203" s="5" t="n">
        <v>1</v>
      </c>
      <c r="F203" s="5" t="inlineStr">
        <is>
          <t>S</t>
        </is>
      </c>
      <c r="G203" s="5">
        <f>IF(C203="카드",INDEX(비용표!$C$2:$C$7,MATCH(F203,비용표!$B$2:$B$7,0)),F203*INDEX(비용표!$C$8:$C$9,MATCH(C203,비용표!$B$8:$B$9,0)))</f>
        <v/>
      </c>
      <c r="H203" s="5">
        <f>G203*E203</f>
        <v/>
      </c>
      <c r="I203" s="10">
        <f>IF(A203=A202,I202&amp;" · ","")&amp;IF(C203="카드",D203&amp;E203,"["&amp;C203&amp;"] "&amp;D203)</f>
        <v/>
      </c>
    </row>
    <row r="204">
      <c r="A204" s="5" t="n">
        <v>57</v>
      </c>
      <c r="B204" s="5" t="n">
        <v>3</v>
      </c>
      <c r="C204" s="5" t="inlineStr">
        <is>
          <t>카드</t>
        </is>
      </c>
      <c r="D204" s="5" t="inlineStr">
        <is>
          <t>주유</t>
        </is>
      </c>
      <c r="E204" s="5" t="n">
        <v>1</v>
      </c>
      <c r="F204" s="5" t="inlineStr">
        <is>
          <t>S</t>
        </is>
      </c>
      <c r="G204" s="5">
        <f>IF(C204="카드",INDEX(비용표!$C$2:$C$7,MATCH(F204,비용표!$B$2:$B$7,0)),F204*INDEX(비용표!$C$8:$C$9,MATCH(C204,비용표!$B$8:$B$9,0)))</f>
        <v/>
      </c>
      <c r="H204" s="5">
        <f>G204*E204</f>
        <v/>
      </c>
      <c r="I204" s="10">
        <f>IF(A204=A203,I203&amp;" · ","")&amp;IF(C204="카드",D204&amp;E204,"["&amp;C204&amp;"] "&amp;D204)</f>
        <v/>
      </c>
    </row>
    <row r="205">
      <c r="A205" s="5" t="n">
        <v>58</v>
      </c>
      <c r="B205" s="5" t="n">
        <v>1</v>
      </c>
      <c r="C205" s="5" t="inlineStr">
        <is>
          <t>카드</t>
        </is>
      </c>
      <c r="D205" s="5" t="inlineStr">
        <is>
          <t>주유</t>
        </is>
      </c>
      <c r="E205" s="5" t="n">
        <v>1</v>
      </c>
      <c r="F205" s="5" t="inlineStr">
        <is>
          <t>S</t>
        </is>
      </c>
      <c r="G205" s="5">
        <f>IF(C205="카드",INDEX(비용표!$C$2:$C$7,MATCH(F205,비용표!$B$2:$B$7,0)),F205*INDEX(비용표!$C$8:$C$9,MATCH(C205,비용표!$B$8:$B$9,0)))</f>
        <v/>
      </c>
      <c r="H205" s="5">
        <f>G205*E205</f>
        <v/>
      </c>
      <c r="I205" s="10">
        <f>IF(A205=A204,I204&amp;" · ","")&amp;IF(C205="카드",D205&amp;E205,"["&amp;C205&amp;"] "&amp;D205)</f>
        <v/>
      </c>
    </row>
    <row r="206">
      <c r="A206" s="5" t="n">
        <v>58</v>
      </c>
      <c r="B206" s="5" t="n">
        <v>2</v>
      </c>
      <c r="C206" s="5" t="inlineStr">
        <is>
          <t>카드</t>
        </is>
      </c>
      <c r="D206" s="5" t="inlineStr">
        <is>
          <t>황개</t>
        </is>
      </c>
      <c r="E206" s="5" t="n">
        <v>1</v>
      </c>
      <c r="F206" s="5" t="inlineStr">
        <is>
          <t>A</t>
        </is>
      </c>
      <c r="G206" s="5">
        <f>IF(C206="카드",INDEX(비용표!$C$2:$C$7,MATCH(F206,비용표!$B$2:$B$7,0)),F206*INDEX(비용표!$C$8:$C$9,MATCH(C206,비용표!$B$8:$B$9,0)))</f>
        <v/>
      </c>
      <c r="H206" s="5">
        <f>G206*E206</f>
        <v/>
      </c>
      <c r="I206" s="10">
        <f>IF(A206=A205,I205&amp;" · ","")&amp;IF(C206="카드",D206&amp;E206,"["&amp;C206&amp;"] "&amp;D206)</f>
        <v/>
      </c>
    </row>
    <row r="207">
      <c r="A207" s="5" t="n">
        <v>58</v>
      </c>
      <c r="B207" s="5" t="n">
        <v>3</v>
      </c>
      <c r="C207" s="5" t="inlineStr">
        <is>
          <t>카드</t>
        </is>
      </c>
      <c r="D207" s="5" t="inlineStr">
        <is>
          <t>감택</t>
        </is>
      </c>
      <c r="E207" s="5" t="n">
        <v>1</v>
      </c>
      <c r="F207" s="5" t="inlineStr">
        <is>
          <t>B</t>
        </is>
      </c>
      <c r="G207" s="5">
        <f>IF(C207="카드",INDEX(비용표!$C$2:$C$7,MATCH(F207,비용표!$B$2:$B$7,0)),F207*INDEX(비용표!$C$8:$C$9,MATCH(C207,비용표!$B$8:$B$9,0)))</f>
        <v/>
      </c>
      <c r="H207" s="5">
        <f>G207*E207</f>
        <v/>
      </c>
      <c r="I207" s="10">
        <f>IF(A207=A206,I206&amp;" · ","")&amp;IF(C207="카드",D207&amp;E207,"["&amp;C207&amp;"] "&amp;D207)</f>
        <v/>
      </c>
    </row>
    <row r="208">
      <c r="A208" s="5" t="n">
        <v>59</v>
      </c>
      <c r="B208" s="5" t="n">
        <v>1</v>
      </c>
      <c r="C208" s="5" t="inlineStr">
        <is>
          <t>카드</t>
        </is>
      </c>
      <c r="D208" s="5" t="inlineStr">
        <is>
          <t>방통</t>
        </is>
      </c>
      <c r="E208" s="5" t="n">
        <v>1</v>
      </c>
      <c r="F208" s="5" t="inlineStr">
        <is>
          <t>S</t>
        </is>
      </c>
      <c r="G208" s="5">
        <f>IF(C208="카드",INDEX(비용표!$C$2:$C$7,MATCH(F208,비용표!$B$2:$B$7,0)),F208*INDEX(비용표!$C$8:$C$9,MATCH(C208,비용표!$B$8:$B$9,0)))</f>
        <v/>
      </c>
      <c r="H208" s="5">
        <f>G208*E208</f>
        <v/>
      </c>
      <c r="I208" s="10">
        <f>IF(A208=A207,I207&amp;" · ","")&amp;IF(C208="카드",D208&amp;E208,"["&amp;C208&amp;"] "&amp;D208)</f>
        <v/>
      </c>
    </row>
    <row r="209">
      <c r="A209" s="5" t="n">
        <v>59</v>
      </c>
      <c r="B209" s="5" t="n">
        <v>2</v>
      </c>
      <c r="C209" s="5" t="inlineStr">
        <is>
          <t>카드</t>
        </is>
      </c>
      <c r="D209" s="5" t="inlineStr">
        <is>
          <t>조조</t>
        </is>
      </c>
      <c r="E209" s="5" t="n">
        <v>1</v>
      </c>
      <c r="F209" s="5" t="inlineStr">
        <is>
          <t>S</t>
        </is>
      </c>
      <c r="G209" s="5">
        <f>IF(C209="카드",INDEX(비용표!$C$2:$C$7,MATCH(F209,비용표!$B$2:$B$7,0)),F209*INDEX(비용표!$C$8:$C$9,MATCH(C209,비용표!$B$8:$B$9,0)))</f>
        <v/>
      </c>
      <c r="H209" s="5">
        <f>G209*E209</f>
        <v/>
      </c>
      <c r="I209" s="10">
        <f>IF(A209=A208,I208&amp;" · ","")&amp;IF(C209="카드",D209&amp;E209,"["&amp;C209&amp;"] "&amp;D209)</f>
        <v/>
      </c>
    </row>
    <row r="210">
      <c r="A210" s="5" t="n">
        <v>59</v>
      </c>
      <c r="B210" s="5" t="n">
        <v>3</v>
      </c>
      <c r="C210" s="5" t="inlineStr">
        <is>
          <t>카드</t>
        </is>
      </c>
      <c r="D210" s="5" t="inlineStr">
        <is>
          <t>서서</t>
        </is>
      </c>
      <c r="E210" s="5" t="n">
        <v>1</v>
      </c>
      <c r="F210" s="5" t="inlineStr">
        <is>
          <t>S</t>
        </is>
      </c>
      <c r="G210" s="5">
        <f>IF(C210="카드",INDEX(비용표!$C$2:$C$7,MATCH(F210,비용표!$B$2:$B$7,0)),F210*INDEX(비용표!$C$8:$C$9,MATCH(C210,비용표!$B$8:$B$9,0)))</f>
        <v/>
      </c>
      <c r="H210" s="5">
        <f>G210*E210</f>
        <v/>
      </c>
      <c r="I210" s="10">
        <f>IF(A210=A209,I209&amp;" · ","")&amp;IF(C210="카드",D210&amp;E210,"["&amp;C210&amp;"] "&amp;D210)</f>
        <v/>
      </c>
    </row>
    <row r="211">
      <c r="A211" s="5" t="n">
        <v>60</v>
      </c>
      <c r="B211" s="5" t="n">
        <v>1</v>
      </c>
      <c r="C211" s="5" t="inlineStr">
        <is>
          <t>카드</t>
        </is>
      </c>
      <c r="D211" s="5" t="inlineStr">
        <is>
          <t>제갈량</t>
        </is>
      </c>
      <c r="E211" s="5" t="n">
        <v>1</v>
      </c>
      <c r="F211" s="5" t="inlineStr">
        <is>
          <t>S</t>
        </is>
      </c>
      <c r="G211" s="5">
        <f>IF(C211="카드",INDEX(비용표!$C$2:$C$7,MATCH(F211,비용표!$B$2:$B$7,0)),F211*INDEX(비용표!$C$8:$C$9,MATCH(C211,비용표!$B$8:$B$9,0)))</f>
        <v/>
      </c>
      <c r="H211" s="5">
        <f>G211*E211</f>
        <v/>
      </c>
      <c r="I211" s="10">
        <f>IF(A211=A210,I210&amp;" · ","")&amp;IF(C211="카드",D211&amp;E211,"["&amp;C211&amp;"] "&amp;D211)</f>
        <v/>
      </c>
    </row>
    <row r="212">
      <c r="A212" s="5" t="n">
        <v>60</v>
      </c>
      <c r="B212" s="5" t="n">
        <v>2</v>
      </c>
      <c r="C212" s="5" t="inlineStr">
        <is>
          <t>카드</t>
        </is>
      </c>
      <c r="D212" s="5" t="inlineStr">
        <is>
          <t>노숙</t>
        </is>
      </c>
      <c r="E212" s="5" t="n">
        <v>1</v>
      </c>
      <c r="F212" s="5" t="inlineStr">
        <is>
          <t>S</t>
        </is>
      </c>
      <c r="G212" s="5">
        <f>IF(C212="카드",INDEX(비용표!$C$2:$C$7,MATCH(F212,비용표!$B$2:$B$7,0)),F212*INDEX(비용표!$C$8:$C$9,MATCH(C212,비용표!$B$8:$B$9,0)))</f>
        <v/>
      </c>
      <c r="H212" s="5">
        <f>G212*E212</f>
        <v/>
      </c>
      <c r="I212" s="10">
        <f>IF(A212=A211,I211&amp;" · ","")&amp;IF(C212="카드",D212&amp;E212,"["&amp;C212&amp;"] "&amp;D212)</f>
        <v/>
      </c>
    </row>
    <row r="213">
      <c r="A213" s="5" t="n">
        <v>60</v>
      </c>
      <c r="B213" s="5" t="n">
        <v>3</v>
      </c>
      <c r="C213" s="5" t="inlineStr">
        <is>
          <t>카드</t>
        </is>
      </c>
      <c r="D213" s="5" t="inlineStr">
        <is>
          <t>주유</t>
        </is>
      </c>
      <c r="E213" s="5" t="n">
        <v>1</v>
      </c>
      <c r="F213" s="5" t="inlineStr">
        <is>
          <t>S</t>
        </is>
      </c>
      <c r="G213" s="5">
        <f>IF(C213="카드",INDEX(비용표!$C$2:$C$7,MATCH(F213,비용표!$B$2:$B$7,0)),F213*INDEX(비용표!$C$8:$C$9,MATCH(C213,비용표!$B$8:$B$9,0)))</f>
        <v/>
      </c>
      <c r="H213" s="5">
        <f>G213*E213</f>
        <v/>
      </c>
      <c r="I213" s="10">
        <f>IF(A213=A212,I212&amp;" · ","")&amp;IF(C213="카드",D213&amp;E213,"["&amp;C213&amp;"] "&amp;D213)</f>
        <v/>
      </c>
    </row>
    <row r="214">
      <c r="A214" s="5" t="n">
        <v>60</v>
      </c>
      <c r="B214" s="5" t="n">
        <v>4</v>
      </c>
      <c r="C214" s="5" t="inlineStr">
        <is>
          <t>아이템</t>
        </is>
      </c>
      <c r="D214" s="5" t="inlineStr">
        <is>
          <t>우선</t>
        </is>
      </c>
      <c r="E214" s="5" t="n">
        <v>1</v>
      </c>
      <c r="F214" s="5" t="n">
        <v>4</v>
      </c>
      <c r="G214" s="5">
        <f>IF(C214="카드",INDEX(비용표!$C$2:$C$7,MATCH(F214,비용표!$B$2:$B$7,0)),F214*INDEX(비용표!$C$8:$C$9,MATCH(C214,비용표!$B$8:$B$9,0)))</f>
        <v/>
      </c>
      <c r="H214" s="5">
        <f>G214*E214</f>
        <v/>
      </c>
      <c r="I214" s="10">
        <f>IF(A214=A213,I213&amp;" · ","")&amp;IF(C214="카드",D214&amp;E214,"["&amp;C214&amp;"] "&amp;D214)</f>
        <v/>
      </c>
    </row>
    <row r="215">
      <c r="A215" s="5" t="n">
        <v>60</v>
      </c>
      <c r="B215" s="5" t="n">
        <v>5</v>
      </c>
      <c r="C215" s="5" t="inlineStr">
        <is>
          <t>카드</t>
        </is>
      </c>
      <c r="D215" s="5" t="inlineStr">
        <is>
          <t>서성</t>
        </is>
      </c>
      <c r="E215" s="5" t="n">
        <v>1</v>
      </c>
      <c r="F215" s="5" t="inlineStr">
        <is>
          <t>B</t>
        </is>
      </c>
      <c r="G215" s="5">
        <f>IF(C215="카드",INDEX(비용표!$C$2:$C$7,MATCH(F215,비용표!$B$2:$B$7,0)),F215*INDEX(비용표!$C$8:$C$9,MATCH(C215,비용표!$B$8:$B$9,0)))</f>
        <v/>
      </c>
      <c r="H215" s="5">
        <f>G215*E215</f>
        <v/>
      </c>
      <c r="I215" s="10">
        <f>IF(A215=A214,I214&amp;" · ","")&amp;IF(C215="카드",D215&amp;E215,"["&amp;C215&amp;"] "&amp;D215)</f>
        <v/>
      </c>
    </row>
    <row r="216">
      <c r="A216" s="5" t="n">
        <v>61</v>
      </c>
      <c r="B216" s="5" t="n">
        <v>1</v>
      </c>
      <c r="C216" s="5" t="inlineStr">
        <is>
          <t>카드</t>
        </is>
      </c>
      <c r="D216" s="5" t="inlineStr">
        <is>
          <t>주유</t>
        </is>
      </c>
      <c r="E216" s="5" t="n">
        <v>1</v>
      </c>
      <c r="F216" s="5" t="inlineStr">
        <is>
          <t>S</t>
        </is>
      </c>
      <c r="G216" s="5">
        <f>IF(C216="카드",INDEX(비용표!$C$2:$C$7,MATCH(F216,비용표!$B$2:$B$7,0)),F216*INDEX(비용표!$C$8:$C$9,MATCH(C216,비용표!$B$8:$B$9,0)))</f>
        <v/>
      </c>
      <c r="H216" s="5">
        <f>G216*E216</f>
        <v/>
      </c>
      <c r="I216" s="10">
        <f>IF(A216=A215,I215&amp;" · ","")&amp;IF(C216="카드",D216&amp;E216,"["&amp;C216&amp;"] "&amp;D216)</f>
        <v/>
      </c>
    </row>
    <row r="217">
      <c r="A217" s="5" t="n">
        <v>61</v>
      </c>
      <c r="B217" s="5" t="n">
        <v>2</v>
      </c>
      <c r="C217" s="5" t="inlineStr">
        <is>
          <t>카드</t>
        </is>
      </c>
      <c r="D217" s="5" t="inlineStr">
        <is>
          <t>황개</t>
        </is>
      </c>
      <c r="E217" s="5" t="n">
        <v>1</v>
      </c>
      <c r="F217" s="5" t="inlineStr">
        <is>
          <t>A</t>
        </is>
      </c>
      <c r="G217" s="5">
        <f>IF(C217="카드",INDEX(비용표!$C$2:$C$7,MATCH(F217,비용표!$B$2:$B$7,0)),F217*INDEX(비용표!$C$8:$C$9,MATCH(C217,비용표!$B$8:$B$9,0)))</f>
        <v/>
      </c>
      <c r="H217" s="5">
        <f>G217*E217</f>
        <v/>
      </c>
      <c r="I217" s="10">
        <f>IF(A217=A216,I216&amp;" · ","")&amp;IF(C217="카드",D217&amp;E217,"["&amp;C217&amp;"] "&amp;D217)</f>
        <v/>
      </c>
    </row>
    <row r="218">
      <c r="A218" s="5" t="n">
        <v>61</v>
      </c>
      <c r="B218" s="5" t="n">
        <v>3</v>
      </c>
      <c r="C218" s="5" t="inlineStr">
        <is>
          <t>카드</t>
        </is>
      </c>
      <c r="D218" s="5" t="inlineStr">
        <is>
          <t>제갈량</t>
        </is>
      </c>
      <c r="E218" s="5" t="n">
        <v>1</v>
      </c>
      <c r="F218" s="5" t="inlineStr">
        <is>
          <t>S</t>
        </is>
      </c>
      <c r="G218" s="5">
        <f>IF(C218="카드",INDEX(비용표!$C$2:$C$7,MATCH(F218,비용표!$B$2:$B$7,0)),F218*INDEX(비용표!$C$8:$C$9,MATCH(C218,비용표!$B$8:$B$9,0)))</f>
        <v/>
      </c>
      <c r="H218" s="5">
        <f>G218*E218</f>
        <v/>
      </c>
      <c r="I218" s="10">
        <f>IF(A218=A217,I217&amp;" · ","")&amp;IF(C218="카드",D218&amp;E218,"["&amp;C218&amp;"] "&amp;D218)</f>
        <v/>
      </c>
    </row>
    <row r="219">
      <c r="A219" s="5" t="n">
        <v>61</v>
      </c>
      <c r="B219" s="5" t="n">
        <v>4</v>
      </c>
      <c r="C219" s="5" t="inlineStr">
        <is>
          <t>카드</t>
        </is>
      </c>
      <c r="D219" s="5" t="inlineStr">
        <is>
          <t>조조</t>
        </is>
      </c>
      <c r="E219" s="5" t="n">
        <v>1</v>
      </c>
      <c r="F219" s="5" t="inlineStr">
        <is>
          <t>S</t>
        </is>
      </c>
      <c r="G219" s="5">
        <f>IF(C219="카드",INDEX(비용표!$C$2:$C$7,MATCH(F219,비용표!$B$2:$B$7,0)),F219*INDEX(비용표!$C$8:$C$9,MATCH(C219,비용표!$B$8:$B$9,0)))</f>
        <v/>
      </c>
      <c r="H219" s="5">
        <f>G219*E219</f>
        <v/>
      </c>
      <c r="I219" s="10">
        <f>IF(A219=A218,I218&amp;" · ","")&amp;IF(C219="카드",D219&amp;E219,"["&amp;C219&amp;"] "&amp;D219)</f>
        <v/>
      </c>
    </row>
    <row r="220">
      <c r="A220" s="5" t="n">
        <v>61</v>
      </c>
      <c r="B220" s="5" t="n">
        <v>5</v>
      </c>
      <c r="C220" s="5" t="inlineStr">
        <is>
          <t>아이템</t>
        </is>
      </c>
      <c r="D220" s="5" t="inlineStr">
        <is>
          <t>폭약</t>
        </is>
      </c>
      <c r="E220" s="5" t="n">
        <v>1</v>
      </c>
      <c r="F220" s="5" t="n">
        <v>3</v>
      </c>
      <c r="G220" s="5">
        <f>IF(C220="카드",INDEX(비용표!$C$2:$C$7,MATCH(F220,비용표!$B$2:$B$7,0)),F220*INDEX(비용표!$C$8:$C$9,MATCH(C220,비용표!$B$8:$B$9,0)))</f>
        <v/>
      </c>
      <c r="H220" s="5">
        <f>G220*E220</f>
        <v/>
      </c>
      <c r="I220" s="10">
        <f>IF(A220=A219,I219&amp;" · ","")&amp;IF(C220="카드",D220&amp;E220,"["&amp;C220&amp;"] "&amp;D220)</f>
        <v/>
      </c>
    </row>
    <row r="221">
      <c r="A221" s="5" t="n">
        <v>62</v>
      </c>
      <c r="B221" s="5" t="n">
        <v>1</v>
      </c>
      <c r="C221" s="5" t="inlineStr">
        <is>
          <t>카드</t>
        </is>
      </c>
      <c r="D221" s="5" t="inlineStr">
        <is>
          <t>관우</t>
        </is>
      </c>
      <c r="E221" s="5" t="n">
        <v>1</v>
      </c>
      <c r="F221" s="5" t="inlineStr">
        <is>
          <t>S</t>
        </is>
      </c>
      <c r="G221" s="5">
        <f>IF(C221="카드",INDEX(비용표!$C$2:$C$7,MATCH(F221,비용표!$B$2:$B$7,0)),F221*INDEX(비용표!$C$8:$C$9,MATCH(C221,비용표!$B$8:$B$9,0)))</f>
        <v/>
      </c>
      <c r="H221" s="5">
        <f>G221*E221</f>
        <v/>
      </c>
      <c r="I221" s="10">
        <f>IF(A221=A220,I220&amp;" · ","")&amp;IF(C221="카드",D221&amp;E221,"["&amp;C221&amp;"] "&amp;D221)</f>
        <v/>
      </c>
    </row>
    <row r="222">
      <c r="A222" s="5" t="n">
        <v>62</v>
      </c>
      <c r="B222" s="5" t="n">
        <v>2</v>
      </c>
      <c r="C222" s="5" t="inlineStr">
        <is>
          <t>카드</t>
        </is>
      </c>
      <c r="D222" s="5" t="inlineStr">
        <is>
          <t>조조</t>
        </is>
      </c>
      <c r="E222" s="5" t="n">
        <v>1</v>
      </c>
      <c r="F222" s="5" t="inlineStr">
        <is>
          <t>S</t>
        </is>
      </c>
      <c r="G222" s="5">
        <f>IF(C222="카드",INDEX(비용표!$C$2:$C$7,MATCH(F222,비용표!$B$2:$B$7,0)),F222*INDEX(비용표!$C$8:$C$9,MATCH(C222,비용표!$B$8:$B$9,0)))</f>
        <v/>
      </c>
      <c r="H222" s="5">
        <f>G222*E222</f>
        <v/>
      </c>
      <c r="I222" s="10">
        <f>IF(A222=A221,I221&amp;" · ","")&amp;IF(C222="카드",D222&amp;E222,"["&amp;C222&amp;"] "&amp;D222)</f>
        <v/>
      </c>
    </row>
    <row r="223">
      <c r="A223" s="5" t="n">
        <v>62</v>
      </c>
      <c r="B223" s="5" t="n">
        <v>3</v>
      </c>
      <c r="C223" s="5" t="inlineStr">
        <is>
          <t>카드</t>
        </is>
      </c>
      <c r="D223" s="5" t="inlineStr">
        <is>
          <t>장료</t>
        </is>
      </c>
      <c r="E223" s="5" t="n">
        <v>1</v>
      </c>
      <c r="F223" s="5" t="inlineStr">
        <is>
          <t>S</t>
        </is>
      </c>
      <c r="G223" s="5">
        <f>IF(C223="카드",INDEX(비용표!$C$2:$C$7,MATCH(F223,비용표!$B$2:$B$7,0)),F223*INDEX(비용표!$C$8:$C$9,MATCH(C223,비용표!$B$8:$B$9,0)))</f>
        <v/>
      </c>
      <c r="H223" s="5">
        <f>G223*E223</f>
        <v/>
      </c>
      <c r="I223" s="10">
        <f>IF(A223=A222,I222&amp;" · ","")&amp;IF(C223="카드",D223&amp;E223,"["&amp;C223&amp;"] "&amp;D223)</f>
        <v/>
      </c>
    </row>
    <row r="224">
      <c r="A224" s="5" t="n">
        <v>62</v>
      </c>
      <c r="B224" s="5" t="n">
        <v>4</v>
      </c>
      <c r="C224" s="5" t="inlineStr">
        <is>
          <t>카드</t>
        </is>
      </c>
      <c r="D224" s="5" t="inlineStr">
        <is>
          <t>허저</t>
        </is>
      </c>
      <c r="E224" s="5" t="n">
        <v>1</v>
      </c>
      <c r="F224" s="5" t="inlineStr">
        <is>
          <t>S</t>
        </is>
      </c>
      <c r="G224" s="5">
        <f>IF(C224="카드",INDEX(비용표!$C$2:$C$7,MATCH(F224,비용표!$B$2:$B$7,0)),F224*INDEX(비용표!$C$8:$C$9,MATCH(C224,비용표!$B$8:$B$9,0)))</f>
        <v/>
      </c>
      <c r="H224" s="5">
        <f>G224*E224</f>
        <v/>
      </c>
      <c r="I224" s="10">
        <f>IF(A224=A223,I223&amp;" · ","")&amp;IF(C224="카드",D224&amp;E224,"["&amp;C224&amp;"] "&amp;D224)</f>
        <v/>
      </c>
    </row>
    <row r="225">
      <c r="A225" s="5" t="n">
        <v>63</v>
      </c>
      <c r="B225" s="5" t="n">
        <v>1</v>
      </c>
      <c r="C225" s="5" t="inlineStr">
        <is>
          <t>카드</t>
        </is>
      </c>
      <c r="D225" s="5" t="inlineStr">
        <is>
          <t>조인</t>
        </is>
      </c>
      <c r="E225" s="5" t="n">
        <v>1</v>
      </c>
      <c r="F225" s="5" t="inlineStr">
        <is>
          <t>A</t>
        </is>
      </c>
      <c r="G225" s="5">
        <f>IF(C225="카드",INDEX(비용표!$C$2:$C$7,MATCH(F225,비용표!$B$2:$B$7,0)),F225*INDEX(비용표!$C$8:$C$9,MATCH(C225,비용표!$B$8:$B$9,0)))</f>
        <v/>
      </c>
      <c r="H225" s="5">
        <f>G225*E225</f>
        <v/>
      </c>
      <c r="I225" s="10">
        <f>IF(A225=A224,I224&amp;" · ","")&amp;IF(C225="카드",D225&amp;E225,"["&amp;C225&amp;"] "&amp;D225)</f>
        <v/>
      </c>
    </row>
    <row r="226">
      <c r="A226" s="5" t="n">
        <v>63</v>
      </c>
      <c r="B226" s="5" t="n">
        <v>2</v>
      </c>
      <c r="C226" s="5" t="inlineStr">
        <is>
          <t>카드</t>
        </is>
      </c>
      <c r="D226" s="5" t="inlineStr">
        <is>
          <t>주유</t>
        </is>
      </c>
      <c r="E226" s="5" t="n">
        <v>1</v>
      </c>
      <c r="F226" s="5" t="inlineStr">
        <is>
          <t>S</t>
        </is>
      </c>
      <c r="G226" s="5">
        <f>IF(C226="카드",INDEX(비용표!$C$2:$C$7,MATCH(F226,비용표!$B$2:$B$7,0)),F226*INDEX(비용표!$C$8:$C$9,MATCH(C226,비용표!$B$8:$B$9,0)))</f>
        <v/>
      </c>
      <c r="H226" s="5">
        <f>G226*E226</f>
        <v/>
      </c>
      <c r="I226" s="10">
        <f>IF(A226=A225,I225&amp;" · ","")&amp;IF(C226="카드",D226&amp;E226,"["&amp;C226&amp;"] "&amp;D226)</f>
        <v/>
      </c>
    </row>
    <row r="227">
      <c r="A227" s="5" t="n">
        <v>63</v>
      </c>
      <c r="B227" s="5" t="n">
        <v>3</v>
      </c>
      <c r="C227" s="5" t="inlineStr">
        <is>
          <t>카드</t>
        </is>
      </c>
      <c r="D227" s="5" t="inlineStr">
        <is>
          <t>조홍</t>
        </is>
      </c>
      <c r="E227" s="5" t="n">
        <v>1</v>
      </c>
      <c r="F227" s="5" t="inlineStr">
        <is>
          <t>B</t>
        </is>
      </c>
      <c r="G227" s="5">
        <f>IF(C227="카드",INDEX(비용표!$C$2:$C$7,MATCH(F227,비용표!$B$2:$B$7,0)),F227*INDEX(비용표!$C$8:$C$9,MATCH(C227,비용표!$B$8:$B$9,0)))</f>
        <v/>
      </c>
      <c r="H227" s="5">
        <f>G227*E227</f>
        <v/>
      </c>
      <c r="I227" s="10">
        <f>IF(A227=A226,I226&amp;" · ","")&amp;IF(C227="카드",D227&amp;E227,"["&amp;C227&amp;"] "&amp;D227)</f>
        <v/>
      </c>
    </row>
    <row r="228">
      <c r="A228" s="5" t="n">
        <v>64</v>
      </c>
      <c r="B228" s="5" t="n">
        <v>1</v>
      </c>
      <c r="C228" s="5" t="inlineStr">
        <is>
          <t>카드</t>
        </is>
      </c>
      <c r="D228" s="5" t="inlineStr">
        <is>
          <t>주유</t>
        </is>
      </c>
      <c r="E228" s="5" t="n">
        <v>1</v>
      </c>
      <c r="F228" s="5" t="inlineStr">
        <is>
          <t>S</t>
        </is>
      </c>
      <c r="G228" s="5">
        <f>IF(C228="카드",INDEX(비용표!$C$2:$C$7,MATCH(F228,비용표!$B$2:$B$7,0)),F228*INDEX(비용표!$C$8:$C$9,MATCH(C228,비용표!$B$8:$B$9,0)))</f>
        <v/>
      </c>
      <c r="H228" s="5">
        <f>G228*E228</f>
        <v/>
      </c>
      <c r="I228" s="10">
        <f>IF(A228=A227,I227&amp;" · ","")&amp;IF(C228="카드",D228&amp;E228,"["&amp;C228&amp;"] "&amp;D228)</f>
        <v/>
      </c>
    </row>
    <row r="229">
      <c r="A229" s="5" t="n">
        <v>64</v>
      </c>
      <c r="B229" s="5" t="n">
        <v>2</v>
      </c>
      <c r="C229" s="5" t="inlineStr">
        <is>
          <t>카드</t>
        </is>
      </c>
      <c r="D229" s="5" t="inlineStr">
        <is>
          <t>제갈량</t>
        </is>
      </c>
      <c r="E229" s="5" t="n">
        <v>1</v>
      </c>
      <c r="F229" s="5" t="inlineStr">
        <is>
          <t>S</t>
        </is>
      </c>
      <c r="G229" s="5">
        <f>IF(C229="카드",INDEX(비용표!$C$2:$C$7,MATCH(F229,비용표!$B$2:$B$7,0)),F229*INDEX(비용표!$C$8:$C$9,MATCH(C229,비용표!$B$8:$B$9,0)))</f>
        <v/>
      </c>
      <c r="H229" s="5">
        <f>G229*E229</f>
        <v/>
      </c>
      <c r="I229" s="10">
        <f>IF(A229=A228,I228&amp;" · ","")&amp;IF(C229="카드",D229&amp;E229,"["&amp;C229&amp;"] "&amp;D229)</f>
        <v/>
      </c>
    </row>
    <row r="230">
      <c r="A230" s="5" t="n">
        <v>65</v>
      </c>
      <c r="B230" s="5" t="n">
        <v>1</v>
      </c>
      <c r="C230" s="5" t="inlineStr">
        <is>
          <t>카드</t>
        </is>
      </c>
      <c r="D230" s="5" t="inlineStr">
        <is>
          <t>황충</t>
        </is>
      </c>
      <c r="E230" s="5" t="n">
        <v>1</v>
      </c>
      <c r="F230" s="5" t="inlineStr">
        <is>
          <t>S</t>
        </is>
      </c>
      <c r="G230" s="5">
        <f>IF(C230="카드",INDEX(비용표!$C$2:$C$7,MATCH(F230,비용표!$B$2:$B$7,0)),F230*INDEX(비용표!$C$8:$C$9,MATCH(C230,비용표!$B$8:$B$9,0)))</f>
        <v/>
      </c>
      <c r="H230" s="5">
        <f>G230*E230</f>
        <v/>
      </c>
      <c r="I230" s="10">
        <f>IF(A230=A229,I229&amp;" · ","")&amp;IF(C230="카드",D230&amp;E230,"["&amp;C230&amp;"] "&amp;D230)</f>
        <v/>
      </c>
    </row>
    <row r="231">
      <c r="A231" s="5" t="n">
        <v>65</v>
      </c>
      <c r="B231" s="5" t="n">
        <v>2</v>
      </c>
      <c r="C231" s="5" t="inlineStr">
        <is>
          <t>카드</t>
        </is>
      </c>
      <c r="D231" s="5" t="inlineStr">
        <is>
          <t>관우</t>
        </is>
      </c>
      <c r="E231" s="5" t="n">
        <v>1</v>
      </c>
      <c r="F231" s="5" t="inlineStr">
        <is>
          <t>S</t>
        </is>
      </c>
      <c r="G231" s="5">
        <f>IF(C231="카드",INDEX(비용표!$C$2:$C$7,MATCH(F231,비용표!$B$2:$B$7,0)),F231*INDEX(비용표!$C$8:$C$9,MATCH(C231,비용표!$B$8:$B$9,0)))</f>
        <v/>
      </c>
      <c r="H231" s="5">
        <f>G231*E231</f>
        <v/>
      </c>
      <c r="I231" s="10">
        <f>IF(A231=A230,I230&amp;" · ","")&amp;IF(C231="카드",D231&amp;E231,"["&amp;C231&amp;"] "&amp;D231)</f>
        <v/>
      </c>
    </row>
    <row r="232">
      <c r="A232" s="5" t="n">
        <v>65</v>
      </c>
      <c r="B232" s="5" t="n">
        <v>3</v>
      </c>
      <c r="C232" s="5" t="inlineStr">
        <is>
          <t>카드</t>
        </is>
      </c>
      <c r="D232" s="5" t="inlineStr">
        <is>
          <t>한현</t>
        </is>
      </c>
      <c r="E232" s="5" t="n">
        <v>1</v>
      </c>
      <c r="F232" s="5" t="inlineStr">
        <is>
          <t>D</t>
        </is>
      </c>
      <c r="G232" s="5">
        <f>IF(C232="카드",INDEX(비용표!$C$2:$C$7,MATCH(F232,비용표!$B$2:$B$7,0)),F232*INDEX(비용표!$C$8:$C$9,MATCH(C232,비용표!$B$8:$B$9,0)))</f>
        <v/>
      </c>
      <c r="H232" s="5">
        <f>G232*E232</f>
        <v/>
      </c>
      <c r="I232" s="10">
        <f>IF(A232=A231,I231&amp;" · ","")&amp;IF(C232="카드",D232&amp;E232,"["&amp;C232&amp;"] "&amp;D232)</f>
        <v/>
      </c>
    </row>
    <row r="233">
      <c r="A233" s="5" t="n">
        <v>65</v>
      </c>
      <c r="B233" s="5" t="n">
        <v>4</v>
      </c>
      <c r="C233" s="5" t="inlineStr">
        <is>
          <t>카드</t>
        </is>
      </c>
      <c r="D233" s="5" t="inlineStr">
        <is>
          <t>위연</t>
        </is>
      </c>
      <c r="E233" s="5" t="n">
        <v>1</v>
      </c>
      <c r="F233" s="5" t="inlineStr">
        <is>
          <t>A</t>
        </is>
      </c>
      <c r="G233" s="5">
        <f>IF(C233="카드",INDEX(비용표!$C$2:$C$7,MATCH(F233,비용표!$B$2:$B$7,0)),F233*INDEX(비용표!$C$8:$C$9,MATCH(C233,비용표!$B$8:$B$9,0)))</f>
        <v/>
      </c>
      <c r="H233" s="5">
        <f>G233*E233</f>
        <v/>
      </c>
      <c r="I233" s="10">
        <f>IF(A233=A232,I232&amp;" · ","")&amp;IF(C233="카드",D233&amp;E233,"["&amp;C233&amp;"] "&amp;D233)</f>
        <v/>
      </c>
    </row>
    <row r="234">
      <c r="A234" s="5" t="n">
        <v>66</v>
      </c>
      <c r="B234" s="5" t="n">
        <v>1</v>
      </c>
      <c r="C234" s="5" t="inlineStr">
        <is>
          <t>카드</t>
        </is>
      </c>
      <c r="D234" s="5" t="inlineStr">
        <is>
          <t>유비</t>
        </is>
      </c>
      <c r="E234" s="5" t="n">
        <v>1</v>
      </c>
      <c r="F234" s="5" t="inlineStr">
        <is>
          <t>S</t>
        </is>
      </c>
      <c r="G234" s="5">
        <f>IF(C234="카드",INDEX(비용표!$C$2:$C$7,MATCH(F234,비용표!$B$2:$B$7,0)),F234*INDEX(비용표!$C$8:$C$9,MATCH(C234,비용표!$B$8:$B$9,0)))</f>
        <v/>
      </c>
      <c r="H234" s="5">
        <f>G234*E234</f>
        <v/>
      </c>
      <c r="I234" s="10">
        <f>IF(A234=A233,I233&amp;" · ","")&amp;IF(C234="카드",D234&amp;E234,"["&amp;C234&amp;"] "&amp;D234)</f>
        <v/>
      </c>
    </row>
    <row r="235">
      <c r="A235" s="5" t="n">
        <v>66</v>
      </c>
      <c r="B235" s="5" t="n">
        <v>2</v>
      </c>
      <c r="C235" s="5" t="inlineStr">
        <is>
          <t>카드</t>
        </is>
      </c>
      <c r="D235" s="5" t="inlineStr">
        <is>
          <t>손권</t>
        </is>
      </c>
      <c r="E235" s="5" t="n">
        <v>1</v>
      </c>
      <c r="F235" s="5" t="inlineStr">
        <is>
          <t>S</t>
        </is>
      </c>
      <c r="G235" s="5">
        <f>IF(C235="카드",INDEX(비용표!$C$2:$C$7,MATCH(F235,비용표!$B$2:$B$7,0)),F235*INDEX(비용표!$C$8:$C$9,MATCH(C235,비용표!$B$8:$B$9,0)))</f>
        <v/>
      </c>
      <c r="H235" s="5">
        <f>G235*E235</f>
        <v/>
      </c>
      <c r="I235" s="10">
        <f>IF(A235=A234,I234&amp;" · ","")&amp;IF(C235="카드",D235&amp;E235,"["&amp;C235&amp;"] "&amp;D235)</f>
        <v/>
      </c>
    </row>
    <row r="236">
      <c r="A236" s="5" t="n">
        <v>66</v>
      </c>
      <c r="B236" s="5" t="n">
        <v>3</v>
      </c>
      <c r="C236" s="5" t="inlineStr">
        <is>
          <t>카드</t>
        </is>
      </c>
      <c r="D236" s="5" t="inlineStr">
        <is>
          <t>조운</t>
        </is>
      </c>
      <c r="E236" s="5" t="n">
        <v>1</v>
      </c>
      <c r="F236" s="5" t="inlineStr">
        <is>
          <t>S</t>
        </is>
      </c>
      <c r="G236" s="5">
        <f>IF(C236="카드",INDEX(비용표!$C$2:$C$7,MATCH(F236,비용표!$B$2:$B$7,0)),F236*INDEX(비용표!$C$8:$C$9,MATCH(C236,비용표!$B$8:$B$9,0)))</f>
        <v/>
      </c>
      <c r="H236" s="5">
        <f>G236*E236</f>
        <v/>
      </c>
      <c r="I236" s="10">
        <f>IF(A236=A235,I235&amp;" · ","")&amp;IF(C236="카드",D236&amp;E236,"["&amp;C236&amp;"] "&amp;D236)</f>
        <v/>
      </c>
    </row>
    <row r="237">
      <c r="A237" s="5" t="n">
        <v>66</v>
      </c>
      <c r="B237" s="5" t="n">
        <v>4</v>
      </c>
      <c r="C237" s="5" t="inlineStr">
        <is>
          <t>카드</t>
        </is>
      </c>
      <c r="D237" s="5" t="inlineStr">
        <is>
          <t>주유</t>
        </is>
      </c>
      <c r="E237" s="5" t="n">
        <v>1</v>
      </c>
      <c r="F237" s="5" t="inlineStr">
        <is>
          <t>S</t>
        </is>
      </c>
      <c r="G237" s="5">
        <f>IF(C237="카드",INDEX(비용표!$C$2:$C$7,MATCH(F237,비용표!$B$2:$B$7,0)),F237*INDEX(비용표!$C$8:$C$9,MATCH(C237,비용표!$B$8:$B$9,0)))</f>
        <v/>
      </c>
      <c r="H237" s="5">
        <f>G237*E237</f>
        <v/>
      </c>
      <c r="I237" s="10">
        <f>IF(A237=A236,I236&amp;" · ","")&amp;IF(C237="카드",D237&amp;E237,"["&amp;C237&amp;"] "&amp;D237)</f>
        <v/>
      </c>
    </row>
    <row r="238">
      <c r="A238" s="5" t="n">
        <v>67</v>
      </c>
      <c r="B238" s="5" t="n">
        <v>1</v>
      </c>
      <c r="C238" s="5" t="inlineStr">
        <is>
          <t>카드</t>
        </is>
      </c>
      <c r="D238" s="5" t="inlineStr">
        <is>
          <t>조식</t>
        </is>
      </c>
      <c r="E238" s="5" t="n">
        <v>1</v>
      </c>
      <c r="F238" s="5" t="inlineStr">
        <is>
          <t>B</t>
        </is>
      </c>
      <c r="G238" s="5">
        <f>IF(C238="카드",INDEX(비용표!$C$2:$C$7,MATCH(F238,비용표!$B$2:$B$7,0)),F238*INDEX(비용표!$C$8:$C$9,MATCH(C238,비용표!$B$8:$B$9,0)))</f>
        <v/>
      </c>
      <c r="H238" s="5">
        <f>G238*E238</f>
        <v/>
      </c>
      <c r="I238" s="10">
        <f>IF(A238=A237,I237&amp;" · ","")&amp;IF(C238="카드",D238&amp;E238,"["&amp;C238&amp;"] "&amp;D238)</f>
        <v/>
      </c>
    </row>
    <row r="239">
      <c r="A239" s="5" t="n">
        <v>67</v>
      </c>
      <c r="B239" s="5" t="n">
        <v>2</v>
      </c>
      <c r="C239" s="5" t="inlineStr">
        <is>
          <t>카드</t>
        </is>
      </c>
      <c r="D239" s="5" t="inlineStr">
        <is>
          <t>조비</t>
        </is>
      </c>
      <c r="E239" s="5" t="n">
        <v>1</v>
      </c>
      <c r="F239" s="5" t="inlineStr">
        <is>
          <t>C</t>
        </is>
      </c>
      <c r="G239" s="5">
        <f>IF(C239="카드",INDEX(비용표!$C$2:$C$7,MATCH(F239,비용표!$B$2:$B$7,0)),F239*INDEX(비용표!$C$8:$C$9,MATCH(C239,비용표!$B$8:$B$9,0)))</f>
        <v/>
      </c>
      <c r="H239" s="5">
        <f>G239*E239</f>
        <v/>
      </c>
      <c r="I239" s="10">
        <f>IF(A239=A238,I238&amp;" · ","")&amp;IF(C239="카드",D239&amp;E239,"["&amp;C239&amp;"] "&amp;D239)</f>
        <v/>
      </c>
    </row>
    <row r="240">
      <c r="A240" s="5" t="n">
        <v>67</v>
      </c>
      <c r="B240" s="5" t="n">
        <v>3</v>
      </c>
      <c r="C240" s="5" t="inlineStr">
        <is>
          <t>카드</t>
        </is>
      </c>
      <c r="D240" s="5" t="inlineStr">
        <is>
          <t>조조</t>
        </is>
      </c>
      <c r="E240" s="5" t="n">
        <v>1</v>
      </c>
      <c r="F240" s="5" t="inlineStr">
        <is>
          <t>S</t>
        </is>
      </c>
      <c r="G240" s="5">
        <f>IF(C240="카드",INDEX(비용표!$C$2:$C$7,MATCH(F240,비용표!$B$2:$B$7,0)),F240*INDEX(비용표!$C$8:$C$9,MATCH(C240,비용표!$B$8:$B$9,0)))</f>
        <v/>
      </c>
      <c r="H240" s="5">
        <f>G240*E240</f>
        <v/>
      </c>
      <c r="I240" s="10">
        <f>IF(A240=A239,I239&amp;" · ","")&amp;IF(C240="카드",D240&amp;E240,"["&amp;C240&amp;"] "&amp;D240)</f>
        <v/>
      </c>
    </row>
    <row r="241">
      <c r="A241" s="5" t="n">
        <v>68</v>
      </c>
      <c r="B241" s="5" t="n">
        <v>1</v>
      </c>
      <c r="C241" s="5" t="inlineStr">
        <is>
          <t>카드</t>
        </is>
      </c>
      <c r="D241" s="5" t="inlineStr">
        <is>
          <t>마초</t>
        </is>
      </c>
      <c r="E241" s="5" t="n">
        <v>1</v>
      </c>
      <c r="F241" s="5" t="inlineStr">
        <is>
          <t>S</t>
        </is>
      </c>
      <c r="G241" s="5">
        <f>IF(C241="카드",INDEX(비용표!$C$2:$C$7,MATCH(F241,비용표!$B$2:$B$7,0)),F241*INDEX(비용표!$C$8:$C$9,MATCH(C241,비용표!$B$8:$B$9,0)))</f>
        <v/>
      </c>
      <c r="H241" s="5">
        <f>G241*E241</f>
        <v/>
      </c>
      <c r="I241" s="10">
        <f>IF(A241=A240,I240&amp;" · ","")&amp;IF(C241="카드",D241&amp;E241,"["&amp;C241&amp;"] "&amp;D241)</f>
        <v/>
      </c>
    </row>
    <row r="242">
      <c r="A242" s="5" t="n">
        <v>68</v>
      </c>
      <c r="B242" s="5" t="n">
        <v>2</v>
      </c>
      <c r="C242" s="5" t="inlineStr">
        <is>
          <t>카드</t>
        </is>
      </c>
      <c r="D242" s="5" t="inlineStr">
        <is>
          <t>마대</t>
        </is>
      </c>
      <c r="E242" s="5" t="n">
        <v>1</v>
      </c>
      <c r="F242" s="5" t="inlineStr">
        <is>
          <t>B</t>
        </is>
      </c>
      <c r="G242" s="5">
        <f>IF(C242="카드",INDEX(비용표!$C$2:$C$7,MATCH(F242,비용표!$B$2:$B$7,0)),F242*INDEX(비용표!$C$8:$C$9,MATCH(C242,비용표!$B$8:$B$9,0)))</f>
        <v/>
      </c>
      <c r="H242" s="5">
        <f>G242*E242</f>
        <v/>
      </c>
      <c r="I242" s="10">
        <f>IF(A242=A241,I241&amp;" · ","")&amp;IF(C242="카드",D242&amp;E242,"["&amp;C242&amp;"] "&amp;D242)</f>
        <v/>
      </c>
    </row>
    <row r="243">
      <c r="A243" s="5" t="n">
        <v>68</v>
      </c>
      <c r="B243" s="5" t="n">
        <v>3</v>
      </c>
      <c r="C243" s="5" t="inlineStr">
        <is>
          <t>카드</t>
        </is>
      </c>
      <c r="D243" s="5" t="inlineStr">
        <is>
          <t>방덕</t>
        </is>
      </c>
      <c r="E243" s="5" t="n">
        <v>1</v>
      </c>
      <c r="F243" s="5" t="inlineStr">
        <is>
          <t>S</t>
        </is>
      </c>
      <c r="G243" s="5">
        <f>IF(C243="카드",INDEX(비용표!$C$2:$C$7,MATCH(F243,비용표!$B$2:$B$7,0)),F243*INDEX(비용표!$C$8:$C$9,MATCH(C243,비용표!$B$8:$B$9,0)))</f>
        <v/>
      </c>
      <c r="H243" s="5">
        <f>G243*E243</f>
        <v/>
      </c>
      <c r="I243" s="10">
        <f>IF(A243=A242,I242&amp;" · ","")&amp;IF(C243="카드",D243&amp;E243,"["&amp;C243&amp;"] "&amp;D243)</f>
        <v/>
      </c>
    </row>
    <row r="244">
      <c r="A244" s="5" t="n">
        <v>68</v>
      </c>
      <c r="B244" s="5" t="n">
        <v>4</v>
      </c>
      <c r="C244" s="5" t="inlineStr">
        <is>
          <t>카드</t>
        </is>
      </c>
      <c r="D244" s="5" t="inlineStr">
        <is>
          <t>조조</t>
        </is>
      </c>
      <c r="E244" s="5" t="n">
        <v>1</v>
      </c>
      <c r="F244" s="5" t="inlineStr">
        <is>
          <t>S</t>
        </is>
      </c>
      <c r="G244" s="5">
        <f>IF(C244="카드",INDEX(비용표!$C$2:$C$7,MATCH(F244,비용표!$B$2:$B$7,0)),F244*INDEX(비용표!$C$8:$C$9,MATCH(C244,비용표!$B$8:$B$9,0)))</f>
        <v/>
      </c>
      <c r="H244" s="5">
        <f>G244*E244</f>
        <v/>
      </c>
      <c r="I244" s="10">
        <f>IF(A244=A243,I243&amp;" · ","")&amp;IF(C244="카드",D244&amp;E244,"["&amp;C244&amp;"] "&amp;D244)</f>
        <v/>
      </c>
    </row>
    <row r="245">
      <c r="A245" s="5" t="n">
        <v>68</v>
      </c>
      <c r="B245" s="5" t="n">
        <v>5</v>
      </c>
      <c r="C245" s="5" t="inlineStr">
        <is>
          <t>카드</t>
        </is>
      </c>
      <c r="D245" s="5" t="inlineStr">
        <is>
          <t>허저</t>
        </is>
      </c>
      <c r="E245" s="5" t="n">
        <v>1</v>
      </c>
      <c r="F245" s="5" t="inlineStr">
        <is>
          <t>S</t>
        </is>
      </c>
      <c r="G245" s="5">
        <f>IF(C245="카드",INDEX(비용표!$C$2:$C$7,MATCH(F245,비용표!$B$2:$B$7,0)),F245*INDEX(비용표!$C$8:$C$9,MATCH(C245,비용표!$B$8:$B$9,0)))</f>
        <v/>
      </c>
      <c r="H245" s="5">
        <f>G245*E245</f>
        <v/>
      </c>
      <c r="I245" s="10">
        <f>IF(A245=A244,I244&amp;" · ","")&amp;IF(C245="카드",D245&amp;E245,"["&amp;C245&amp;"] "&amp;D245)</f>
        <v/>
      </c>
    </row>
    <row r="246">
      <c r="A246" s="5" t="n">
        <v>69</v>
      </c>
      <c r="B246" s="5" t="n">
        <v>1</v>
      </c>
      <c r="C246" s="5" t="inlineStr">
        <is>
          <t>카드</t>
        </is>
      </c>
      <c r="D246" s="5" t="inlineStr">
        <is>
          <t>장송</t>
        </is>
      </c>
      <c r="E246" s="5" t="n">
        <v>1</v>
      </c>
      <c r="F246" s="5" t="inlineStr">
        <is>
          <t>B</t>
        </is>
      </c>
      <c r="G246" s="5">
        <f>IF(C246="카드",INDEX(비용표!$C$2:$C$7,MATCH(F246,비용표!$B$2:$B$7,0)),F246*INDEX(비용표!$C$8:$C$9,MATCH(C246,비용표!$B$8:$B$9,0)))</f>
        <v/>
      </c>
      <c r="H246" s="5">
        <f>G246*E246</f>
        <v/>
      </c>
      <c r="I246" s="10">
        <f>IF(A246=A245,I245&amp;" · ","")&amp;IF(C246="카드",D246&amp;E246,"["&amp;C246&amp;"] "&amp;D246)</f>
        <v/>
      </c>
    </row>
    <row r="247">
      <c r="A247" s="5" t="n">
        <v>69</v>
      </c>
      <c r="B247" s="5" t="n">
        <v>2</v>
      </c>
      <c r="C247" s="5" t="inlineStr">
        <is>
          <t>카드</t>
        </is>
      </c>
      <c r="D247" s="5" t="inlineStr">
        <is>
          <t>법정</t>
        </is>
      </c>
      <c r="E247" s="5" t="n">
        <v>1</v>
      </c>
      <c r="F247" s="5" t="inlineStr">
        <is>
          <t>A</t>
        </is>
      </c>
      <c r="G247" s="5">
        <f>IF(C247="카드",INDEX(비용표!$C$2:$C$7,MATCH(F247,비용표!$B$2:$B$7,0)),F247*INDEX(비용표!$C$8:$C$9,MATCH(C247,비용표!$B$8:$B$9,0)))</f>
        <v/>
      </c>
      <c r="H247" s="5">
        <f>G247*E247</f>
        <v/>
      </c>
      <c r="I247" s="10">
        <f>IF(A247=A246,I246&amp;" · ","")&amp;IF(C247="카드",D247&amp;E247,"["&amp;C247&amp;"] "&amp;D247)</f>
        <v/>
      </c>
    </row>
    <row r="248">
      <c r="A248" s="5" t="n">
        <v>69</v>
      </c>
      <c r="B248" s="5" t="n">
        <v>3</v>
      </c>
      <c r="C248" s="5" t="inlineStr">
        <is>
          <t>카드</t>
        </is>
      </c>
      <c r="D248" s="5" t="inlineStr">
        <is>
          <t>맹달</t>
        </is>
      </c>
      <c r="E248" s="5" t="n">
        <v>1</v>
      </c>
      <c r="F248" s="5" t="inlineStr">
        <is>
          <t>A</t>
        </is>
      </c>
      <c r="G248" s="5">
        <f>IF(C248="카드",INDEX(비용표!$C$2:$C$7,MATCH(F248,비용표!$B$2:$B$7,0)),F248*INDEX(비용표!$C$8:$C$9,MATCH(C248,비용표!$B$8:$B$9,0)))</f>
        <v/>
      </c>
      <c r="H248" s="5">
        <f>G248*E248</f>
        <v/>
      </c>
      <c r="I248" s="10">
        <f>IF(A248=A247,I247&amp;" · ","")&amp;IF(C248="카드",D248&amp;E248,"["&amp;C248&amp;"] "&amp;D248)</f>
        <v/>
      </c>
    </row>
    <row r="249">
      <c r="A249" s="5" t="n">
        <v>69</v>
      </c>
      <c r="B249" s="5" t="n">
        <v>4</v>
      </c>
      <c r="C249" s="5" t="inlineStr">
        <is>
          <t>카드</t>
        </is>
      </c>
      <c r="D249" s="5" t="inlineStr">
        <is>
          <t>유장</t>
        </is>
      </c>
      <c r="E249" s="5" t="n">
        <v>1</v>
      </c>
      <c r="F249" s="5" t="inlineStr">
        <is>
          <t>C</t>
        </is>
      </c>
      <c r="G249" s="5">
        <f>IF(C249="카드",INDEX(비용표!$C$2:$C$7,MATCH(F249,비용표!$B$2:$B$7,0)),F249*INDEX(비용표!$C$8:$C$9,MATCH(C249,비용표!$B$8:$B$9,0)))</f>
        <v/>
      </c>
      <c r="H249" s="5">
        <f>G249*E249</f>
        <v/>
      </c>
      <c r="I249" s="10">
        <f>IF(A249=A248,I248&amp;" · ","")&amp;IF(C249="카드",D249&amp;E249,"["&amp;C249&amp;"] "&amp;D249)</f>
        <v/>
      </c>
    </row>
    <row r="250">
      <c r="A250" s="5" t="n">
        <v>70</v>
      </c>
      <c r="B250" s="5" t="n">
        <v>1</v>
      </c>
      <c r="C250" s="5" t="inlineStr">
        <is>
          <t>카드</t>
        </is>
      </c>
      <c r="D250" s="5" t="inlineStr">
        <is>
          <t>방통</t>
        </is>
      </c>
      <c r="E250" s="5" t="n">
        <v>1</v>
      </c>
      <c r="F250" s="5" t="inlineStr">
        <is>
          <t>S</t>
        </is>
      </c>
      <c r="G250" s="5">
        <f>IF(C250="카드",INDEX(비용표!$C$2:$C$7,MATCH(F250,비용표!$B$2:$B$7,0)),F250*INDEX(비용표!$C$8:$C$9,MATCH(C250,비용표!$B$8:$B$9,0)))</f>
        <v/>
      </c>
      <c r="H250" s="5">
        <f>G250*E250</f>
        <v/>
      </c>
      <c r="I250" s="10">
        <f>IF(A250=A249,I249&amp;" · ","")&amp;IF(C250="카드",D250&amp;E250,"["&amp;C250&amp;"] "&amp;D250)</f>
        <v/>
      </c>
    </row>
    <row r="251">
      <c r="A251" s="5" t="n">
        <v>70</v>
      </c>
      <c r="B251" s="5" t="n">
        <v>2</v>
      </c>
      <c r="C251" s="5" t="inlineStr">
        <is>
          <t>카드</t>
        </is>
      </c>
      <c r="D251" s="5" t="inlineStr">
        <is>
          <t>장임</t>
        </is>
      </c>
      <c r="E251" s="5" t="n">
        <v>1</v>
      </c>
      <c r="F251" s="5" t="inlineStr">
        <is>
          <t>A</t>
        </is>
      </c>
      <c r="G251" s="5">
        <f>IF(C251="카드",INDEX(비용표!$C$2:$C$7,MATCH(F251,비용표!$B$2:$B$7,0)),F251*INDEX(비용표!$C$8:$C$9,MATCH(C251,비용표!$B$8:$B$9,0)))</f>
        <v/>
      </c>
      <c r="H251" s="5">
        <f>G251*E251</f>
        <v/>
      </c>
      <c r="I251" s="10">
        <f>IF(A251=A250,I250&amp;" · ","")&amp;IF(C251="카드",D251&amp;E251,"["&amp;C251&amp;"] "&amp;D251)</f>
        <v/>
      </c>
    </row>
    <row r="252">
      <c r="A252" s="5" t="n">
        <v>70</v>
      </c>
      <c r="B252" s="5" t="n">
        <v>3</v>
      </c>
      <c r="C252" s="5" t="inlineStr">
        <is>
          <t>아이템</t>
        </is>
      </c>
      <c r="D252" s="5" t="inlineStr">
        <is>
          <t>적로</t>
        </is>
      </c>
      <c r="E252" s="5" t="n">
        <v>1</v>
      </c>
      <c r="F252" s="5" t="n">
        <v>3</v>
      </c>
      <c r="G252" s="5">
        <f>IF(C252="카드",INDEX(비용표!$C$2:$C$7,MATCH(F252,비용표!$B$2:$B$7,0)),F252*INDEX(비용표!$C$8:$C$9,MATCH(C252,비용표!$B$8:$B$9,0)))</f>
        <v/>
      </c>
      <c r="H252" s="5">
        <f>G252*E252</f>
        <v/>
      </c>
      <c r="I252" s="10">
        <f>IF(A252=A251,I251&amp;" · ","")&amp;IF(C252="카드",D252&amp;E252,"["&amp;C252&amp;"] "&amp;D252)</f>
        <v/>
      </c>
    </row>
    <row r="253">
      <c r="A253" s="5" t="n">
        <v>71</v>
      </c>
      <c r="B253" s="5" t="n">
        <v>1</v>
      </c>
      <c r="C253" s="5" t="inlineStr">
        <is>
          <t>카드</t>
        </is>
      </c>
      <c r="D253" s="5" t="inlineStr">
        <is>
          <t>엄안</t>
        </is>
      </c>
      <c r="E253" s="5" t="n">
        <v>1</v>
      </c>
      <c r="F253" s="5" t="inlineStr">
        <is>
          <t>A</t>
        </is>
      </c>
      <c r="G253" s="5">
        <f>IF(C253="카드",INDEX(비용표!$C$2:$C$7,MATCH(F253,비용표!$B$2:$B$7,0)),F253*INDEX(비용표!$C$8:$C$9,MATCH(C253,비용표!$B$8:$B$9,0)))</f>
        <v/>
      </c>
      <c r="H253" s="5">
        <f>G253*E253</f>
        <v/>
      </c>
      <c r="I253" s="10">
        <f>IF(A253=A252,I252&amp;" · ","")&amp;IF(C253="카드",D253&amp;E253,"["&amp;C253&amp;"] "&amp;D253)</f>
        <v/>
      </c>
    </row>
    <row r="254">
      <c r="A254" s="5" t="n">
        <v>71</v>
      </c>
      <c r="B254" s="5" t="n">
        <v>2</v>
      </c>
      <c r="C254" s="5" t="inlineStr">
        <is>
          <t>카드</t>
        </is>
      </c>
      <c r="D254" s="5" t="inlineStr">
        <is>
          <t>장비</t>
        </is>
      </c>
      <c r="E254" s="5" t="n">
        <v>1</v>
      </c>
      <c r="F254" s="5" t="inlineStr">
        <is>
          <t>S</t>
        </is>
      </c>
      <c r="G254" s="5">
        <f>IF(C254="카드",INDEX(비용표!$C$2:$C$7,MATCH(F254,비용표!$B$2:$B$7,0)),F254*INDEX(비용표!$C$8:$C$9,MATCH(C254,비용표!$B$8:$B$9,0)))</f>
        <v/>
      </c>
      <c r="H254" s="5">
        <f>G254*E254</f>
        <v/>
      </c>
      <c r="I254" s="10">
        <f>IF(A254=A253,I253&amp;" · ","")&amp;IF(C254="카드",D254&amp;E254,"["&amp;C254&amp;"] "&amp;D254)</f>
        <v/>
      </c>
    </row>
    <row r="255">
      <c r="A255" s="5" t="n">
        <v>72</v>
      </c>
      <c r="B255" s="5" t="n">
        <v>1</v>
      </c>
      <c r="C255" s="5" t="inlineStr">
        <is>
          <t>카드</t>
        </is>
      </c>
      <c r="D255" s="5" t="inlineStr">
        <is>
          <t>장비</t>
        </is>
      </c>
      <c r="E255" s="5" t="n">
        <v>1</v>
      </c>
      <c r="F255" s="5" t="inlineStr">
        <is>
          <t>S</t>
        </is>
      </c>
      <c r="G255" s="5">
        <f>IF(C255="카드",INDEX(비용표!$C$2:$C$7,MATCH(F255,비용표!$B$2:$B$7,0)),F255*INDEX(비용표!$C$8:$C$9,MATCH(C255,비용표!$B$8:$B$9,0)))</f>
        <v/>
      </c>
      <c r="H255" s="5">
        <f>G255*E255</f>
        <v/>
      </c>
      <c r="I255" s="10">
        <f>IF(A255=A254,I254&amp;" · ","")&amp;IF(C255="카드",D255&amp;E255,"["&amp;C255&amp;"] "&amp;D255)</f>
        <v/>
      </c>
    </row>
    <row r="256">
      <c r="A256" s="5" t="n">
        <v>72</v>
      </c>
      <c r="B256" s="5" t="n">
        <v>2</v>
      </c>
      <c r="C256" s="5" t="inlineStr">
        <is>
          <t>카드</t>
        </is>
      </c>
      <c r="D256" s="5" t="inlineStr">
        <is>
          <t>마초</t>
        </is>
      </c>
      <c r="E256" s="5" t="n">
        <v>1</v>
      </c>
      <c r="F256" s="5" t="inlineStr">
        <is>
          <t>S</t>
        </is>
      </c>
      <c r="G256" s="5">
        <f>IF(C256="카드",INDEX(비용표!$C$2:$C$7,MATCH(F256,비용표!$B$2:$B$7,0)),F256*INDEX(비용표!$C$8:$C$9,MATCH(C256,비용표!$B$8:$B$9,0)))</f>
        <v/>
      </c>
      <c r="H256" s="5">
        <f>G256*E256</f>
        <v/>
      </c>
      <c r="I256" s="10">
        <f>IF(A256=A255,I255&amp;" · ","")&amp;IF(C256="카드",D256&amp;E256,"["&amp;C256&amp;"] "&amp;D256)</f>
        <v/>
      </c>
    </row>
    <row r="257">
      <c r="A257" s="5" t="n">
        <v>73</v>
      </c>
      <c r="B257" s="5" t="n">
        <v>1</v>
      </c>
      <c r="C257" s="5" t="inlineStr">
        <is>
          <t>카드</t>
        </is>
      </c>
      <c r="D257" s="5" t="inlineStr">
        <is>
          <t>유장</t>
        </is>
      </c>
      <c r="E257" s="5" t="n">
        <v>1</v>
      </c>
      <c r="F257" s="5" t="inlineStr">
        <is>
          <t>C</t>
        </is>
      </c>
      <c r="G257" s="5">
        <f>IF(C257="카드",INDEX(비용표!$C$2:$C$7,MATCH(F257,비용표!$B$2:$B$7,0)),F257*INDEX(비용표!$C$8:$C$9,MATCH(C257,비용표!$B$8:$B$9,0)))</f>
        <v/>
      </c>
      <c r="H257" s="5">
        <f>G257*E257</f>
        <v/>
      </c>
      <c r="I257" s="10">
        <f>IF(A257=A256,I256&amp;" · ","")&amp;IF(C257="카드",D257&amp;E257,"["&amp;C257&amp;"] "&amp;D257)</f>
        <v/>
      </c>
    </row>
    <row r="258">
      <c r="A258" s="5" t="n">
        <v>73</v>
      </c>
      <c r="B258" s="5" t="n">
        <v>2</v>
      </c>
      <c r="C258" s="5" t="inlineStr">
        <is>
          <t>카드</t>
        </is>
      </c>
      <c r="D258" s="5" t="inlineStr">
        <is>
          <t>황권</t>
        </is>
      </c>
      <c r="E258" s="5" t="n">
        <v>1</v>
      </c>
      <c r="F258" s="5" t="inlineStr">
        <is>
          <t>B</t>
        </is>
      </c>
      <c r="G258" s="5">
        <f>IF(C258="카드",INDEX(비용표!$C$2:$C$7,MATCH(F258,비용표!$B$2:$B$7,0)),F258*INDEX(비용표!$C$8:$C$9,MATCH(C258,비용표!$B$8:$B$9,0)))</f>
        <v/>
      </c>
      <c r="H258" s="5">
        <f>G258*E258</f>
        <v/>
      </c>
      <c r="I258" s="10">
        <f>IF(A258=A257,I257&amp;" · ","")&amp;IF(C258="카드",D258&amp;E258,"["&amp;C258&amp;"] "&amp;D258)</f>
        <v/>
      </c>
    </row>
    <row r="259">
      <c r="A259" s="5" t="n">
        <v>73</v>
      </c>
      <c r="B259" s="5" t="n">
        <v>3</v>
      </c>
      <c r="C259" s="5" t="inlineStr">
        <is>
          <t>카드</t>
        </is>
      </c>
      <c r="D259" s="5" t="inlineStr">
        <is>
          <t>왕루</t>
        </is>
      </c>
      <c r="E259" s="5" t="n">
        <v>1</v>
      </c>
      <c r="F259" s="5" t="inlineStr">
        <is>
          <t>B</t>
        </is>
      </c>
      <c r="G259" s="5">
        <f>IF(C259="카드",INDEX(비용표!$C$2:$C$7,MATCH(F259,비용표!$B$2:$B$7,0)),F259*INDEX(비용표!$C$8:$C$9,MATCH(C259,비용표!$B$8:$B$9,0)))</f>
        <v/>
      </c>
      <c r="H259" s="5">
        <f>G259*E259</f>
        <v/>
      </c>
      <c r="I259" s="10">
        <f>IF(A259=A258,I258&amp;" · ","")&amp;IF(C259="카드",D259&amp;E259,"["&amp;C259&amp;"] "&amp;D259)</f>
        <v/>
      </c>
    </row>
    <row r="260">
      <c r="A260" s="5" t="n">
        <v>73</v>
      </c>
      <c r="B260" s="5" t="n">
        <v>4</v>
      </c>
      <c r="C260" s="5" t="inlineStr">
        <is>
          <t>카드</t>
        </is>
      </c>
      <c r="D260" s="5" t="inlineStr">
        <is>
          <t>장임</t>
        </is>
      </c>
      <c r="E260" s="5" t="n">
        <v>1</v>
      </c>
      <c r="F260" s="5" t="inlineStr">
        <is>
          <t>A</t>
        </is>
      </c>
      <c r="G260" s="5">
        <f>IF(C260="카드",INDEX(비용표!$C$2:$C$7,MATCH(F260,비용표!$B$2:$B$7,0)),F260*INDEX(비용표!$C$8:$C$9,MATCH(C260,비용표!$B$8:$B$9,0)))</f>
        <v/>
      </c>
      <c r="H260" s="5">
        <f>G260*E260</f>
        <v/>
      </c>
      <c r="I260" s="10">
        <f>IF(A260=A259,I259&amp;" · ","")&amp;IF(C260="카드",D260&amp;E260,"["&amp;C260&amp;"] "&amp;D260)</f>
        <v/>
      </c>
    </row>
    <row r="261">
      <c r="A261" s="5" t="n">
        <v>73</v>
      </c>
      <c r="B261" s="5" t="n">
        <v>5</v>
      </c>
      <c r="C261" s="5" t="inlineStr">
        <is>
          <t>카드</t>
        </is>
      </c>
      <c r="D261" s="5" t="inlineStr">
        <is>
          <t>엄안</t>
        </is>
      </c>
      <c r="E261" s="5" t="n">
        <v>1</v>
      </c>
      <c r="F261" s="5" t="inlineStr">
        <is>
          <t>A</t>
        </is>
      </c>
      <c r="G261" s="5">
        <f>IF(C261="카드",INDEX(비용표!$C$2:$C$7,MATCH(F261,비용표!$B$2:$B$7,0)),F261*INDEX(비용표!$C$8:$C$9,MATCH(C261,비용표!$B$8:$B$9,0)))</f>
        <v/>
      </c>
      <c r="H261" s="5">
        <f>G261*E261</f>
        <v/>
      </c>
      <c r="I261" s="10">
        <f>IF(A261=A260,I260&amp;" · ","")&amp;IF(C261="카드",D261&amp;E261,"["&amp;C261&amp;"] "&amp;D261)</f>
        <v/>
      </c>
    </row>
    <row r="262">
      <c r="A262" s="5" t="n">
        <v>74</v>
      </c>
      <c r="B262" s="5" t="n">
        <v>1</v>
      </c>
      <c r="C262" s="5" t="inlineStr">
        <is>
          <t>카드</t>
        </is>
      </c>
      <c r="D262" s="5" t="inlineStr">
        <is>
          <t>관우</t>
        </is>
      </c>
      <c r="E262" s="5" t="n">
        <v>1</v>
      </c>
      <c r="F262" s="5" t="inlineStr">
        <is>
          <t>S</t>
        </is>
      </c>
      <c r="G262" s="5">
        <f>IF(C262="카드",INDEX(비용표!$C$2:$C$7,MATCH(F262,비용표!$B$2:$B$7,0)),F262*INDEX(비용표!$C$8:$C$9,MATCH(C262,비용표!$B$8:$B$9,0)))</f>
        <v/>
      </c>
      <c r="H262" s="5">
        <f>G262*E262</f>
        <v/>
      </c>
      <c r="I262" s="10">
        <f>IF(A262=A261,I261&amp;" · ","")&amp;IF(C262="카드",D262&amp;E262,"["&amp;C262&amp;"] "&amp;D262)</f>
        <v/>
      </c>
    </row>
    <row r="263">
      <c r="A263" s="5" t="n">
        <v>74</v>
      </c>
      <c r="B263" s="5" t="n">
        <v>2</v>
      </c>
      <c r="C263" s="5" t="inlineStr">
        <is>
          <t>카드</t>
        </is>
      </c>
      <c r="D263" s="5" t="inlineStr">
        <is>
          <t>노숙</t>
        </is>
      </c>
      <c r="E263" s="5" t="n">
        <v>1</v>
      </c>
      <c r="F263" s="5" t="inlineStr">
        <is>
          <t>S</t>
        </is>
      </c>
      <c r="G263" s="5">
        <f>IF(C263="카드",INDEX(비용표!$C$2:$C$7,MATCH(F263,비용표!$B$2:$B$7,0)),F263*INDEX(비용표!$C$8:$C$9,MATCH(C263,비용표!$B$8:$B$9,0)))</f>
        <v/>
      </c>
      <c r="H263" s="5">
        <f>G263*E263</f>
        <v/>
      </c>
      <c r="I263" s="10">
        <f>IF(A263=A262,I262&amp;" · ","")&amp;IF(C263="카드",D263&amp;E263,"["&amp;C263&amp;"] "&amp;D263)</f>
        <v/>
      </c>
    </row>
    <row r="264">
      <c r="A264" s="5" t="n">
        <v>74</v>
      </c>
      <c r="B264" s="5" t="n">
        <v>3</v>
      </c>
      <c r="C264" s="5" t="inlineStr">
        <is>
          <t>카드</t>
        </is>
      </c>
      <c r="D264" s="5" t="inlineStr">
        <is>
          <t>주창</t>
        </is>
      </c>
      <c r="E264" s="5" t="n">
        <v>1</v>
      </c>
      <c r="F264" s="5" t="inlineStr">
        <is>
          <t>A</t>
        </is>
      </c>
      <c r="G264" s="5">
        <f>IF(C264="카드",INDEX(비용표!$C$2:$C$7,MATCH(F264,비용표!$B$2:$B$7,0)),F264*INDEX(비용표!$C$8:$C$9,MATCH(C264,비용표!$B$8:$B$9,0)))</f>
        <v/>
      </c>
      <c r="H264" s="5">
        <f>G264*E264</f>
        <v/>
      </c>
      <c r="I264" s="10">
        <f>IF(A264=A263,I263&amp;" · ","")&amp;IF(C264="카드",D264&amp;E264,"["&amp;C264&amp;"] "&amp;D264)</f>
        <v/>
      </c>
    </row>
    <row r="265">
      <c r="A265" s="5" t="n">
        <v>75</v>
      </c>
      <c r="B265" s="5" t="n">
        <v>1</v>
      </c>
      <c r="C265" s="5" t="inlineStr">
        <is>
          <t>카드</t>
        </is>
      </c>
      <c r="D265" s="5" t="inlineStr">
        <is>
          <t>손권</t>
        </is>
      </c>
      <c r="E265" s="5" t="n">
        <v>1</v>
      </c>
      <c r="F265" s="5" t="inlineStr">
        <is>
          <t>S</t>
        </is>
      </c>
      <c r="G265" s="5">
        <f>IF(C265="카드",INDEX(비용표!$C$2:$C$7,MATCH(F265,비용표!$B$2:$B$7,0)),F265*INDEX(비용표!$C$8:$C$9,MATCH(C265,비용표!$B$8:$B$9,0)))</f>
        <v/>
      </c>
      <c r="H265" s="5">
        <f>G265*E265</f>
        <v/>
      </c>
      <c r="I265" s="10">
        <f>IF(A265=A264,I264&amp;" · ","")&amp;IF(C265="카드",D265&amp;E265,"["&amp;C265&amp;"] "&amp;D265)</f>
        <v/>
      </c>
    </row>
    <row r="266">
      <c r="A266" s="5" t="n">
        <v>75</v>
      </c>
      <c r="B266" s="5" t="n">
        <v>2</v>
      </c>
      <c r="C266" s="5" t="inlineStr">
        <is>
          <t>카드</t>
        </is>
      </c>
      <c r="D266" s="5" t="inlineStr">
        <is>
          <t>조조</t>
        </is>
      </c>
      <c r="E266" s="5" t="n">
        <v>1</v>
      </c>
      <c r="F266" s="5" t="inlineStr">
        <is>
          <t>S</t>
        </is>
      </c>
      <c r="G266" s="5">
        <f>IF(C266="카드",INDEX(비용표!$C$2:$C$7,MATCH(F266,비용표!$B$2:$B$7,0)),F266*INDEX(비용표!$C$8:$C$9,MATCH(C266,비용표!$B$8:$B$9,0)))</f>
        <v/>
      </c>
      <c r="H266" s="5">
        <f>G266*E266</f>
        <v/>
      </c>
      <c r="I266" s="10">
        <f>IF(A266=A265,I265&amp;" · ","")&amp;IF(C266="카드",D266&amp;E266,"["&amp;C266&amp;"] "&amp;D266)</f>
        <v/>
      </c>
    </row>
    <row r="267">
      <c r="A267" s="5" t="n">
        <v>75</v>
      </c>
      <c r="B267" s="5" t="n">
        <v>3</v>
      </c>
      <c r="C267" s="5" t="inlineStr">
        <is>
          <t>카드</t>
        </is>
      </c>
      <c r="D267" s="5" t="inlineStr">
        <is>
          <t>감녕</t>
        </is>
      </c>
      <c r="E267" s="5" t="n">
        <v>1</v>
      </c>
      <c r="F267" s="5" t="inlineStr">
        <is>
          <t>S</t>
        </is>
      </c>
      <c r="G267" s="5">
        <f>IF(C267="카드",INDEX(비용표!$C$2:$C$7,MATCH(F267,비용표!$B$2:$B$7,0)),F267*INDEX(비용표!$C$8:$C$9,MATCH(C267,비용표!$B$8:$B$9,0)))</f>
        <v/>
      </c>
      <c r="H267" s="5">
        <f>G267*E267</f>
        <v/>
      </c>
      <c r="I267" s="10">
        <f>IF(A267=A266,I266&amp;" · ","")&amp;IF(C267="카드",D267&amp;E267,"["&amp;C267&amp;"] "&amp;D267)</f>
        <v/>
      </c>
    </row>
    <row r="268">
      <c r="A268" s="5" t="n">
        <v>76</v>
      </c>
      <c r="B268" s="5" t="n">
        <v>1</v>
      </c>
      <c r="C268" s="5" t="inlineStr">
        <is>
          <t>카드</t>
        </is>
      </c>
      <c r="D268" s="5" t="inlineStr">
        <is>
          <t>순욱</t>
        </is>
      </c>
      <c r="E268" s="5" t="n">
        <v>1</v>
      </c>
      <c r="F268" s="5" t="inlineStr">
        <is>
          <t>S</t>
        </is>
      </c>
      <c r="G268" s="5">
        <f>IF(C268="카드",INDEX(비용표!$C$2:$C$7,MATCH(F268,비용표!$B$2:$B$7,0)),F268*INDEX(비용표!$C$8:$C$9,MATCH(C268,비용표!$B$8:$B$9,0)))</f>
        <v/>
      </c>
      <c r="H268" s="5">
        <f>G268*E268</f>
        <v/>
      </c>
      <c r="I268" s="10">
        <f>IF(A268=A267,I267&amp;" · ","")&amp;IF(C268="카드",D268&amp;E268,"["&amp;C268&amp;"] "&amp;D268)</f>
        <v/>
      </c>
    </row>
    <row r="269">
      <c r="A269" s="5" t="n">
        <v>76</v>
      </c>
      <c r="B269" s="5" t="n">
        <v>2</v>
      </c>
      <c r="C269" s="5" t="inlineStr">
        <is>
          <t>카드</t>
        </is>
      </c>
      <c r="D269" s="5" t="inlineStr">
        <is>
          <t>조조</t>
        </is>
      </c>
      <c r="E269" s="5" t="n">
        <v>1</v>
      </c>
      <c r="F269" s="5" t="inlineStr">
        <is>
          <t>S</t>
        </is>
      </c>
      <c r="G269" s="5">
        <f>IF(C269="카드",INDEX(비용표!$C$2:$C$7,MATCH(F269,비용표!$B$2:$B$7,0)),F269*INDEX(비용표!$C$8:$C$9,MATCH(C269,비용표!$B$8:$B$9,0)))</f>
        <v/>
      </c>
      <c r="H269" s="5">
        <f>G269*E269</f>
        <v/>
      </c>
      <c r="I269" s="10">
        <f>IF(A269=A268,I268&amp;" · ","")&amp;IF(C269="카드",D269&amp;E269,"["&amp;C269&amp;"] "&amp;D269)</f>
        <v/>
      </c>
    </row>
    <row r="270">
      <c r="A270" s="5" t="n">
        <v>77</v>
      </c>
      <c r="B270" s="5" t="n">
        <v>1</v>
      </c>
      <c r="C270" s="5" t="inlineStr">
        <is>
          <t>카드</t>
        </is>
      </c>
      <c r="D270" s="5" t="inlineStr">
        <is>
          <t>감녕</t>
        </is>
      </c>
      <c r="E270" s="5" t="n">
        <v>1</v>
      </c>
      <c r="F270" s="5" t="inlineStr">
        <is>
          <t>S</t>
        </is>
      </c>
      <c r="G270" s="5">
        <f>IF(C270="카드",INDEX(비용표!$C$2:$C$7,MATCH(F270,비용표!$B$2:$B$7,0)),F270*INDEX(비용표!$C$8:$C$9,MATCH(C270,비용표!$B$8:$B$9,0)))</f>
        <v/>
      </c>
      <c r="H270" s="5">
        <f>G270*E270</f>
        <v/>
      </c>
      <c r="I270" s="10">
        <f>IF(A270=A269,I269&amp;" · ","")&amp;IF(C270="카드",D270&amp;E270,"["&amp;C270&amp;"] "&amp;D270)</f>
        <v/>
      </c>
    </row>
    <row r="271">
      <c r="A271" s="5" t="n">
        <v>77</v>
      </c>
      <c r="B271" s="5" t="n">
        <v>2</v>
      </c>
      <c r="C271" s="5" t="inlineStr">
        <is>
          <t>카드</t>
        </is>
      </c>
      <c r="D271" s="5" t="inlineStr">
        <is>
          <t>조조</t>
        </is>
      </c>
      <c r="E271" s="5" t="n">
        <v>1</v>
      </c>
      <c r="F271" s="5" t="inlineStr">
        <is>
          <t>S</t>
        </is>
      </c>
      <c r="G271" s="5">
        <f>IF(C271="카드",INDEX(비용표!$C$2:$C$7,MATCH(F271,비용표!$B$2:$B$7,0)),F271*INDEX(비용표!$C$8:$C$9,MATCH(C271,비용표!$B$8:$B$9,0)))</f>
        <v/>
      </c>
      <c r="H271" s="5">
        <f>G271*E271</f>
        <v/>
      </c>
      <c r="I271" s="10">
        <f>IF(A271=A270,I270&amp;" · ","")&amp;IF(C271="카드",D271&amp;E271,"["&amp;C271&amp;"] "&amp;D271)</f>
        <v/>
      </c>
    </row>
    <row r="272">
      <c r="A272" s="5" t="n">
        <v>77</v>
      </c>
      <c r="B272" s="5" t="n">
        <v>3</v>
      </c>
      <c r="C272" s="5" t="inlineStr">
        <is>
          <t>카드</t>
        </is>
      </c>
      <c r="D272" s="5" t="inlineStr">
        <is>
          <t>능통</t>
        </is>
      </c>
      <c r="E272" s="5" t="n">
        <v>1</v>
      </c>
      <c r="F272" s="5" t="inlineStr">
        <is>
          <t>A</t>
        </is>
      </c>
      <c r="G272" s="5">
        <f>IF(C272="카드",INDEX(비용표!$C$2:$C$7,MATCH(F272,비용표!$B$2:$B$7,0)),F272*INDEX(비용표!$C$8:$C$9,MATCH(C272,비용표!$B$8:$B$9,0)))</f>
        <v/>
      </c>
      <c r="H272" s="5">
        <f>G272*E272</f>
        <v/>
      </c>
      <c r="I272" s="10">
        <f>IF(A272=A271,I271&amp;" · ","")&amp;IF(C272="카드",D272&amp;E272,"["&amp;C272&amp;"] "&amp;D272)</f>
        <v/>
      </c>
    </row>
    <row r="273">
      <c r="A273" s="5" t="n">
        <v>78</v>
      </c>
      <c r="B273" s="5" t="n">
        <v>1</v>
      </c>
      <c r="C273" s="5" t="inlineStr">
        <is>
          <t>카드</t>
        </is>
      </c>
      <c r="D273" s="5" t="inlineStr">
        <is>
          <t>장료</t>
        </is>
      </c>
      <c r="E273" s="5" t="n">
        <v>1</v>
      </c>
      <c r="F273" s="5" t="inlineStr">
        <is>
          <t>S</t>
        </is>
      </c>
      <c r="G273" s="5">
        <f>IF(C273="카드",INDEX(비용표!$C$2:$C$7,MATCH(F273,비용표!$B$2:$B$7,0)),F273*INDEX(비용표!$C$8:$C$9,MATCH(C273,비용표!$B$8:$B$9,0)))</f>
        <v/>
      </c>
      <c r="H273" s="5">
        <f>G273*E273</f>
        <v/>
      </c>
      <c r="I273" s="10">
        <f>IF(A273=A272,I272&amp;" · ","")&amp;IF(C273="카드",D273&amp;E273,"["&amp;C273&amp;"] "&amp;D273)</f>
        <v/>
      </c>
    </row>
    <row r="274">
      <c r="A274" s="5" t="n">
        <v>78</v>
      </c>
      <c r="B274" s="5" t="n">
        <v>2</v>
      </c>
      <c r="C274" s="5" t="inlineStr">
        <is>
          <t>카드</t>
        </is>
      </c>
      <c r="D274" s="5" t="inlineStr">
        <is>
          <t>악진</t>
        </is>
      </c>
      <c r="E274" s="5" t="n">
        <v>1</v>
      </c>
      <c r="F274" s="5" t="inlineStr">
        <is>
          <t>B</t>
        </is>
      </c>
      <c r="G274" s="5">
        <f>IF(C274="카드",INDEX(비용표!$C$2:$C$7,MATCH(F274,비용표!$B$2:$B$7,0)),F274*INDEX(비용표!$C$8:$C$9,MATCH(C274,비용표!$B$8:$B$9,0)))</f>
        <v/>
      </c>
      <c r="H274" s="5">
        <f>G274*E274</f>
        <v/>
      </c>
      <c r="I274" s="10">
        <f>IF(A274=A273,I273&amp;" · ","")&amp;IF(C274="카드",D274&amp;E274,"["&amp;C274&amp;"] "&amp;D274)</f>
        <v/>
      </c>
    </row>
    <row r="275">
      <c r="A275" s="5" t="n">
        <v>78</v>
      </c>
      <c r="B275" s="5" t="n">
        <v>3</v>
      </c>
      <c r="C275" s="5" t="inlineStr">
        <is>
          <t>카드</t>
        </is>
      </c>
      <c r="D275" s="5" t="inlineStr">
        <is>
          <t>이전</t>
        </is>
      </c>
      <c r="E275" s="5" t="n">
        <v>1</v>
      </c>
      <c r="F275" s="5" t="inlineStr">
        <is>
          <t>C</t>
        </is>
      </c>
      <c r="G275" s="5">
        <f>IF(C275="카드",INDEX(비용표!$C$2:$C$7,MATCH(F275,비용표!$B$2:$B$7,0)),F275*INDEX(비용표!$C$8:$C$9,MATCH(C275,비용표!$B$8:$B$9,0)))</f>
        <v/>
      </c>
      <c r="H275" s="5">
        <f>G275*E275</f>
        <v/>
      </c>
      <c r="I275" s="10">
        <f>IF(A275=A274,I274&amp;" · ","")&amp;IF(C275="카드",D275&amp;E275,"["&amp;C275&amp;"] "&amp;D275)</f>
        <v/>
      </c>
    </row>
    <row r="276">
      <c r="A276" s="5" t="n">
        <v>78</v>
      </c>
      <c r="B276" s="5" t="n">
        <v>4</v>
      </c>
      <c r="C276" s="5" t="inlineStr">
        <is>
          <t>카드</t>
        </is>
      </c>
      <c r="D276" s="5" t="inlineStr">
        <is>
          <t>손권</t>
        </is>
      </c>
      <c r="E276" s="5" t="n">
        <v>1</v>
      </c>
      <c r="F276" s="5" t="inlineStr">
        <is>
          <t>S</t>
        </is>
      </c>
      <c r="G276" s="5">
        <f>IF(C276="카드",INDEX(비용표!$C$2:$C$7,MATCH(F276,비용표!$B$2:$B$7,0)),F276*INDEX(비용표!$C$8:$C$9,MATCH(C276,비용표!$B$8:$B$9,0)))</f>
        <v/>
      </c>
      <c r="H276" s="5">
        <f>G276*E276</f>
        <v/>
      </c>
      <c r="I276" s="10">
        <f>IF(A276=A275,I275&amp;" · ","")&amp;IF(C276="카드",D276&amp;E276,"["&amp;C276&amp;"] "&amp;D276)</f>
        <v/>
      </c>
    </row>
    <row r="277">
      <c r="A277" s="5" t="n">
        <v>78</v>
      </c>
      <c r="B277" s="5" t="n">
        <v>5</v>
      </c>
      <c r="C277" s="5" t="inlineStr">
        <is>
          <t>카드</t>
        </is>
      </c>
      <c r="D277" s="5" t="inlineStr">
        <is>
          <t>감녕</t>
        </is>
      </c>
      <c r="E277" s="5" t="n">
        <v>1</v>
      </c>
      <c r="F277" s="5" t="inlineStr">
        <is>
          <t>S</t>
        </is>
      </c>
      <c r="G277" s="5">
        <f>IF(C277="카드",INDEX(비용표!$C$2:$C$7,MATCH(F277,비용표!$B$2:$B$7,0)),F277*INDEX(비용표!$C$8:$C$9,MATCH(C277,비용표!$B$8:$B$9,0)))</f>
        <v/>
      </c>
      <c r="H277" s="5">
        <f>G277*E277</f>
        <v/>
      </c>
      <c r="I277" s="10">
        <f>IF(A277=A276,I276&amp;" · ","")&amp;IF(C277="카드",D277&amp;E277,"["&amp;C277&amp;"] "&amp;D277)</f>
        <v/>
      </c>
    </row>
    <row r="278">
      <c r="A278" s="5" t="n">
        <v>79</v>
      </c>
      <c r="B278" s="5" t="n">
        <v>1</v>
      </c>
      <c r="C278" s="5" t="inlineStr">
        <is>
          <t>카드</t>
        </is>
      </c>
      <c r="D278" s="5" t="inlineStr">
        <is>
          <t>여몽</t>
        </is>
      </c>
      <c r="E278" s="5" t="n">
        <v>1</v>
      </c>
      <c r="F278" s="5" t="inlineStr">
        <is>
          <t>S</t>
        </is>
      </c>
      <c r="G278" s="5">
        <f>IF(C278="카드",INDEX(비용표!$C$2:$C$7,MATCH(F278,비용표!$B$2:$B$7,0)),F278*INDEX(비용표!$C$8:$C$9,MATCH(C278,비용표!$B$8:$B$9,0)))</f>
        <v/>
      </c>
      <c r="H278" s="5">
        <f>G278*E278</f>
        <v/>
      </c>
      <c r="I278" s="10">
        <f>IF(A278=A277,I277&amp;" · ","")&amp;IF(C278="카드",D278&amp;E278,"["&amp;C278&amp;"] "&amp;D278)</f>
        <v/>
      </c>
    </row>
    <row r="279">
      <c r="A279" s="5" t="n">
        <v>79</v>
      </c>
      <c r="B279" s="5" t="n">
        <v>2</v>
      </c>
      <c r="C279" s="5" t="inlineStr">
        <is>
          <t>카드</t>
        </is>
      </c>
      <c r="D279" s="5" t="inlineStr">
        <is>
          <t>노숙</t>
        </is>
      </c>
      <c r="E279" s="5" t="n">
        <v>1</v>
      </c>
      <c r="F279" s="5" t="inlineStr">
        <is>
          <t>S</t>
        </is>
      </c>
      <c r="G279" s="5">
        <f>IF(C279="카드",INDEX(비용표!$C$2:$C$7,MATCH(F279,비용표!$B$2:$B$7,0)),F279*INDEX(비용표!$C$8:$C$9,MATCH(C279,비용표!$B$8:$B$9,0)))</f>
        <v/>
      </c>
      <c r="H279" s="5">
        <f>G279*E279</f>
        <v/>
      </c>
      <c r="I279" s="10">
        <f>IF(A279=A278,I278&amp;" · ","")&amp;IF(C279="카드",D279&amp;E279,"["&amp;C279&amp;"] "&amp;D279)</f>
        <v/>
      </c>
    </row>
    <row r="280">
      <c r="A280" s="5" t="n">
        <v>80</v>
      </c>
      <c r="B280" s="5" t="n">
        <v>1</v>
      </c>
      <c r="C280" s="5" t="inlineStr">
        <is>
          <t>카드</t>
        </is>
      </c>
      <c r="D280" s="5" t="inlineStr">
        <is>
          <t>황충</t>
        </is>
      </c>
      <c r="E280" s="5" t="n">
        <v>1</v>
      </c>
      <c r="F280" s="5" t="inlineStr">
        <is>
          <t>S</t>
        </is>
      </c>
      <c r="G280" s="5">
        <f>IF(C280="카드",INDEX(비용표!$C$2:$C$7,MATCH(F280,비용표!$B$2:$B$7,0)),F280*INDEX(비용표!$C$8:$C$9,MATCH(C280,비용표!$B$8:$B$9,0)))</f>
        <v/>
      </c>
      <c r="H280" s="5">
        <f>G280*E280</f>
        <v/>
      </c>
      <c r="I280" s="10">
        <f>IF(A280=A279,I279&amp;" · ","")&amp;IF(C280="카드",D280&amp;E280,"["&amp;C280&amp;"] "&amp;D280)</f>
        <v/>
      </c>
    </row>
    <row r="281">
      <c r="A281" s="5" t="n">
        <v>80</v>
      </c>
      <c r="B281" s="5" t="n">
        <v>2</v>
      </c>
      <c r="C281" s="5" t="inlineStr">
        <is>
          <t>카드</t>
        </is>
      </c>
      <c r="D281" s="5" t="inlineStr">
        <is>
          <t>하후연</t>
        </is>
      </c>
      <c r="E281" s="5" t="n">
        <v>1</v>
      </c>
      <c r="F281" s="5" t="inlineStr">
        <is>
          <t>A</t>
        </is>
      </c>
      <c r="G281" s="5">
        <f>IF(C281="카드",INDEX(비용표!$C$2:$C$7,MATCH(F281,비용표!$B$2:$B$7,0)),F281*INDEX(비용표!$C$8:$C$9,MATCH(C281,비용표!$B$8:$B$9,0)))</f>
        <v/>
      </c>
      <c r="H281" s="5">
        <f>G281*E281</f>
        <v/>
      </c>
      <c r="I281" s="10">
        <f>IF(A281=A280,I280&amp;" · ","")&amp;IF(C281="카드",D281&amp;E281,"["&amp;C281&amp;"] "&amp;D281)</f>
        <v/>
      </c>
    </row>
    <row r="282">
      <c r="A282" s="5" t="n">
        <v>80</v>
      </c>
      <c r="B282" s="5" t="n">
        <v>3</v>
      </c>
      <c r="C282" s="5" t="inlineStr">
        <is>
          <t>카드</t>
        </is>
      </c>
      <c r="D282" s="5" t="inlineStr">
        <is>
          <t>법정</t>
        </is>
      </c>
      <c r="E282" s="5" t="n">
        <v>1</v>
      </c>
      <c r="F282" s="5" t="inlineStr">
        <is>
          <t>A</t>
        </is>
      </c>
      <c r="G282" s="5">
        <f>IF(C282="카드",INDEX(비용표!$C$2:$C$7,MATCH(F282,비용표!$B$2:$B$7,0)),F282*INDEX(비용표!$C$8:$C$9,MATCH(C282,비용표!$B$8:$B$9,0)))</f>
        <v/>
      </c>
      <c r="H282" s="5">
        <f>G282*E282</f>
        <v/>
      </c>
      <c r="I282" s="10">
        <f>IF(A282=A281,I281&amp;" · ","")&amp;IF(C282="카드",D282&amp;E282,"["&amp;C282&amp;"] "&amp;D282)</f>
        <v/>
      </c>
    </row>
    <row r="283">
      <c r="A283" s="5" t="n">
        <v>80</v>
      </c>
      <c r="B283" s="5" t="n">
        <v>4</v>
      </c>
      <c r="C283" s="5" t="inlineStr">
        <is>
          <t>병기</t>
        </is>
      </c>
      <c r="D283" s="5" t="inlineStr">
        <is>
          <t>대감도</t>
        </is>
      </c>
      <c r="E283" s="5" t="n">
        <v>1</v>
      </c>
      <c r="F283" s="5" t="n">
        <v>1</v>
      </c>
      <c r="G283" s="5">
        <f>IF(C283="카드",INDEX(비용표!$C$2:$C$7,MATCH(F283,비용표!$B$2:$B$7,0)),F283*INDEX(비용표!$C$8:$C$9,MATCH(C283,비용표!$B$8:$B$9,0)))</f>
        <v/>
      </c>
      <c r="H283" s="5">
        <f>G283*E283</f>
        <v/>
      </c>
      <c r="I283" s="10">
        <f>IF(A283=A282,I282&amp;" · ","")&amp;IF(C283="카드",D283&amp;E283,"["&amp;C283&amp;"] "&amp;D283)</f>
        <v/>
      </c>
    </row>
    <row r="284">
      <c r="A284" s="5" t="n">
        <v>80</v>
      </c>
      <c r="B284" s="5" t="n">
        <v>5</v>
      </c>
      <c r="C284" s="5" t="inlineStr">
        <is>
          <t>아이템</t>
        </is>
      </c>
      <c r="D284" s="5" t="inlineStr">
        <is>
          <t>영기</t>
        </is>
      </c>
      <c r="E284" s="5" t="n">
        <v>1</v>
      </c>
      <c r="F284" s="5" t="n">
        <v>5</v>
      </c>
      <c r="G284" s="5">
        <f>IF(C284="카드",INDEX(비용표!$C$2:$C$7,MATCH(F284,비용표!$B$2:$B$7,0)),F284*INDEX(비용표!$C$8:$C$9,MATCH(C284,비용표!$B$8:$B$9,0)))</f>
        <v/>
      </c>
      <c r="H284" s="5">
        <f>G284*E284</f>
        <v/>
      </c>
      <c r="I284" s="10">
        <f>IF(A284=A283,I283&amp;" · ","")&amp;IF(C284="카드",D284&amp;E284,"["&amp;C284&amp;"] "&amp;D284)</f>
        <v/>
      </c>
    </row>
    <row r="285">
      <c r="A285" s="5" t="n">
        <v>81</v>
      </c>
      <c r="B285" s="5" t="n">
        <v>1</v>
      </c>
      <c r="C285" s="5" t="inlineStr">
        <is>
          <t>카드</t>
        </is>
      </c>
      <c r="D285" s="5" t="inlineStr">
        <is>
          <t>양수</t>
        </is>
      </c>
      <c r="E285" s="5" t="n">
        <v>1</v>
      </c>
      <c r="F285" s="5" t="inlineStr">
        <is>
          <t>B</t>
        </is>
      </c>
      <c r="G285" s="5">
        <f>IF(C285="카드",INDEX(비용표!$C$2:$C$7,MATCH(F285,비용표!$B$2:$B$7,0)),F285*INDEX(비용표!$C$8:$C$9,MATCH(C285,비용표!$B$8:$B$9,0)))</f>
        <v/>
      </c>
      <c r="H285" s="5">
        <f>G285*E285</f>
        <v/>
      </c>
      <c r="I285" s="10">
        <f>IF(A285=A284,I284&amp;" · ","")&amp;IF(C285="카드",D285&amp;E285,"["&amp;C285&amp;"] "&amp;D285)</f>
        <v/>
      </c>
    </row>
    <row r="286">
      <c r="A286" s="5" t="n">
        <v>81</v>
      </c>
      <c r="B286" s="5" t="n">
        <v>2</v>
      </c>
      <c r="C286" s="5" t="inlineStr">
        <is>
          <t>카드</t>
        </is>
      </c>
      <c r="D286" s="5" t="inlineStr">
        <is>
          <t>조조</t>
        </is>
      </c>
      <c r="E286" s="5" t="n">
        <v>1</v>
      </c>
      <c r="F286" s="5" t="inlineStr">
        <is>
          <t>S</t>
        </is>
      </c>
      <c r="G286" s="5">
        <f>IF(C286="카드",INDEX(비용표!$C$2:$C$7,MATCH(F286,비용표!$B$2:$B$7,0)),F286*INDEX(비용표!$C$8:$C$9,MATCH(C286,비용표!$B$8:$B$9,0)))</f>
        <v/>
      </c>
      <c r="H286" s="5">
        <f>G286*E286</f>
        <v/>
      </c>
      <c r="I286" s="10">
        <f>IF(A286=A285,I285&amp;" · ","")&amp;IF(C286="카드",D286&amp;E286,"["&amp;C286&amp;"] "&amp;D286)</f>
        <v/>
      </c>
    </row>
    <row r="287">
      <c r="A287" s="5" t="n">
        <v>81</v>
      </c>
      <c r="B287" s="5" t="n">
        <v>3</v>
      </c>
      <c r="C287" s="5" t="inlineStr">
        <is>
          <t>카드</t>
        </is>
      </c>
      <c r="D287" s="5" t="inlineStr">
        <is>
          <t>하후돈</t>
        </is>
      </c>
      <c r="E287" s="5" t="n">
        <v>1</v>
      </c>
      <c r="F287" s="5" t="inlineStr">
        <is>
          <t>S</t>
        </is>
      </c>
      <c r="G287" s="5">
        <f>IF(C287="카드",INDEX(비용표!$C$2:$C$7,MATCH(F287,비용표!$B$2:$B$7,0)),F287*INDEX(비용표!$C$8:$C$9,MATCH(C287,비용표!$B$8:$B$9,0)))</f>
        <v/>
      </c>
      <c r="H287" s="5">
        <f>G287*E287</f>
        <v/>
      </c>
      <c r="I287" s="10">
        <f>IF(A287=A286,I286&amp;" · ","")&amp;IF(C287="카드",D287&amp;E287,"["&amp;C287&amp;"] "&amp;D287)</f>
        <v/>
      </c>
    </row>
    <row r="288">
      <c r="A288" s="5" t="n">
        <v>82</v>
      </c>
      <c r="B288" s="5" t="n">
        <v>1</v>
      </c>
      <c r="C288" s="5" t="inlineStr">
        <is>
          <t>카드</t>
        </is>
      </c>
      <c r="D288" s="5" t="inlineStr">
        <is>
          <t>관우</t>
        </is>
      </c>
      <c r="E288" s="5" t="n">
        <v>1</v>
      </c>
      <c r="F288" s="5" t="inlineStr">
        <is>
          <t>S</t>
        </is>
      </c>
      <c r="G288" s="5">
        <f>IF(C288="카드",INDEX(비용표!$C$2:$C$7,MATCH(F288,비용표!$B$2:$B$7,0)),F288*INDEX(비용표!$C$8:$C$9,MATCH(C288,비용표!$B$8:$B$9,0)))</f>
        <v/>
      </c>
      <c r="H288" s="5">
        <f>G288*E288</f>
        <v/>
      </c>
      <c r="I288" s="10">
        <f>IF(A288=A287,I287&amp;" · ","")&amp;IF(C288="카드",D288&amp;E288,"["&amp;C288&amp;"] "&amp;D288)</f>
        <v/>
      </c>
    </row>
    <row r="289">
      <c r="A289" s="5" t="n">
        <v>82</v>
      </c>
      <c r="B289" s="5" t="n">
        <v>2</v>
      </c>
      <c r="C289" s="5" t="inlineStr">
        <is>
          <t>카드</t>
        </is>
      </c>
      <c r="D289" s="5" t="inlineStr">
        <is>
          <t>우금</t>
        </is>
      </c>
      <c r="E289" s="5" t="n">
        <v>1</v>
      </c>
      <c r="F289" s="5" t="inlineStr">
        <is>
          <t>C</t>
        </is>
      </c>
      <c r="G289" s="5">
        <f>IF(C289="카드",INDEX(비용표!$C$2:$C$7,MATCH(F289,비용표!$B$2:$B$7,0)),F289*INDEX(비용표!$C$8:$C$9,MATCH(C289,비용표!$B$8:$B$9,0)))</f>
        <v/>
      </c>
      <c r="H289" s="5">
        <f>G289*E289</f>
        <v/>
      </c>
      <c r="I289" s="10">
        <f>IF(A289=A288,I288&amp;" · ","")&amp;IF(C289="카드",D289&amp;E289,"["&amp;C289&amp;"] "&amp;D289)</f>
        <v/>
      </c>
    </row>
    <row r="290">
      <c r="A290" s="5" t="n">
        <v>82</v>
      </c>
      <c r="B290" s="5" t="n">
        <v>3</v>
      </c>
      <c r="C290" s="5" t="inlineStr">
        <is>
          <t>카드</t>
        </is>
      </c>
      <c r="D290" s="5" t="inlineStr">
        <is>
          <t>방덕</t>
        </is>
      </c>
      <c r="E290" s="5" t="n">
        <v>1</v>
      </c>
      <c r="F290" s="5" t="inlineStr">
        <is>
          <t>S</t>
        </is>
      </c>
      <c r="G290" s="5">
        <f>IF(C290="카드",INDEX(비용표!$C$2:$C$7,MATCH(F290,비용표!$B$2:$B$7,0)),F290*INDEX(비용표!$C$8:$C$9,MATCH(C290,비용표!$B$8:$B$9,0)))</f>
        <v/>
      </c>
      <c r="H290" s="5">
        <f>G290*E290</f>
        <v/>
      </c>
      <c r="I290" s="10">
        <f>IF(A290=A289,I289&amp;" · ","")&amp;IF(C290="카드",D290&amp;E290,"["&amp;C290&amp;"] "&amp;D290)</f>
        <v/>
      </c>
    </row>
    <row r="291">
      <c r="A291" s="5" t="n">
        <v>82</v>
      </c>
      <c r="B291" s="5" t="n">
        <v>4</v>
      </c>
      <c r="C291" s="5" t="inlineStr">
        <is>
          <t>카드</t>
        </is>
      </c>
      <c r="D291" s="5" t="inlineStr">
        <is>
          <t>관평</t>
        </is>
      </c>
      <c r="E291" s="5" t="n">
        <v>1</v>
      </c>
      <c r="F291" s="5" t="inlineStr">
        <is>
          <t>A</t>
        </is>
      </c>
      <c r="G291" s="5">
        <f>IF(C291="카드",INDEX(비용표!$C$2:$C$7,MATCH(F291,비용표!$B$2:$B$7,0)),F291*INDEX(비용표!$C$8:$C$9,MATCH(C291,비용표!$B$8:$B$9,0)))</f>
        <v/>
      </c>
      <c r="H291" s="5">
        <f>G291*E291</f>
        <v/>
      </c>
      <c r="I291" s="10">
        <f>IF(A291=A290,I290&amp;" · ","")&amp;IF(C291="카드",D291&amp;E291,"["&amp;C291&amp;"] "&amp;D291)</f>
        <v/>
      </c>
    </row>
    <row r="292">
      <c r="A292" s="5" t="n">
        <v>83</v>
      </c>
      <c r="B292" s="5" t="n">
        <v>1</v>
      </c>
      <c r="C292" s="5" t="inlineStr">
        <is>
          <t>카드</t>
        </is>
      </c>
      <c r="D292" s="5" t="inlineStr">
        <is>
          <t>방덕</t>
        </is>
      </c>
      <c r="E292" s="5" t="n">
        <v>1</v>
      </c>
      <c r="F292" s="5" t="inlineStr">
        <is>
          <t>S</t>
        </is>
      </c>
      <c r="G292" s="5">
        <f>IF(C292="카드",INDEX(비용표!$C$2:$C$7,MATCH(F292,비용표!$B$2:$B$7,0)),F292*INDEX(비용표!$C$8:$C$9,MATCH(C292,비용표!$B$8:$B$9,0)))</f>
        <v/>
      </c>
      <c r="H292" s="5">
        <f>G292*E292</f>
        <v/>
      </c>
      <c r="I292" s="10">
        <f>IF(A292=A291,I291&amp;" · ","")&amp;IF(C292="카드",D292&amp;E292,"["&amp;C292&amp;"] "&amp;D292)</f>
        <v/>
      </c>
    </row>
    <row r="293">
      <c r="A293" s="5" t="n">
        <v>83</v>
      </c>
      <c r="B293" s="5" t="n">
        <v>2</v>
      </c>
      <c r="C293" s="5" t="inlineStr">
        <is>
          <t>카드</t>
        </is>
      </c>
      <c r="D293" s="5" t="inlineStr">
        <is>
          <t>관우</t>
        </is>
      </c>
      <c r="E293" s="5" t="n">
        <v>1</v>
      </c>
      <c r="F293" s="5" t="inlineStr">
        <is>
          <t>S</t>
        </is>
      </c>
      <c r="G293" s="5">
        <f>IF(C293="카드",INDEX(비용표!$C$2:$C$7,MATCH(F293,비용표!$B$2:$B$7,0)),F293*INDEX(비용표!$C$8:$C$9,MATCH(C293,비용표!$B$8:$B$9,0)))</f>
        <v/>
      </c>
      <c r="H293" s="5">
        <f>G293*E293</f>
        <v/>
      </c>
      <c r="I293" s="10">
        <f>IF(A293=A292,I292&amp;" · ","")&amp;IF(C293="카드",D293&amp;E293,"["&amp;C293&amp;"] "&amp;D293)</f>
        <v/>
      </c>
    </row>
    <row r="294">
      <c r="A294" s="5" t="n">
        <v>84</v>
      </c>
      <c r="B294" s="5" t="n">
        <v>1</v>
      </c>
      <c r="C294" s="5" t="inlineStr">
        <is>
          <t>카드</t>
        </is>
      </c>
      <c r="D294" s="5" t="inlineStr">
        <is>
          <t>여몽</t>
        </is>
      </c>
      <c r="E294" s="5" t="n">
        <v>1</v>
      </c>
      <c r="F294" s="5" t="inlineStr">
        <is>
          <t>S</t>
        </is>
      </c>
      <c r="G294" s="5">
        <f>IF(C294="카드",INDEX(비용표!$C$2:$C$7,MATCH(F294,비용표!$B$2:$B$7,0)),F294*INDEX(비용표!$C$8:$C$9,MATCH(C294,비용표!$B$8:$B$9,0)))</f>
        <v/>
      </c>
      <c r="H294" s="5">
        <f>G294*E294</f>
        <v/>
      </c>
      <c r="I294" s="10">
        <f>IF(A294=A293,I293&amp;" · ","")&amp;IF(C294="카드",D294&amp;E294,"["&amp;C294&amp;"] "&amp;D294)</f>
        <v/>
      </c>
    </row>
    <row r="295">
      <c r="A295" s="5" t="n">
        <v>84</v>
      </c>
      <c r="B295" s="5" t="n">
        <v>2</v>
      </c>
      <c r="C295" s="5" t="inlineStr">
        <is>
          <t>카드</t>
        </is>
      </c>
      <c r="D295" s="5" t="inlineStr">
        <is>
          <t>육손</t>
        </is>
      </c>
      <c r="E295" s="5" t="n">
        <v>1</v>
      </c>
      <c r="F295" s="5" t="inlineStr">
        <is>
          <t>S</t>
        </is>
      </c>
      <c r="G295" s="5">
        <f>IF(C295="카드",INDEX(비용표!$C$2:$C$7,MATCH(F295,비용표!$B$2:$B$7,0)),F295*INDEX(비용표!$C$8:$C$9,MATCH(C295,비용표!$B$8:$B$9,0)))</f>
        <v/>
      </c>
      <c r="H295" s="5">
        <f>G295*E295</f>
        <v/>
      </c>
      <c r="I295" s="10">
        <f>IF(A295=A294,I294&amp;" · ","")&amp;IF(C295="카드",D295&amp;E295,"["&amp;C295&amp;"] "&amp;D295)</f>
        <v/>
      </c>
    </row>
    <row r="296">
      <c r="A296" s="5" t="n">
        <v>84</v>
      </c>
      <c r="B296" s="5" t="n">
        <v>3</v>
      </c>
      <c r="C296" s="5" t="inlineStr">
        <is>
          <t>카드</t>
        </is>
      </c>
      <c r="D296" s="5" t="inlineStr">
        <is>
          <t>관우</t>
        </is>
      </c>
      <c r="E296" s="5" t="n">
        <v>1</v>
      </c>
      <c r="F296" s="5" t="inlineStr">
        <is>
          <t>S</t>
        </is>
      </c>
      <c r="G296" s="5">
        <f>IF(C296="카드",INDEX(비용표!$C$2:$C$7,MATCH(F296,비용표!$B$2:$B$7,0)),F296*INDEX(비용표!$C$8:$C$9,MATCH(C296,비용표!$B$8:$B$9,0)))</f>
        <v/>
      </c>
      <c r="H296" s="5">
        <f>G296*E296</f>
        <v/>
      </c>
      <c r="I296" s="10">
        <f>IF(A296=A295,I295&amp;" · ","")&amp;IF(C296="카드",D296&amp;E296,"["&amp;C296&amp;"] "&amp;D296)</f>
        <v/>
      </c>
    </row>
    <row r="297">
      <c r="A297" s="5" t="n">
        <v>84</v>
      </c>
      <c r="B297" s="5" t="n">
        <v>4</v>
      </c>
      <c r="C297" s="5" t="inlineStr">
        <is>
          <t>카드</t>
        </is>
      </c>
      <c r="D297" s="5" t="inlineStr">
        <is>
          <t>미방</t>
        </is>
      </c>
      <c r="E297" s="5" t="n">
        <v>1</v>
      </c>
      <c r="F297" s="5" t="inlineStr">
        <is>
          <t>D</t>
        </is>
      </c>
      <c r="G297" s="5">
        <f>IF(C297="카드",INDEX(비용표!$C$2:$C$7,MATCH(F297,비용표!$B$2:$B$7,0)),F297*INDEX(비용표!$C$8:$C$9,MATCH(C297,비용표!$B$8:$B$9,0)))</f>
        <v/>
      </c>
      <c r="H297" s="5">
        <f>G297*E297</f>
        <v/>
      </c>
      <c r="I297" s="10">
        <f>IF(A297=A296,I296&amp;" · ","")&amp;IF(C297="카드",D297&amp;E297,"["&amp;C297&amp;"] "&amp;D297)</f>
        <v/>
      </c>
    </row>
    <row r="298">
      <c r="A298" s="5" t="n">
        <v>84</v>
      </c>
      <c r="B298" s="5" t="n">
        <v>5</v>
      </c>
      <c r="C298" s="5" t="inlineStr">
        <is>
          <t>카드</t>
        </is>
      </c>
      <c r="D298" s="5" t="inlineStr">
        <is>
          <t>손권</t>
        </is>
      </c>
      <c r="E298" s="5" t="n">
        <v>1</v>
      </c>
      <c r="F298" s="5" t="inlineStr">
        <is>
          <t>S</t>
        </is>
      </c>
      <c r="G298" s="5">
        <f>IF(C298="카드",INDEX(비용표!$C$2:$C$7,MATCH(F298,비용표!$B$2:$B$7,0)),F298*INDEX(비용표!$C$8:$C$9,MATCH(C298,비용표!$B$8:$B$9,0)))</f>
        <v/>
      </c>
      <c r="H298" s="5">
        <f>G298*E298</f>
        <v/>
      </c>
      <c r="I298" s="10">
        <f>IF(A298=A297,I297&amp;" · ","")&amp;IF(C298="카드",D298&amp;E298,"["&amp;C298&amp;"] "&amp;D298)</f>
        <v/>
      </c>
    </row>
    <row r="299">
      <c r="A299" s="5" t="n">
        <v>85</v>
      </c>
      <c r="B299" s="5" t="n">
        <v>1</v>
      </c>
      <c r="C299" s="5" t="inlineStr">
        <is>
          <t>카드</t>
        </is>
      </c>
      <c r="D299" s="5" t="inlineStr">
        <is>
          <t>관우</t>
        </is>
      </c>
      <c r="E299" s="5" t="n">
        <v>1</v>
      </c>
      <c r="F299" s="5" t="inlineStr">
        <is>
          <t>S</t>
        </is>
      </c>
      <c r="G299" s="5">
        <f>IF(C299="카드",INDEX(비용표!$C$2:$C$7,MATCH(F299,비용표!$B$2:$B$7,0)),F299*INDEX(비용표!$C$8:$C$9,MATCH(C299,비용표!$B$8:$B$9,0)))</f>
        <v/>
      </c>
      <c r="H299" s="5">
        <f>G299*E299</f>
        <v/>
      </c>
      <c r="I299" s="10">
        <f>IF(A299=A298,I298&amp;" · ","")&amp;IF(C299="카드",D299&amp;E299,"["&amp;C299&amp;"] "&amp;D299)</f>
        <v/>
      </c>
    </row>
    <row r="300">
      <c r="A300" s="5" t="n">
        <v>85</v>
      </c>
      <c r="B300" s="5" t="n">
        <v>2</v>
      </c>
      <c r="C300" s="5" t="inlineStr">
        <is>
          <t>카드</t>
        </is>
      </c>
      <c r="D300" s="5" t="inlineStr">
        <is>
          <t>관평</t>
        </is>
      </c>
      <c r="E300" s="5" t="n">
        <v>1</v>
      </c>
      <c r="F300" s="5" t="inlineStr">
        <is>
          <t>A</t>
        </is>
      </c>
      <c r="G300" s="5">
        <f>IF(C300="카드",INDEX(비용표!$C$2:$C$7,MATCH(F300,비용표!$B$2:$B$7,0)),F300*INDEX(비용표!$C$8:$C$9,MATCH(C300,비용표!$B$8:$B$9,0)))</f>
        <v/>
      </c>
      <c r="H300" s="5">
        <f>G300*E300</f>
        <v/>
      </c>
      <c r="I300" s="10">
        <f>IF(A300=A299,I299&amp;" · ","")&amp;IF(C300="카드",D300&amp;E300,"["&amp;C300&amp;"] "&amp;D300)</f>
        <v/>
      </c>
    </row>
    <row r="301">
      <c r="A301" s="5" t="n">
        <v>85</v>
      </c>
      <c r="B301" s="5" t="n">
        <v>3</v>
      </c>
      <c r="C301" s="5" t="inlineStr">
        <is>
          <t>카드</t>
        </is>
      </c>
      <c r="D301" s="5" t="inlineStr">
        <is>
          <t>주창</t>
        </is>
      </c>
      <c r="E301" s="5" t="n">
        <v>1</v>
      </c>
      <c r="F301" s="5" t="inlineStr">
        <is>
          <t>A</t>
        </is>
      </c>
      <c r="G301" s="5">
        <f>IF(C301="카드",INDEX(비용표!$C$2:$C$7,MATCH(F301,비용표!$B$2:$B$7,0)),F301*INDEX(비용표!$C$8:$C$9,MATCH(C301,비용표!$B$8:$B$9,0)))</f>
        <v/>
      </c>
      <c r="H301" s="5">
        <f>G301*E301</f>
        <v/>
      </c>
      <c r="I301" s="10">
        <f>IF(A301=A300,I300&amp;" · ","")&amp;IF(C301="카드",D301&amp;E301,"["&amp;C301&amp;"] "&amp;D301)</f>
        <v/>
      </c>
    </row>
    <row r="302">
      <c r="A302" s="5" t="n">
        <v>85</v>
      </c>
      <c r="B302" s="5" t="n">
        <v>4</v>
      </c>
      <c r="C302" s="5" t="inlineStr">
        <is>
          <t>카드</t>
        </is>
      </c>
      <c r="D302" s="5" t="inlineStr">
        <is>
          <t>요화</t>
        </is>
      </c>
      <c r="E302" s="5" t="n">
        <v>1</v>
      </c>
      <c r="F302" s="5" t="inlineStr">
        <is>
          <t>B</t>
        </is>
      </c>
      <c r="G302" s="5">
        <f>IF(C302="카드",INDEX(비용표!$C$2:$C$7,MATCH(F302,비용표!$B$2:$B$7,0)),F302*INDEX(비용표!$C$8:$C$9,MATCH(C302,비용표!$B$8:$B$9,0)))</f>
        <v/>
      </c>
      <c r="H302" s="5">
        <f>G302*E302</f>
        <v/>
      </c>
      <c r="I302" s="10">
        <f>IF(A302=A301,I301&amp;" · ","")&amp;IF(C302="카드",D302&amp;E302,"["&amp;C302&amp;"] "&amp;D302)</f>
        <v/>
      </c>
    </row>
    <row r="303">
      <c r="A303" s="5" t="n">
        <v>85</v>
      </c>
      <c r="B303" s="5" t="n">
        <v>5</v>
      </c>
      <c r="C303" s="5" t="inlineStr">
        <is>
          <t>카드</t>
        </is>
      </c>
      <c r="D303" s="5" t="inlineStr">
        <is>
          <t>유봉</t>
        </is>
      </c>
      <c r="E303" s="5" t="n">
        <v>1</v>
      </c>
      <c r="F303" s="5" t="inlineStr">
        <is>
          <t>C</t>
        </is>
      </c>
      <c r="G303" s="5">
        <f>IF(C303="카드",INDEX(비용표!$C$2:$C$7,MATCH(F303,비용표!$B$2:$B$7,0)),F303*INDEX(비용표!$C$8:$C$9,MATCH(C303,비용표!$B$8:$B$9,0)))</f>
        <v/>
      </c>
      <c r="H303" s="5">
        <f>G303*E303</f>
        <v/>
      </c>
      <c r="I303" s="10">
        <f>IF(A303=A302,I302&amp;" · ","")&amp;IF(C303="카드",D303&amp;E303,"["&amp;C303&amp;"] "&amp;D303)</f>
        <v/>
      </c>
    </row>
    <row r="304">
      <c r="A304" s="5" t="n">
        <v>86</v>
      </c>
      <c r="B304" s="5" t="n">
        <v>1</v>
      </c>
      <c r="C304" s="5" t="inlineStr">
        <is>
          <t>카드</t>
        </is>
      </c>
      <c r="D304" s="5" t="inlineStr">
        <is>
          <t>조비</t>
        </is>
      </c>
      <c r="E304" s="5" t="n">
        <v>1</v>
      </c>
      <c r="F304" s="5" t="inlineStr">
        <is>
          <t>C</t>
        </is>
      </c>
      <c r="G304" s="5">
        <f>IF(C304="카드",INDEX(비용표!$C$2:$C$7,MATCH(F304,비용표!$B$2:$B$7,0)),F304*INDEX(비용표!$C$8:$C$9,MATCH(C304,비용표!$B$8:$B$9,0)))</f>
        <v/>
      </c>
      <c r="H304" s="5">
        <f>G304*E304</f>
        <v/>
      </c>
      <c r="I304" s="10">
        <f>IF(A304=A303,I303&amp;" · ","")&amp;IF(C304="카드",D304&amp;E304,"["&amp;C304&amp;"] "&amp;D304)</f>
        <v/>
      </c>
    </row>
    <row r="305">
      <c r="A305" s="5" t="n">
        <v>86</v>
      </c>
      <c r="B305" s="5" t="n">
        <v>2</v>
      </c>
      <c r="C305" s="5" t="inlineStr">
        <is>
          <t>카드</t>
        </is>
      </c>
      <c r="D305" s="5" t="inlineStr">
        <is>
          <t>헌제</t>
        </is>
      </c>
      <c r="E305" s="5" t="n">
        <v>1</v>
      </c>
      <c r="F305" s="5" t="inlineStr">
        <is>
          <t>E</t>
        </is>
      </c>
      <c r="G305" s="5">
        <f>IF(C305="카드",INDEX(비용표!$C$2:$C$7,MATCH(F305,비용표!$B$2:$B$7,0)),F305*INDEX(비용표!$C$8:$C$9,MATCH(C305,비용표!$B$8:$B$9,0)))</f>
        <v/>
      </c>
      <c r="H305" s="5">
        <f>G305*E305</f>
        <v/>
      </c>
      <c r="I305" s="10">
        <f>IF(A305=A304,I304&amp;" · ","")&amp;IF(C305="카드",D305&amp;E305,"["&amp;C305&amp;"] "&amp;D305)</f>
        <v/>
      </c>
    </row>
    <row r="306">
      <c r="A306" s="5" t="n">
        <v>86</v>
      </c>
      <c r="B306" s="5" t="n">
        <v>3</v>
      </c>
      <c r="C306" s="5" t="inlineStr">
        <is>
          <t>카드</t>
        </is>
      </c>
      <c r="D306" s="5" t="inlineStr">
        <is>
          <t>사마의</t>
        </is>
      </c>
      <c r="E306" s="5" t="n">
        <v>1</v>
      </c>
      <c r="F306" s="5" t="inlineStr">
        <is>
          <t>S</t>
        </is>
      </c>
      <c r="G306" s="5">
        <f>IF(C306="카드",INDEX(비용표!$C$2:$C$7,MATCH(F306,비용표!$B$2:$B$7,0)),F306*INDEX(비용표!$C$8:$C$9,MATCH(C306,비용표!$B$8:$B$9,0)))</f>
        <v/>
      </c>
      <c r="H306" s="5">
        <f>G306*E306</f>
        <v/>
      </c>
      <c r="I306" s="10">
        <f>IF(A306=A305,I305&amp;" · ","")&amp;IF(C306="카드",D306&amp;E306,"["&amp;C306&amp;"] "&amp;D306)</f>
        <v/>
      </c>
    </row>
    <row r="307">
      <c r="A307" s="5" t="n">
        <v>87</v>
      </c>
      <c r="B307" s="5" t="n">
        <v>1</v>
      </c>
      <c r="C307" s="5" t="inlineStr">
        <is>
          <t>카드</t>
        </is>
      </c>
      <c r="D307" s="5" t="inlineStr">
        <is>
          <t>조식</t>
        </is>
      </c>
      <c r="E307" s="5" t="n">
        <v>1</v>
      </c>
      <c r="F307" s="5" t="inlineStr">
        <is>
          <t>B</t>
        </is>
      </c>
      <c r="G307" s="5">
        <f>IF(C307="카드",INDEX(비용표!$C$2:$C$7,MATCH(F307,비용표!$B$2:$B$7,0)),F307*INDEX(비용표!$C$8:$C$9,MATCH(C307,비용표!$B$8:$B$9,0)))</f>
        <v/>
      </c>
      <c r="H307" s="5">
        <f>G307*E307</f>
        <v/>
      </c>
      <c r="I307" s="10">
        <f>IF(A307=A306,I306&amp;" · ","")&amp;IF(C307="카드",D307&amp;E307,"["&amp;C307&amp;"] "&amp;D307)</f>
        <v/>
      </c>
    </row>
    <row r="308">
      <c r="A308" s="5" t="n">
        <v>87</v>
      </c>
      <c r="B308" s="5" t="n">
        <v>2</v>
      </c>
      <c r="C308" s="5" t="inlineStr">
        <is>
          <t>카드</t>
        </is>
      </c>
      <c r="D308" s="5" t="inlineStr">
        <is>
          <t>조비</t>
        </is>
      </c>
      <c r="E308" s="5" t="n">
        <v>1</v>
      </c>
      <c r="F308" s="5" t="inlineStr">
        <is>
          <t>C</t>
        </is>
      </c>
      <c r="G308" s="5">
        <f>IF(C308="카드",INDEX(비용표!$C$2:$C$7,MATCH(F308,비용표!$B$2:$B$7,0)),F308*INDEX(비용표!$C$8:$C$9,MATCH(C308,비용표!$B$8:$B$9,0)))</f>
        <v/>
      </c>
      <c r="H308" s="5">
        <f>G308*E308</f>
        <v/>
      </c>
      <c r="I308" s="10">
        <f>IF(A308=A307,I307&amp;" · ","")&amp;IF(C308="카드",D308&amp;E308,"["&amp;C308&amp;"] "&amp;D308)</f>
        <v/>
      </c>
    </row>
    <row r="309">
      <c r="A309" s="5" t="n">
        <v>88</v>
      </c>
      <c r="B309" s="5" t="n">
        <v>1</v>
      </c>
      <c r="C309" s="5" t="inlineStr">
        <is>
          <t>카드</t>
        </is>
      </c>
      <c r="D309" s="5" t="inlineStr">
        <is>
          <t>관흥</t>
        </is>
      </c>
      <c r="E309" s="5" t="n">
        <v>1</v>
      </c>
      <c r="F309" s="5" t="inlineStr">
        <is>
          <t>A</t>
        </is>
      </c>
      <c r="G309" s="5">
        <f>IF(C309="카드",INDEX(비용표!$C$2:$C$7,MATCH(F309,비용표!$B$2:$B$7,0)),F309*INDEX(비용표!$C$8:$C$9,MATCH(C309,비용표!$B$8:$B$9,0)))</f>
        <v/>
      </c>
      <c r="H309" s="5">
        <f>G309*E309</f>
        <v/>
      </c>
      <c r="I309" s="10">
        <f>IF(A309=A308,I308&amp;" · ","")&amp;IF(C309="카드",D309&amp;E309,"["&amp;C309&amp;"] "&amp;D309)</f>
        <v/>
      </c>
    </row>
    <row r="310">
      <c r="A310" s="5" t="n">
        <v>88</v>
      </c>
      <c r="B310" s="5" t="n">
        <v>2</v>
      </c>
      <c r="C310" s="5" t="inlineStr">
        <is>
          <t>카드</t>
        </is>
      </c>
      <c r="D310" s="5" t="inlineStr">
        <is>
          <t>장포</t>
        </is>
      </c>
      <c r="E310" s="5" t="n">
        <v>1</v>
      </c>
      <c r="F310" s="5" t="inlineStr">
        <is>
          <t>A</t>
        </is>
      </c>
      <c r="G310" s="5">
        <f>IF(C310="카드",INDEX(비용표!$C$2:$C$7,MATCH(F310,비용표!$B$2:$B$7,0)),F310*INDEX(비용표!$C$8:$C$9,MATCH(C310,비용표!$B$8:$B$9,0)))</f>
        <v/>
      </c>
      <c r="H310" s="5">
        <f>G310*E310</f>
        <v/>
      </c>
      <c r="I310" s="10">
        <f>IF(A310=A309,I309&amp;" · ","")&amp;IF(C310="카드",D310&amp;E310,"["&amp;C310&amp;"] "&amp;D310)</f>
        <v/>
      </c>
    </row>
    <row r="311">
      <c r="A311" s="5" t="n">
        <v>89</v>
      </c>
      <c r="B311" s="5" t="n">
        <v>1</v>
      </c>
      <c r="C311" s="5" t="inlineStr">
        <is>
          <t>카드</t>
        </is>
      </c>
      <c r="D311" s="5" t="inlineStr">
        <is>
          <t>사마가</t>
        </is>
      </c>
      <c r="E311" s="5" t="n">
        <v>1</v>
      </c>
      <c r="F311" s="5" t="inlineStr">
        <is>
          <t>A</t>
        </is>
      </c>
      <c r="G311" s="5">
        <f>IF(C311="카드",INDEX(비용표!$C$2:$C$7,MATCH(F311,비용표!$B$2:$B$7,0)),F311*INDEX(비용표!$C$8:$C$9,MATCH(C311,비용표!$B$8:$B$9,0)))</f>
        <v/>
      </c>
      <c r="H311" s="5">
        <f>G311*E311</f>
        <v/>
      </c>
      <c r="I311" s="10">
        <f>IF(A311=A310,I310&amp;" · ","")&amp;IF(C311="카드",D311&amp;E311,"["&amp;C311&amp;"] "&amp;D311)</f>
        <v/>
      </c>
    </row>
    <row r="312">
      <c r="A312" s="5" t="n">
        <v>89</v>
      </c>
      <c r="B312" s="5" t="n">
        <v>2</v>
      </c>
      <c r="C312" s="5" t="inlineStr">
        <is>
          <t>카드</t>
        </is>
      </c>
      <c r="D312" s="5" t="inlineStr">
        <is>
          <t>감녕</t>
        </is>
      </c>
      <c r="E312" s="5" t="n">
        <v>1</v>
      </c>
      <c r="F312" s="5" t="inlineStr">
        <is>
          <t>S</t>
        </is>
      </c>
      <c r="G312" s="5">
        <f>IF(C312="카드",INDEX(비용표!$C$2:$C$7,MATCH(F312,비용표!$B$2:$B$7,0)),F312*INDEX(비용표!$C$8:$C$9,MATCH(C312,비용표!$B$8:$B$9,0)))</f>
        <v/>
      </c>
      <c r="H312" s="5">
        <f>G312*E312</f>
        <v/>
      </c>
      <c r="I312" s="10">
        <f>IF(A312=A311,I311&amp;" · ","")&amp;IF(C312="카드",D312&amp;E312,"["&amp;C312&amp;"] "&amp;D312)</f>
        <v/>
      </c>
    </row>
    <row r="313">
      <c r="A313" s="5" t="n">
        <v>89</v>
      </c>
      <c r="B313" s="5" t="n">
        <v>3</v>
      </c>
      <c r="C313" s="5" t="inlineStr">
        <is>
          <t>카드</t>
        </is>
      </c>
      <c r="D313" s="5" t="inlineStr">
        <is>
          <t>유비</t>
        </is>
      </c>
      <c r="E313" s="5" t="n">
        <v>1</v>
      </c>
      <c r="F313" s="5" t="inlineStr">
        <is>
          <t>S</t>
        </is>
      </c>
      <c r="G313" s="5">
        <f>IF(C313="카드",INDEX(비용표!$C$2:$C$7,MATCH(F313,비용표!$B$2:$B$7,0)),F313*INDEX(비용표!$C$8:$C$9,MATCH(C313,비용표!$B$8:$B$9,0)))</f>
        <v/>
      </c>
      <c r="H313" s="5">
        <f>G313*E313</f>
        <v/>
      </c>
      <c r="I313" s="10">
        <f>IF(A313=A312,I312&amp;" · ","")&amp;IF(C313="카드",D313&amp;E313,"["&amp;C313&amp;"] "&amp;D313)</f>
        <v/>
      </c>
    </row>
    <row r="314">
      <c r="A314" s="5" t="n">
        <v>90</v>
      </c>
      <c r="B314" s="5" t="n">
        <v>1</v>
      </c>
      <c r="C314" s="5" t="inlineStr">
        <is>
          <t>카드</t>
        </is>
      </c>
      <c r="D314" s="5" t="inlineStr">
        <is>
          <t>육손</t>
        </is>
      </c>
      <c r="E314" s="5" t="n">
        <v>1</v>
      </c>
      <c r="F314" s="5" t="inlineStr">
        <is>
          <t>S</t>
        </is>
      </c>
      <c r="G314" s="5">
        <f>IF(C314="카드",INDEX(비용표!$C$2:$C$7,MATCH(F314,비용표!$B$2:$B$7,0)),F314*INDEX(비용표!$C$8:$C$9,MATCH(C314,비용표!$B$8:$B$9,0)))</f>
        <v/>
      </c>
      <c r="H314" s="5">
        <f>G314*E314</f>
        <v/>
      </c>
      <c r="I314" s="10">
        <f>IF(A314=A313,I313&amp;" · ","")&amp;IF(C314="카드",D314&amp;E314,"["&amp;C314&amp;"] "&amp;D314)</f>
        <v/>
      </c>
    </row>
    <row r="315">
      <c r="A315" s="5" t="n">
        <v>90</v>
      </c>
      <c r="B315" s="5" t="n">
        <v>2</v>
      </c>
      <c r="C315" s="5" t="inlineStr">
        <is>
          <t>카드</t>
        </is>
      </c>
      <c r="D315" s="5" t="inlineStr">
        <is>
          <t>유비</t>
        </is>
      </c>
      <c r="E315" s="5" t="n">
        <v>1</v>
      </c>
      <c r="F315" s="5" t="inlineStr">
        <is>
          <t>S</t>
        </is>
      </c>
      <c r="G315" s="5">
        <f>IF(C315="카드",INDEX(비용표!$C$2:$C$7,MATCH(F315,비용표!$B$2:$B$7,0)),F315*INDEX(비용표!$C$8:$C$9,MATCH(C315,비용표!$B$8:$B$9,0)))</f>
        <v/>
      </c>
      <c r="H315" s="5">
        <f>G315*E315</f>
        <v/>
      </c>
      <c r="I315" s="10">
        <f>IF(A315=A314,I314&amp;" · ","")&amp;IF(C315="카드",D315&amp;E315,"["&amp;C315&amp;"] "&amp;D315)</f>
        <v/>
      </c>
    </row>
    <row r="316">
      <c r="A316" s="5" t="n">
        <v>90</v>
      </c>
      <c r="B316" s="5" t="n">
        <v>3</v>
      </c>
      <c r="C316" s="5" t="inlineStr">
        <is>
          <t>카드</t>
        </is>
      </c>
      <c r="D316" s="5" t="inlineStr">
        <is>
          <t>주연</t>
        </is>
      </c>
      <c r="E316" s="5" t="n">
        <v>1</v>
      </c>
      <c r="F316" s="5" t="inlineStr">
        <is>
          <t>B</t>
        </is>
      </c>
      <c r="G316" s="5">
        <f>IF(C316="카드",INDEX(비용표!$C$2:$C$7,MATCH(F316,비용표!$B$2:$B$7,0)),F316*INDEX(비용표!$C$8:$C$9,MATCH(C316,비용표!$B$8:$B$9,0)))</f>
        <v/>
      </c>
      <c r="H316" s="5">
        <f>G316*E316</f>
        <v/>
      </c>
      <c r="I316" s="10">
        <f>IF(A316=A315,I315&amp;" · ","")&amp;IF(C316="카드",D316&amp;E316,"["&amp;C316&amp;"] "&amp;D316)</f>
        <v/>
      </c>
    </row>
    <row r="317">
      <c r="A317" s="5" t="n">
        <v>90</v>
      </c>
      <c r="B317" s="5" t="n">
        <v>4</v>
      </c>
      <c r="C317" s="5" t="inlineStr">
        <is>
          <t>카드</t>
        </is>
      </c>
      <c r="D317" s="5" t="inlineStr">
        <is>
          <t>마량</t>
        </is>
      </c>
      <c r="E317" s="5" t="n">
        <v>1</v>
      </c>
      <c r="F317" s="5" t="inlineStr">
        <is>
          <t>A</t>
        </is>
      </c>
      <c r="G317" s="5">
        <f>IF(C317="카드",INDEX(비용표!$C$2:$C$7,MATCH(F317,비용표!$B$2:$B$7,0)),F317*INDEX(비용표!$C$8:$C$9,MATCH(C317,비용표!$B$8:$B$9,0)))</f>
        <v/>
      </c>
      <c r="H317" s="5">
        <f>G317*E317</f>
        <v/>
      </c>
      <c r="I317" s="10">
        <f>IF(A317=A316,I316&amp;" · ","")&amp;IF(C317="카드",D317&amp;E317,"["&amp;C317&amp;"] "&amp;D317)</f>
        <v/>
      </c>
    </row>
    <row r="318">
      <c r="A318" s="5" t="n">
        <v>90</v>
      </c>
      <c r="B318" s="5" t="n">
        <v>5</v>
      </c>
      <c r="C318" s="5" t="inlineStr">
        <is>
          <t>카드</t>
        </is>
      </c>
      <c r="D318" s="5" t="inlineStr">
        <is>
          <t>황권</t>
        </is>
      </c>
      <c r="E318" s="5" t="n">
        <v>1</v>
      </c>
      <c r="F318" s="5" t="inlineStr">
        <is>
          <t>B</t>
        </is>
      </c>
      <c r="G318" s="5">
        <f>IF(C318="카드",INDEX(비용표!$C$2:$C$7,MATCH(F318,비용표!$B$2:$B$7,0)),F318*INDEX(비용표!$C$8:$C$9,MATCH(C318,비용표!$B$8:$B$9,0)))</f>
        <v/>
      </c>
      <c r="H318" s="5">
        <f>G318*E318</f>
        <v/>
      </c>
      <c r="I318" s="10">
        <f>IF(A318=A317,I317&amp;" · ","")&amp;IF(C318="카드",D318&amp;E318,"["&amp;C318&amp;"] "&amp;D318)</f>
        <v/>
      </c>
    </row>
    <row r="319">
      <c r="A319" s="5" t="n">
        <v>91</v>
      </c>
      <c r="B319" s="5" t="n">
        <v>1</v>
      </c>
      <c r="C319" s="5" t="inlineStr">
        <is>
          <t>카드</t>
        </is>
      </c>
      <c r="D319" s="5" t="inlineStr">
        <is>
          <t>유비</t>
        </is>
      </c>
      <c r="E319" s="5" t="n">
        <v>1</v>
      </c>
      <c r="F319" s="5" t="inlineStr">
        <is>
          <t>S</t>
        </is>
      </c>
      <c r="G319" s="5">
        <f>IF(C319="카드",INDEX(비용표!$C$2:$C$7,MATCH(F319,비용표!$B$2:$B$7,0)),F319*INDEX(비용표!$C$8:$C$9,MATCH(C319,비용표!$B$8:$B$9,0)))</f>
        <v/>
      </c>
      <c r="H319" s="5">
        <f>G319*E319</f>
        <v/>
      </c>
      <c r="I319" s="10">
        <f>IF(A319=A318,I318&amp;" · ","")&amp;IF(C319="카드",D319&amp;E319,"["&amp;C319&amp;"] "&amp;D319)</f>
        <v/>
      </c>
    </row>
    <row r="320">
      <c r="A320" s="5" t="n">
        <v>91</v>
      </c>
      <c r="B320" s="5" t="n">
        <v>2</v>
      </c>
      <c r="C320" s="5" t="inlineStr">
        <is>
          <t>카드</t>
        </is>
      </c>
      <c r="D320" s="5" t="inlineStr">
        <is>
          <t>제갈량</t>
        </is>
      </c>
      <c r="E320" s="5" t="n">
        <v>1</v>
      </c>
      <c r="F320" s="5" t="inlineStr">
        <is>
          <t>S</t>
        </is>
      </c>
      <c r="G320" s="5">
        <f>IF(C320="카드",INDEX(비용표!$C$2:$C$7,MATCH(F320,비용표!$B$2:$B$7,0)),F320*INDEX(비용표!$C$8:$C$9,MATCH(C320,비용표!$B$8:$B$9,0)))</f>
        <v/>
      </c>
      <c r="H320" s="5">
        <f>G320*E320</f>
        <v/>
      </c>
      <c r="I320" s="10">
        <f>IF(A320=A319,I319&amp;" · ","")&amp;IF(C320="카드",D320&amp;E320,"["&amp;C320&amp;"] "&amp;D320)</f>
        <v/>
      </c>
    </row>
    <row r="321">
      <c r="A321" s="5" t="n">
        <v>91</v>
      </c>
      <c r="B321" s="5" t="n">
        <v>3</v>
      </c>
      <c r="C321" s="5" t="inlineStr">
        <is>
          <t>카드</t>
        </is>
      </c>
      <c r="D321" s="5" t="inlineStr">
        <is>
          <t>유선</t>
        </is>
      </c>
      <c r="E321" s="5" t="n">
        <v>1</v>
      </c>
      <c r="F321" s="5" t="inlineStr">
        <is>
          <t>D</t>
        </is>
      </c>
      <c r="G321" s="5">
        <f>IF(C321="카드",INDEX(비용표!$C$2:$C$7,MATCH(F321,비용표!$B$2:$B$7,0)),F321*INDEX(비용표!$C$8:$C$9,MATCH(C321,비용표!$B$8:$B$9,0)))</f>
        <v/>
      </c>
      <c r="H321" s="5">
        <f>G321*E321</f>
        <v/>
      </c>
      <c r="I321" s="10">
        <f>IF(A321=A320,I320&amp;" · ","")&amp;IF(C321="카드",D321&amp;E321,"["&amp;C321&amp;"] "&amp;D321)</f>
        <v/>
      </c>
    </row>
    <row r="322">
      <c r="A322" s="5" t="n">
        <v>91</v>
      </c>
      <c r="B322" s="5" t="n">
        <v>4</v>
      </c>
      <c r="C322" s="5" t="inlineStr">
        <is>
          <t>카드</t>
        </is>
      </c>
      <c r="D322" s="5" t="inlineStr">
        <is>
          <t>이엄</t>
        </is>
      </c>
      <c r="E322" s="5" t="n">
        <v>1</v>
      </c>
      <c r="F322" s="5" t="inlineStr">
        <is>
          <t>A</t>
        </is>
      </c>
      <c r="G322" s="5">
        <f>IF(C322="카드",INDEX(비용표!$C$2:$C$7,MATCH(F322,비용표!$B$2:$B$7,0)),F322*INDEX(비용표!$C$8:$C$9,MATCH(C322,비용표!$B$8:$B$9,0)))</f>
        <v/>
      </c>
      <c r="H322" s="5">
        <f>G322*E322</f>
        <v/>
      </c>
      <c r="I322" s="10">
        <f>IF(A322=A321,I321&amp;" · ","")&amp;IF(C322="카드",D322&amp;E322,"["&amp;C322&amp;"] "&amp;D322)</f>
        <v/>
      </c>
    </row>
    <row r="323">
      <c r="A323" s="5" t="n">
        <v>91</v>
      </c>
      <c r="B323" s="5" t="n">
        <v>5</v>
      </c>
      <c r="C323" s="5" t="inlineStr">
        <is>
          <t>카드</t>
        </is>
      </c>
      <c r="D323" s="5" t="inlineStr">
        <is>
          <t>조운</t>
        </is>
      </c>
      <c r="E323" s="5" t="n">
        <v>1</v>
      </c>
      <c r="F323" s="5" t="inlineStr">
        <is>
          <t>S</t>
        </is>
      </c>
      <c r="G323" s="5">
        <f>IF(C323="카드",INDEX(비용표!$C$2:$C$7,MATCH(F323,비용표!$B$2:$B$7,0)),F323*INDEX(비용표!$C$8:$C$9,MATCH(C323,비용표!$B$8:$B$9,0)))</f>
        <v/>
      </c>
      <c r="H323" s="5">
        <f>G323*E323</f>
        <v/>
      </c>
      <c r="I323" s="10">
        <f>IF(A323=A322,I322&amp;" · ","")&amp;IF(C323="카드",D323&amp;E323,"["&amp;C323&amp;"] "&amp;D323)</f>
        <v/>
      </c>
    </row>
    <row r="324">
      <c r="A324" s="5" t="n">
        <v>92</v>
      </c>
      <c r="B324" s="5" t="n">
        <v>1</v>
      </c>
      <c r="C324" s="5" t="inlineStr">
        <is>
          <t>카드</t>
        </is>
      </c>
      <c r="D324" s="5" t="inlineStr">
        <is>
          <t>서성</t>
        </is>
      </c>
      <c r="E324" s="5" t="n">
        <v>1</v>
      </c>
      <c r="F324" s="5" t="inlineStr">
        <is>
          <t>B</t>
        </is>
      </c>
      <c r="G324" s="5">
        <f>IF(C324="카드",INDEX(비용표!$C$2:$C$7,MATCH(F324,비용표!$B$2:$B$7,0)),F324*INDEX(비용표!$C$8:$C$9,MATCH(C324,비용표!$B$8:$B$9,0)))</f>
        <v/>
      </c>
      <c r="H324" s="5">
        <f>G324*E324</f>
        <v/>
      </c>
      <c r="I324" s="10">
        <f>IF(A324=A323,I323&amp;" · ","")&amp;IF(C324="카드",D324&amp;E324,"["&amp;C324&amp;"] "&amp;D324)</f>
        <v/>
      </c>
    </row>
    <row r="325">
      <c r="A325" s="5" t="n">
        <v>92</v>
      </c>
      <c r="B325" s="5" t="n">
        <v>2</v>
      </c>
      <c r="C325" s="5" t="inlineStr">
        <is>
          <t>카드</t>
        </is>
      </c>
      <c r="D325" s="5" t="inlineStr">
        <is>
          <t>조비</t>
        </is>
      </c>
      <c r="E325" s="5" t="n">
        <v>1</v>
      </c>
      <c r="F325" s="5" t="inlineStr">
        <is>
          <t>C</t>
        </is>
      </c>
      <c r="G325" s="5">
        <f>IF(C325="카드",INDEX(비용표!$C$2:$C$7,MATCH(F325,비용표!$B$2:$B$7,0)),F325*INDEX(비용표!$C$8:$C$9,MATCH(C325,비용표!$B$8:$B$9,0)))</f>
        <v/>
      </c>
      <c r="H325" s="5">
        <f>G325*E325</f>
        <v/>
      </c>
      <c r="I325" s="10">
        <f>IF(A325=A324,I324&amp;" · ","")&amp;IF(C325="카드",D325&amp;E325,"["&amp;C325&amp;"] "&amp;D325)</f>
        <v/>
      </c>
    </row>
    <row r="326">
      <c r="A326" s="5" t="n">
        <v>93</v>
      </c>
      <c r="B326" s="5" t="n">
        <v>1</v>
      </c>
      <c r="C326" s="5" t="inlineStr">
        <is>
          <t>카드</t>
        </is>
      </c>
      <c r="D326" s="5" t="inlineStr">
        <is>
          <t>축융</t>
        </is>
      </c>
      <c r="E326" s="5" t="n">
        <v>1</v>
      </c>
      <c r="F326" s="5" t="inlineStr">
        <is>
          <t>B</t>
        </is>
      </c>
      <c r="G326" s="5">
        <f>IF(C326="카드",INDEX(비용표!$C$2:$C$7,MATCH(F326,비용표!$B$2:$B$7,0)),F326*INDEX(비용표!$C$8:$C$9,MATCH(C326,비용표!$B$8:$B$9,0)))</f>
        <v/>
      </c>
      <c r="H326" s="5">
        <f>G326*E326</f>
        <v/>
      </c>
      <c r="I326" s="10">
        <f>IF(A326=A325,I325&amp;" · ","")&amp;IF(C326="카드",D326&amp;E326,"["&amp;C326&amp;"] "&amp;D326)</f>
        <v/>
      </c>
    </row>
    <row r="327">
      <c r="A327" s="5" t="n">
        <v>93</v>
      </c>
      <c r="B327" s="5" t="n">
        <v>2</v>
      </c>
      <c r="C327" s="5" t="inlineStr">
        <is>
          <t>카드</t>
        </is>
      </c>
      <c r="D327" s="5" t="inlineStr">
        <is>
          <t>오란</t>
        </is>
      </c>
      <c r="E327" s="5" t="n">
        <v>1</v>
      </c>
      <c r="F327" s="5" t="inlineStr">
        <is>
          <t>A</t>
        </is>
      </c>
      <c r="G327" s="5">
        <f>IF(C327="카드",INDEX(비용표!$C$2:$C$7,MATCH(F327,비용표!$B$2:$B$7,0)),F327*INDEX(비용표!$C$8:$C$9,MATCH(C327,비용표!$B$8:$B$9,0)))</f>
        <v/>
      </c>
      <c r="H327" s="5">
        <f>G327*E327</f>
        <v/>
      </c>
      <c r="I327" s="10">
        <f>IF(A327=A326,I326&amp;" · ","")&amp;IF(C327="카드",D327&amp;E327,"["&amp;C327&amp;"] "&amp;D327)</f>
        <v/>
      </c>
    </row>
    <row r="328">
      <c r="A328" s="5" t="n">
        <v>93</v>
      </c>
      <c r="B328" s="5" t="n">
        <v>3</v>
      </c>
      <c r="C328" s="5" t="inlineStr">
        <is>
          <t>카드</t>
        </is>
      </c>
      <c r="D328" s="5" t="inlineStr">
        <is>
          <t>제갈량</t>
        </is>
      </c>
      <c r="E328" s="5" t="n">
        <v>1</v>
      </c>
      <c r="F328" s="5" t="inlineStr">
        <is>
          <t>S</t>
        </is>
      </c>
      <c r="G328" s="5">
        <f>IF(C328="카드",INDEX(비용표!$C$2:$C$7,MATCH(F328,비용표!$B$2:$B$7,0)),F328*INDEX(비용표!$C$8:$C$9,MATCH(C328,비용표!$B$8:$B$9,0)))</f>
        <v/>
      </c>
      <c r="H328" s="5">
        <f>G328*E328</f>
        <v/>
      </c>
      <c r="I328" s="10">
        <f>IF(A328=A327,I327&amp;" · ","")&amp;IF(C328="카드",D328&amp;E328,"["&amp;C328&amp;"] "&amp;D328)</f>
        <v/>
      </c>
    </row>
    <row r="329">
      <c r="A329" s="5" t="n">
        <v>93</v>
      </c>
      <c r="B329" s="5" t="n">
        <v>4</v>
      </c>
      <c r="C329" s="5" t="inlineStr">
        <is>
          <t>카드</t>
        </is>
      </c>
      <c r="D329" s="5" t="inlineStr">
        <is>
          <t>마대</t>
        </is>
      </c>
      <c r="E329" s="5" t="n">
        <v>1</v>
      </c>
      <c r="F329" s="5" t="inlineStr">
        <is>
          <t>B</t>
        </is>
      </c>
      <c r="G329" s="5">
        <f>IF(C329="카드",INDEX(비용표!$C$2:$C$7,MATCH(F329,비용표!$B$2:$B$7,0)),F329*INDEX(비용표!$C$8:$C$9,MATCH(C329,비용표!$B$8:$B$9,0)))</f>
        <v/>
      </c>
      <c r="H329" s="5">
        <f>G329*E329</f>
        <v/>
      </c>
      <c r="I329" s="10">
        <f>IF(A329=A328,I328&amp;" · ","")&amp;IF(C329="카드",D329&amp;E329,"["&amp;C329&amp;"] "&amp;D329)</f>
        <v/>
      </c>
    </row>
    <row r="330">
      <c r="A330" s="5" t="n">
        <v>93</v>
      </c>
      <c r="B330" s="5" t="n">
        <v>5</v>
      </c>
      <c r="C330" s="5" t="inlineStr">
        <is>
          <t>카드</t>
        </is>
      </c>
      <c r="D330" s="5" t="inlineStr">
        <is>
          <t>왕평</t>
        </is>
      </c>
      <c r="E330" s="5" t="n">
        <v>1</v>
      </c>
      <c r="F330" s="5" t="inlineStr">
        <is>
          <t>B</t>
        </is>
      </c>
      <c r="G330" s="5">
        <f>IF(C330="카드",INDEX(비용표!$C$2:$C$7,MATCH(F330,비용표!$B$2:$B$7,0)),F330*INDEX(비용표!$C$8:$C$9,MATCH(C330,비용표!$B$8:$B$9,0)))</f>
        <v/>
      </c>
      <c r="H330" s="5">
        <f>G330*E330</f>
        <v/>
      </c>
      <c r="I330" s="10">
        <f>IF(A330=A329,I329&amp;" · ","")&amp;IF(C330="카드",D330&amp;E330,"["&amp;C330&amp;"] "&amp;D330)</f>
        <v/>
      </c>
    </row>
    <row r="331">
      <c r="A331" s="5" t="n">
        <v>94</v>
      </c>
      <c r="B331" s="5" t="n">
        <v>1</v>
      </c>
      <c r="C331" s="5" t="inlineStr">
        <is>
          <t>카드</t>
        </is>
      </c>
      <c r="D331" s="5" t="inlineStr">
        <is>
          <t>제갈량</t>
        </is>
      </c>
      <c r="E331" s="5" t="n">
        <v>1</v>
      </c>
      <c r="F331" s="5" t="inlineStr">
        <is>
          <t>S</t>
        </is>
      </c>
      <c r="G331" s="5">
        <f>IF(C331="카드",INDEX(비용표!$C$2:$C$7,MATCH(F331,비용표!$B$2:$B$7,0)),F331*INDEX(비용표!$C$8:$C$9,MATCH(C331,비용표!$B$8:$B$9,0)))</f>
        <v/>
      </c>
      <c r="H331" s="5">
        <f>G331*E331</f>
        <v/>
      </c>
      <c r="I331" s="10">
        <f>IF(A331=A330,I330&amp;" · ","")&amp;IF(C331="카드",D331&amp;E331,"["&amp;C331&amp;"] "&amp;D331)</f>
        <v/>
      </c>
    </row>
    <row r="332">
      <c r="A332" s="5" t="n">
        <v>94</v>
      </c>
      <c r="B332" s="5" t="n">
        <v>2</v>
      </c>
      <c r="C332" s="5" t="inlineStr">
        <is>
          <t>카드</t>
        </is>
      </c>
      <c r="D332" s="5" t="inlineStr">
        <is>
          <t>유선</t>
        </is>
      </c>
      <c r="E332" s="5" t="n">
        <v>1</v>
      </c>
      <c r="F332" s="5" t="inlineStr">
        <is>
          <t>D</t>
        </is>
      </c>
      <c r="G332" s="5">
        <f>IF(C332="카드",INDEX(비용표!$C$2:$C$7,MATCH(F332,비용표!$B$2:$B$7,0)),F332*INDEX(비용표!$C$8:$C$9,MATCH(C332,비용표!$B$8:$B$9,0)))</f>
        <v/>
      </c>
      <c r="H332" s="5">
        <f>G332*E332</f>
        <v/>
      </c>
      <c r="I332" s="10">
        <f>IF(A332=A331,I331&amp;" · ","")&amp;IF(C332="카드",D332&amp;E332,"["&amp;C332&amp;"] "&amp;D332)</f>
        <v/>
      </c>
    </row>
    <row r="333">
      <c r="A333" s="5" t="n">
        <v>94</v>
      </c>
      <c r="B333" s="5" t="n">
        <v>3</v>
      </c>
      <c r="C333" s="5" t="inlineStr">
        <is>
          <t>카드</t>
        </is>
      </c>
      <c r="D333" s="5" t="inlineStr">
        <is>
          <t>조운</t>
        </is>
      </c>
      <c r="E333" s="5" t="n">
        <v>1</v>
      </c>
      <c r="F333" s="5" t="inlineStr">
        <is>
          <t>S</t>
        </is>
      </c>
      <c r="G333" s="5">
        <f>IF(C333="카드",INDEX(비용표!$C$2:$C$7,MATCH(F333,비용표!$B$2:$B$7,0)),F333*INDEX(비용표!$C$8:$C$9,MATCH(C333,비용표!$B$8:$B$9,0)))</f>
        <v/>
      </c>
      <c r="H333" s="5">
        <f>G333*E333</f>
        <v/>
      </c>
      <c r="I333" s="10">
        <f>IF(A333=A332,I332&amp;" · ","")&amp;IF(C333="카드",D333&amp;E333,"["&amp;C333&amp;"] "&amp;D333)</f>
        <v/>
      </c>
    </row>
    <row r="334">
      <c r="A334" s="5" t="n">
        <v>94</v>
      </c>
      <c r="B334" s="5" t="n">
        <v>4</v>
      </c>
      <c r="C334" s="5" t="inlineStr">
        <is>
          <t>카드</t>
        </is>
      </c>
      <c r="D334" s="5" t="inlineStr">
        <is>
          <t>위연</t>
        </is>
      </c>
      <c r="E334" s="5" t="n">
        <v>1</v>
      </c>
      <c r="F334" s="5" t="inlineStr">
        <is>
          <t>A</t>
        </is>
      </c>
      <c r="G334" s="5">
        <f>IF(C334="카드",INDEX(비용표!$C$2:$C$7,MATCH(F334,비용표!$B$2:$B$7,0)),F334*INDEX(비용표!$C$8:$C$9,MATCH(C334,비용표!$B$8:$B$9,0)))</f>
        <v/>
      </c>
      <c r="H334" s="5">
        <f>G334*E334</f>
        <v/>
      </c>
      <c r="I334" s="10">
        <f>IF(A334=A333,I333&amp;" · ","")&amp;IF(C334="카드",D334&amp;E334,"["&amp;C334&amp;"] "&amp;D334)</f>
        <v/>
      </c>
    </row>
    <row r="335">
      <c r="A335" s="5" t="n">
        <v>94</v>
      </c>
      <c r="B335" s="5" t="n">
        <v>5</v>
      </c>
      <c r="C335" s="5" t="inlineStr">
        <is>
          <t>카드</t>
        </is>
      </c>
      <c r="D335" s="5" t="inlineStr">
        <is>
          <t>비위</t>
        </is>
      </c>
      <c r="E335" s="5" t="n">
        <v>1</v>
      </c>
      <c r="F335" s="5" t="inlineStr">
        <is>
          <t>B</t>
        </is>
      </c>
      <c r="G335" s="5">
        <f>IF(C335="카드",INDEX(비용표!$C$2:$C$7,MATCH(F335,비용표!$B$2:$B$7,0)),F335*INDEX(비용표!$C$8:$C$9,MATCH(C335,비용표!$B$8:$B$9,0)))</f>
        <v/>
      </c>
      <c r="H335" s="5">
        <f>G335*E335</f>
        <v/>
      </c>
      <c r="I335" s="10">
        <f>IF(A335=A334,I334&amp;" · ","")&amp;IF(C335="카드",D335&amp;E335,"["&amp;C335&amp;"] "&amp;D335)</f>
        <v/>
      </c>
    </row>
    <row r="336">
      <c r="A336" s="5" t="n">
        <v>95</v>
      </c>
      <c r="B336" s="5" t="n">
        <v>1</v>
      </c>
      <c r="C336" s="5" t="inlineStr">
        <is>
          <t>카드</t>
        </is>
      </c>
      <c r="D336" s="5" t="inlineStr">
        <is>
          <t>장로</t>
        </is>
      </c>
      <c r="E336" s="5" t="n">
        <v>1</v>
      </c>
      <c r="F336" s="5" t="inlineStr">
        <is>
          <t>A</t>
        </is>
      </c>
      <c r="G336" s="5">
        <f>IF(C336="카드",INDEX(비용표!$C$2:$C$7,MATCH(F336,비용표!$B$2:$B$7,0)),F336*INDEX(비용표!$C$8:$C$9,MATCH(C336,비용표!$B$8:$B$9,0)))</f>
        <v/>
      </c>
      <c r="H336" s="5">
        <f>G336*E336</f>
        <v/>
      </c>
      <c r="I336" s="10">
        <f>IF(A336=A335,I335&amp;" · ","")&amp;IF(C336="카드",D336&amp;E336,"["&amp;C336&amp;"] "&amp;D336)</f>
        <v/>
      </c>
    </row>
    <row r="337">
      <c r="A337" s="5" t="n">
        <v>95</v>
      </c>
      <c r="B337" s="5" t="n">
        <v>2</v>
      </c>
      <c r="C337" s="5" t="inlineStr">
        <is>
          <t>카드</t>
        </is>
      </c>
      <c r="D337" s="5" t="inlineStr">
        <is>
          <t>염포</t>
        </is>
      </c>
      <c r="E337" s="5" t="n">
        <v>1</v>
      </c>
      <c r="F337" s="5" t="inlineStr">
        <is>
          <t>B</t>
        </is>
      </c>
      <c r="G337" s="5">
        <f>IF(C337="카드",INDEX(비용표!$C$2:$C$7,MATCH(F337,비용표!$B$2:$B$7,0)),F337*INDEX(비용표!$C$8:$C$9,MATCH(C337,비용표!$B$8:$B$9,0)))</f>
        <v/>
      </c>
      <c r="H337" s="5">
        <f>G337*E337</f>
        <v/>
      </c>
      <c r="I337" s="10">
        <f>IF(A337=A336,I336&amp;" · ","")&amp;IF(C337="카드",D337&amp;E337,"["&amp;C337&amp;"] "&amp;D337)</f>
        <v/>
      </c>
    </row>
    <row r="338">
      <c r="A338" s="5" t="n">
        <v>95</v>
      </c>
      <c r="B338" s="5" t="n">
        <v>3</v>
      </c>
      <c r="C338" s="5" t="inlineStr">
        <is>
          <t>카드</t>
        </is>
      </c>
      <c r="D338" s="5" t="inlineStr">
        <is>
          <t>양송</t>
        </is>
      </c>
      <c r="E338" s="5" t="n">
        <v>1</v>
      </c>
      <c r="F338" s="5" t="inlineStr">
        <is>
          <t>D</t>
        </is>
      </c>
      <c r="G338" s="5">
        <f>IF(C338="카드",INDEX(비용표!$C$2:$C$7,MATCH(F338,비용표!$B$2:$B$7,0)),F338*INDEX(비용표!$C$8:$C$9,MATCH(C338,비용표!$B$8:$B$9,0)))</f>
        <v/>
      </c>
      <c r="H338" s="5">
        <f>G338*E338</f>
        <v/>
      </c>
      <c r="I338" s="10">
        <f>IF(A338=A337,I337&amp;" · ","")&amp;IF(C338="카드",D338&amp;E338,"["&amp;C338&amp;"] "&amp;D338)</f>
        <v/>
      </c>
    </row>
    <row r="339">
      <c r="A339" s="5" t="n">
        <v>95</v>
      </c>
      <c r="B339" s="5" t="n">
        <v>4</v>
      </c>
      <c r="C339" s="5" t="inlineStr">
        <is>
          <t>카드</t>
        </is>
      </c>
      <c r="D339" s="5" t="inlineStr">
        <is>
          <t>양앙</t>
        </is>
      </c>
      <c r="E339" s="5" t="n">
        <v>1</v>
      </c>
      <c r="F339" s="5" t="inlineStr">
        <is>
          <t>C</t>
        </is>
      </c>
      <c r="G339" s="5">
        <f>IF(C339="카드",INDEX(비용표!$C$2:$C$7,MATCH(F339,비용표!$B$2:$B$7,0)),F339*INDEX(비용표!$C$8:$C$9,MATCH(C339,비용표!$B$8:$B$9,0)))</f>
        <v/>
      </c>
      <c r="H339" s="5">
        <f>G339*E339</f>
        <v/>
      </c>
      <c r="I339" s="10">
        <f>IF(A339=A338,I338&amp;" · ","")&amp;IF(C339="카드",D339&amp;E339,"["&amp;C339&amp;"] "&amp;D339)</f>
        <v/>
      </c>
    </row>
    <row r="340">
      <c r="A340" s="5" t="n">
        <v>95</v>
      </c>
      <c r="B340" s="5" t="n">
        <v>5</v>
      </c>
      <c r="C340" s="5" t="inlineStr">
        <is>
          <t>카드</t>
        </is>
      </c>
      <c r="D340" s="5" t="inlineStr">
        <is>
          <t>양임</t>
        </is>
      </c>
      <c r="E340" s="5" t="n">
        <v>1</v>
      </c>
      <c r="F340" s="5" t="inlineStr">
        <is>
          <t>D</t>
        </is>
      </c>
      <c r="G340" s="5">
        <f>IF(C340="카드",INDEX(비용표!$C$2:$C$7,MATCH(F340,비용표!$B$2:$B$7,0)),F340*INDEX(비용표!$C$8:$C$9,MATCH(C340,비용표!$B$8:$B$9,0)))</f>
        <v/>
      </c>
      <c r="H340" s="5">
        <f>G340*E340</f>
        <v/>
      </c>
      <c r="I340" s="10">
        <f>IF(A340=A339,I339&amp;" · ","")&amp;IF(C340="카드",D340&amp;E340,"["&amp;C340&amp;"] "&amp;D340)</f>
        <v/>
      </c>
    </row>
    <row r="341">
      <c r="A341" s="5" t="n">
        <v>96</v>
      </c>
      <c r="B341" s="5" t="n">
        <v>1</v>
      </c>
      <c r="C341" s="5" t="inlineStr">
        <is>
          <t>카드</t>
        </is>
      </c>
      <c r="D341" s="5" t="inlineStr">
        <is>
          <t>강유</t>
        </is>
      </c>
      <c r="E341" s="5" t="n">
        <v>1</v>
      </c>
      <c r="F341" s="5" t="inlineStr">
        <is>
          <t>S</t>
        </is>
      </c>
      <c r="G341" s="5">
        <f>IF(C341="카드",INDEX(비용표!$C$2:$C$7,MATCH(F341,비용표!$B$2:$B$7,0)),F341*INDEX(비용표!$C$8:$C$9,MATCH(C341,비용표!$B$8:$B$9,0)))</f>
        <v/>
      </c>
      <c r="H341" s="5">
        <f>G341*E341</f>
        <v/>
      </c>
      <c r="I341" s="10">
        <f>IF(A341=A340,I340&amp;" · ","")&amp;IF(C341="카드",D341&amp;E341,"["&amp;C341&amp;"] "&amp;D341)</f>
        <v/>
      </c>
    </row>
    <row r="342">
      <c r="A342" s="5" t="n">
        <v>96</v>
      </c>
      <c r="B342" s="5" t="n">
        <v>2</v>
      </c>
      <c r="C342" s="5" t="inlineStr">
        <is>
          <t>카드</t>
        </is>
      </c>
      <c r="D342" s="5" t="inlineStr">
        <is>
          <t>제갈량</t>
        </is>
      </c>
      <c r="E342" s="5" t="n">
        <v>1</v>
      </c>
      <c r="F342" s="5" t="inlineStr">
        <is>
          <t>S</t>
        </is>
      </c>
      <c r="G342" s="5">
        <f>IF(C342="카드",INDEX(비용표!$C$2:$C$7,MATCH(F342,비용표!$B$2:$B$7,0)),F342*INDEX(비용표!$C$8:$C$9,MATCH(C342,비용표!$B$8:$B$9,0)))</f>
        <v/>
      </c>
      <c r="H342" s="5">
        <f>G342*E342</f>
        <v/>
      </c>
      <c r="I342" s="10">
        <f>IF(A342=A341,I341&amp;" · ","")&amp;IF(C342="카드",D342&amp;E342,"["&amp;C342&amp;"] "&amp;D342)</f>
        <v/>
      </c>
    </row>
    <row r="343">
      <c r="A343" s="5" t="n">
        <v>96</v>
      </c>
      <c r="B343" s="5" t="n">
        <v>3</v>
      </c>
      <c r="C343" s="5" t="inlineStr">
        <is>
          <t>카드</t>
        </is>
      </c>
      <c r="D343" s="5" t="inlineStr">
        <is>
          <t>조운</t>
        </is>
      </c>
      <c r="E343" s="5" t="n">
        <v>1</v>
      </c>
      <c r="F343" s="5" t="inlineStr">
        <is>
          <t>S</t>
        </is>
      </c>
      <c r="G343" s="5">
        <f>IF(C343="카드",INDEX(비용표!$C$2:$C$7,MATCH(F343,비용표!$B$2:$B$7,0)),F343*INDEX(비용표!$C$8:$C$9,MATCH(C343,비용표!$B$8:$B$9,0)))</f>
        <v/>
      </c>
      <c r="H343" s="5">
        <f>G343*E343</f>
        <v/>
      </c>
      <c r="I343" s="10">
        <f>IF(A343=A342,I342&amp;" · ","")&amp;IF(C343="카드",D343&amp;E343,"["&amp;C343&amp;"] "&amp;D343)</f>
        <v/>
      </c>
    </row>
    <row r="344">
      <c r="A344" s="5" t="n">
        <v>97</v>
      </c>
      <c r="B344" s="5" t="n">
        <v>1</v>
      </c>
      <c r="C344" s="5" t="inlineStr">
        <is>
          <t>카드</t>
        </is>
      </c>
      <c r="D344" s="5" t="inlineStr">
        <is>
          <t>마속</t>
        </is>
      </c>
      <c r="E344" s="5" t="n">
        <v>1</v>
      </c>
      <c r="F344" s="5" t="inlineStr">
        <is>
          <t>B</t>
        </is>
      </c>
      <c r="G344" s="5">
        <f>IF(C344="카드",INDEX(비용표!$C$2:$C$7,MATCH(F344,비용표!$B$2:$B$7,0)),F344*INDEX(비용표!$C$8:$C$9,MATCH(C344,비용표!$B$8:$B$9,0)))</f>
        <v/>
      </c>
      <c r="H344" s="5">
        <f>G344*E344</f>
        <v/>
      </c>
      <c r="I344" s="10">
        <f>IF(A344=A343,I343&amp;" · ","")&amp;IF(C344="카드",D344&amp;E344,"["&amp;C344&amp;"] "&amp;D344)</f>
        <v/>
      </c>
    </row>
    <row r="345">
      <c r="A345" s="5" t="n">
        <v>97</v>
      </c>
      <c r="B345" s="5" t="n">
        <v>2</v>
      </c>
      <c r="C345" s="5" t="inlineStr">
        <is>
          <t>카드</t>
        </is>
      </c>
      <c r="D345" s="5" t="inlineStr">
        <is>
          <t>왕평</t>
        </is>
      </c>
      <c r="E345" s="5" t="n">
        <v>1</v>
      </c>
      <c r="F345" s="5" t="inlineStr">
        <is>
          <t>B</t>
        </is>
      </c>
      <c r="G345" s="5">
        <f>IF(C345="카드",INDEX(비용표!$C$2:$C$7,MATCH(F345,비용표!$B$2:$B$7,0)),F345*INDEX(비용표!$C$8:$C$9,MATCH(C345,비용표!$B$8:$B$9,0)))</f>
        <v/>
      </c>
      <c r="H345" s="5">
        <f>G345*E345</f>
        <v/>
      </c>
      <c r="I345" s="10">
        <f>IF(A345=A344,I344&amp;" · ","")&amp;IF(C345="카드",D345&amp;E345,"["&amp;C345&amp;"] "&amp;D345)</f>
        <v/>
      </c>
    </row>
    <row r="346">
      <c r="A346" s="5" t="n">
        <v>97</v>
      </c>
      <c r="B346" s="5" t="n">
        <v>3</v>
      </c>
      <c r="C346" s="5" t="inlineStr">
        <is>
          <t>카드</t>
        </is>
      </c>
      <c r="D346" s="5" t="inlineStr">
        <is>
          <t>장합</t>
        </is>
      </c>
      <c r="E346" s="5" t="n">
        <v>1</v>
      </c>
      <c r="F346" s="5" t="inlineStr">
        <is>
          <t>S</t>
        </is>
      </c>
      <c r="G346" s="5">
        <f>IF(C346="카드",INDEX(비용표!$C$2:$C$7,MATCH(F346,비용표!$B$2:$B$7,0)),F346*INDEX(비용표!$C$8:$C$9,MATCH(C346,비용표!$B$8:$B$9,0)))</f>
        <v/>
      </c>
      <c r="H346" s="5">
        <f>G346*E346</f>
        <v/>
      </c>
      <c r="I346" s="10">
        <f>IF(A346=A345,I345&amp;" · ","")&amp;IF(C346="카드",D346&amp;E346,"["&amp;C346&amp;"] "&amp;D346)</f>
        <v/>
      </c>
    </row>
    <row r="347">
      <c r="A347" s="5" t="n">
        <v>97</v>
      </c>
      <c r="B347" s="5" t="n">
        <v>4</v>
      </c>
      <c r="C347" s="5" t="inlineStr">
        <is>
          <t>카드</t>
        </is>
      </c>
      <c r="D347" s="5" t="inlineStr">
        <is>
          <t>사마의</t>
        </is>
      </c>
      <c r="E347" s="5" t="n">
        <v>1</v>
      </c>
      <c r="F347" s="5" t="inlineStr">
        <is>
          <t>S</t>
        </is>
      </c>
      <c r="G347" s="5">
        <f>IF(C347="카드",INDEX(비용표!$C$2:$C$7,MATCH(F347,비용표!$B$2:$B$7,0)),F347*INDEX(비용표!$C$8:$C$9,MATCH(C347,비용표!$B$8:$B$9,0)))</f>
        <v/>
      </c>
      <c r="H347" s="5">
        <f>G347*E347</f>
        <v/>
      </c>
      <c r="I347" s="10">
        <f>IF(A347=A346,I346&amp;" · ","")&amp;IF(C347="카드",D347&amp;E347,"["&amp;C347&amp;"] "&amp;D347)</f>
        <v/>
      </c>
    </row>
    <row r="348">
      <c r="A348" s="5" t="n">
        <v>98</v>
      </c>
      <c r="B348" s="5" t="n">
        <v>1</v>
      </c>
      <c r="C348" s="5" t="inlineStr">
        <is>
          <t>카드</t>
        </is>
      </c>
      <c r="D348" s="5" t="inlineStr">
        <is>
          <t>제갈량</t>
        </is>
      </c>
      <c r="E348" s="5" t="n">
        <v>1</v>
      </c>
      <c r="F348" s="5" t="inlineStr">
        <is>
          <t>S</t>
        </is>
      </c>
      <c r="G348" s="5">
        <f>IF(C348="카드",INDEX(비용표!$C$2:$C$7,MATCH(F348,비용표!$B$2:$B$7,0)),F348*INDEX(비용표!$C$8:$C$9,MATCH(C348,비용표!$B$8:$B$9,0)))</f>
        <v/>
      </c>
      <c r="H348" s="5">
        <f>G348*E348</f>
        <v/>
      </c>
      <c r="I348" s="10">
        <f>IF(A348=A347,I347&amp;" · ","")&amp;IF(C348="카드",D348&amp;E348,"["&amp;C348&amp;"] "&amp;D348)</f>
        <v/>
      </c>
    </row>
    <row r="349">
      <c r="A349" s="5" t="n">
        <v>98</v>
      </c>
      <c r="B349" s="5" t="n">
        <v>2</v>
      </c>
      <c r="C349" s="5" t="inlineStr">
        <is>
          <t>카드</t>
        </is>
      </c>
      <c r="D349" s="5" t="inlineStr">
        <is>
          <t>사마의</t>
        </is>
      </c>
      <c r="E349" s="5" t="n">
        <v>1</v>
      </c>
      <c r="F349" s="5" t="inlineStr">
        <is>
          <t>S</t>
        </is>
      </c>
      <c r="G349" s="5">
        <f>IF(C349="카드",INDEX(비용표!$C$2:$C$7,MATCH(F349,비용표!$B$2:$B$7,0)),F349*INDEX(비용표!$C$8:$C$9,MATCH(C349,비용표!$B$8:$B$9,0)))</f>
        <v/>
      </c>
      <c r="H349" s="5">
        <f>G349*E349</f>
        <v/>
      </c>
      <c r="I349" s="10">
        <f>IF(A349=A348,I348&amp;" · ","")&amp;IF(C349="카드",D349&amp;E349,"["&amp;C349&amp;"] "&amp;D349)</f>
        <v/>
      </c>
    </row>
    <row r="350">
      <c r="A350" s="5" t="n">
        <v>98</v>
      </c>
      <c r="B350" s="5" t="n">
        <v>3</v>
      </c>
      <c r="C350" s="5" t="inlineStr">
        <is>
          <t>카드</t>
        </is>
      </c>
      <c r="D350" s="5" t="inlineStr">
        <is>
          <t>사마소</t>
        </is>
      </c>
      <c r="E350" s="5" t="n">
        <v>1</v>
      </c>
      <c r="F350" s="5" t="inlineStr">
        <is>
          <t>A</t>
        </is>
      </c>
      <c r="G350" s="5">
        <f>IF(C350="카드",INDEX(비용표!$C$2:$C$7,MATCH(F350,비용표!$B$2:$B$7,0)),F350*INDEX(비용표!$C$8:$C$9,MATCH(C350,비용표!$B$8:$B$9,0)))</f>
        <v/>
      </c>
      <c r="H350" s="5">
        <f>G350*E350</f>
        <v/>
      </c>
      <c r="I350" s="10">
        <f>IF(A350=A349,I349&amp;" · ","")&amp;IF(C350="카드",D350&amp;E350,"["&amp;C350&amp;"] "&amp;D350)</f>
        <v/>
      </c>
    </row>
    <row r="351">
      <c r="A351" s="5" t="n">
        <v>99</v>
      </c>
      <c r="B351" s="5" t="n">
        <v>1</v>
      </c>
      <c r="C351" s="5" t="inlineStr">
        <is>
          <t>카드</t>
        </is>
      </c>
      <c r="D351" s="5" t="inlineStr">
        <is>
          <t>학소</t>
        </is>
      </c>
      <c r="E351" s="5" t="n">
        <v>1</v>
      </c>
      <c r="F351" s="5" t="inlineStr">
        <is>
          <t>A</t>
        </is>
      </c>
      <c r="G351" s="5">
        <f>IF(C351="카드",INDEX(비용표!$C$2:$C$7,MATCH(F351,비용표!$B$2:$B$7,0)),F351*INDEX(비용표!$C$8:$C$9,MATCH(C351,비용표!$B$8:$B$9,0)))</f>
        <v/>
      </c>
      <c r="H351" s="5">
        <f>G351*E351</f>
        <v/>
      </c>
      <c r="I351" s="10">
        <f>IF(A351=A350,I350&amp;" · ","")&amp;IF(C351="카드",D351&amp;E351,"["&amp;C351&amp;"] "&amp;D351)</f>
        <v/>
      </c>
    </row>
    <row r="352">
      <c r="A352" s="5" t="n">
        <v>99</v>
      </c>
      <c r="B352" s="5" t="n">
        <v>2</v>
      </c>
      <c r="C352" s="5" t="inlineStr">
        <is>
          <t>카드</t>
        </is>
      </c>
      <c r="D352" s="5" t="inlineStr">
        <is>
          <t>제갈량</t>
        </is>
      </c>
      <c r="E352" s="5" t="n">
        <v>1</v>
      </c>
      <c r="F352" s="5" t="inlineStr">
        <is>
          <t>S</t>
        </is>
      </c>
      <c r="G352" s="5">
        <f>IF(C352="카드",INDEX(비용표!$C$2:$C$7,MATCH(F352,비용표!$B$2:$B$7,0)),F352*INDEX(비용표!$C$8:$C$9,MATCH(C352,비용표!$B$8:$B$9,0)))</f>
        <v/>
      </c>
      <c r="H352" s="5">
        <f>G352*E352</f>
        <v/>
      </c>
      <c r="I352" s="10">
        <f>IF(A352=A351,I351&amp;" · ","")&amp;IF(C352="카드",D352&amp;E352,"["&amp;C352&amp;"] "&amp;D352)</f>
        <v/>
      </c>
    </row>
    <row r="353">
      <c r="A353" s="5" t="n">
        <v>100</v>
      </c>
      <c r="B353" s="5" t="n">
        <v>1</v>
      </c>
      <c r="C353" s="5" t="inlineStr">
        <is>
          <t>카드</t>
        </is>
      </c>
      <c r="D353" s="5" t="inlineStr">
        <is>
          <t>제갈량</t>
        </is>
      </c>
      <c r="E353" s="5" t="n">
        <v>1</v>
      </c>
      <c r="F353" s="5" t="inlineStr">
        <is>
          <t>S</t>
        </is>
      </c>
      <c r="G353" s="5">
        <f>IF(C353="카드",INDEX(비용표!$C$2:$C$7,MATCH(F353,비용표!$B$2:$B$7,0)),F353*INDEX(비용표!$C$8:$C$9,MATCH(C353,비용표!$B$8:$B$9,0)))</f>
        <v/>
      </c>
      <c r="H353" s="5">
        <f>G353*E353</f>
        <v/>
      </c>
      <c r="I353" s="10">
        <f>IF(A353=A352,I352&amp;" · ","")&amp;IF(C353="카드",D353&amp;E353,"["&amp;C353&amp;"] "&amp;D353)</f>
        <v/>
      </c>
    </row>
    <row r="354">
      <c r="A354" s="5" t="n">
        <v>100</v>
      </c>
      <c r="B354" s="5" t="n">
        <v>2</v>
      </c>
      <c r="C354" s="5" t="inlineStr">
        <is>
          <t>카드</t>
        </is>
      </c>
      <c r="D354" s="5" t="inlineStr">
        <is>
          <t>이엄</t>
        </is>
      </c>
      <c r="E354" s="5" t="n">
        <v>1</v>
      </c>
      <c r="F354" s="5" t="inlineStr">
        <is>
          <t>A</t>
        </is>
      </c>
      <c r="G354" s="5">
        <f>IF(C354="카드",INDEX(비용표!$C$2:$C$7,MATCH(F354,비용표!$B$2:$B$7,0)),F354*INDEX(비용표!$C$8:$C$9,MATCH(C354,비용표!$B$8:$B$9,0)))</f>
        <v/>
      </c>
      <c r="H354" s="5">
        <f>G354*E354</f>
        <v/>
      </c>
      <c r="I354" s="10">
        <f>IF(A354=A353,I353&amp;" · ","")&amp;IF(C354="카드",D354&amp;E354,"["&amp;C354&amp;"] "&amp;D354)</f>
        <v/>
      </c>
    </row>
    <row r="355">
      <c r="A355" s="5" t="n">
        <v>100</v>
      </c>
      <c r="B355" s="5" t="n">
        <v>3</v>
      </c>
      <c r="C355" s="5" t="inlineStr">
        <is>
          <t>아이템</t>
        </is>
      </c>
      <c r="D355" s="5" t="inlineStr">
        <is>
          <t>목우유마</t>
        </is>
      </c>
      <c r="E355" s="5" t="n">
        <v>1</v>
      </c>
      <c r="F355" s="5" t="n">
        <v>4</v>
      </c>
      <c r="G355" s="5">
        <f>IF(C355="카드",INDEX(비용표!$C$2:$C$7,MATCH(F355,비용표!$B$2:$B$7,0)),F355*INDEX(비용표!$C$8:$C$9,MATCH(C355,비용표!$B$8:$B$9,0)))</f>
        <v/>
      </c>
      <c r="H355" s="5">
        <f>G355*E355</f>
        <v/>
      </c>
      <c r="I355" s="10">
        <f>IF(A355=A354,I354&amp;" · ","")&amp;IF(C355="카드",D355&amp;E355,"["&amp;C355&amp;"] "&amp;D355)</f>
        <v/>
      </c>
    </row>
    <row r="356">
      <c r="A356" s="5" t="n">
        <v>101</v>
      </c>
      <c r="B356" s="5" t="n">
        <v>1</v>
      </c>
      <c r="C356" s="5" t="inlineStr">
        <is>
          <t>카드</t>
        </is>
      </c>
      <c r="D356" s="5" t="inlineStr">
        <is>
          <t>장합</t>
        </is>
      </c>
      <c r="E356" s="5" t="n">
        <v>1</v>
      </c>
      <c r="F356" s="5" t="inlineStr">
        <is>
          <t>S</t>
        </is>
      </c>
      <c r="G356" s="5">
        <f>IF(C356="카드",INDEX(비용표!$C$2:$C$7,MATCH(F356,비용표!$B$2:$B$7,0)),F356*INDEX(비용표!$C$8:$C$9,MATCH(C356,비용표!$B$8:$B$9,0)))</f>
        <v/>
      </c>
      <c r="H356" s="5">
        <f>G356*E356</f>
        <v/>
      </c>
      <c r="I356" s="10">
        <f>IF(A356=A355,I355&amp;" · ","")&amp;IF(C356="카드",D356&amp;E356,"["&amp;C356&amp;"] "&amp;D356)</f>
        <v/>
      </c>
    </row>
    <row r="357">
      <c r="A357" s="5" t="n">
        <v>101</v>
      </c>
      <c r="B357" s="5" t="n">
        <v>2</v>
      </c>
      <c r="C357" s="5" t="inlineStr">
        <is>
          <t>카드</t>
        </is>
      </c>
      <c r="D357" s="5" t="inlineStr">
        <is>
          <t>제갈량</t>
        </is>
      </c>
      <c r="E357" s="5" t="n">
        <v>1</v>
      </c>
      <c r="F357" s="5" t="inlineStr">
        <is>
          <t>S</t>
        </is>
      </c>
      <c r="G357" s="5">
        <f>IF(C357="카드",INDEX(비용표!$C$2:$C$7,MATCH(F357,비용표!$B$2:$B$7,0)),F357*INDEX(비용표!$C$8:$C$9,MATCH(C357,비용표!$B$8:$B$9,0)))</f>
        <v/>
      </c>
      <c r="H357" s="5">
        <f>G357*E357</f>
        <v/>
      </c>
      <c r="I357" s="10">
        <f>IF(A357=A356,I356&amp;" · ","")&amp;IF(C357="카드",D357&amp;E357,"["&amp;C357&amp;"] "&amp;D357)</f>
        <v/>
      </c>
    </row>
    <row r="358">
      <c r="A358" s="5" t="n">
        <v>102</v>
      </c>
      <c r="B358" s="5" t="n">
        <v>1</v>
      </c>
      <c r="C358" s="5" t="inlineStr">
        <is>
          <t>카드</t>
        </is>
      </c>
      <c r="D358" s="5" t="inlineStr">
        <is>
          <t>위연</t>
        </is>
      </c>
      <c r="E358" s="5" t="n">
        <v>1</v>
      </c>
      <c r="F358" s="5" t="inlineStr">
        <is>
          <t>A</t>
        </is>
      </c>
      <c r="G358" s="5">
        <f>IF(C358="카드",INDEX(비용표!$C$2:$C$7,MATCH(F358,비용표!$B$2:$B$7,0)),F358*INDEX(비용표!$C$8:$C$9,MATCH(C358,비용표!$B$8:$B$9,0)))</f>
        <v/>
      </c>
      <c r="H358" s="5">
        <f>G358*E358</f>
        <v/>
      </c>
      <c r="I358" s="10">
        <f>IF(A358=A357,I357&amp;" · ","")&amp;IF(C358="카드",D358&amp;E358,"["&amp;C358&amp;"] "&amp;D358)</f>
        <v/>
      </c>
    </row>
    <row r="359">
      <c r="A359" s="5" t="n">
        <v>102</v>
      </c>
      <c r="B359" s="5" t="n">
        <v>2</v>
      </c>
      <c r="C359" s="5" t="inlineStr">
        <is>
          <t>카드</t>
        </is>
      </c>
      <c r="D359" s="5" t="inlineStr">
        <is>
          <t>마대</t>
        </is>
      </c>
      <c r="E359" s="5" t="n">
        <v>1</v>
      </c>
      <c r="F359" s="5" t="inlineStr">
        <is>
          <t>B</t>
        </is>
      </c>
      <c r="G359" s="5">
        <f>IF(C359="카드",INDEX(비용표!$C$2:$C$7,MATCH(F359,비용표!$B$2:$B$7,0)),F359*INDEX(비용표!$C$8:$C$9,MATCH(C359,비용표!$B$8:$B$9,0)))</f>
        <v/>
      </c>
      <c r="H359" s="5">
        <f>G359*E359</f>
        <v/>
      </c>
      <c r="I359" s="10">
        <f>IF(A359=A358,I358&amp;" · ","")&amp;IF(C359="카드",D359&amp;E359,"["&amp;C359&amp;"] "&amp;D359)</f>
        <v/>
      </c>
    </row>
    <row r="360">
      <c r="A360" s="5" t="n">
        <v>103</v>
      </c>
      <c r="B360" s="5" t="n">
        <v>1</v>
      </c>
      <c r="C360" s="5" t="inlineStr">
        <is>
          <t>카드</t>
        </is>
      </c>
      <c r="D360" s="5" t="inlineStr">
        <is>
          <t>사마의</t>
        </is>
      </c>
      <c r="E360" s="5" t="n">
        <v>1</v>
      </c>
      <c r="F360" s="5" t="inlineStr">
        <is>
          <t>S</t>
        </is>
      </c>
      <c r="G360" s="5">
        <f>IF(C360="카드",INDEX(비용표!$C$2:$C$7,MATCH(F360,비용표!$B$2:$B$7,0)),F360*INDEX(비용표!$C$8:$C$9,MATCH(C360,비용표!$B$8:$B$9,0)))</f>
        <v/>
      </c>
      <c r="H360" s="5">
        <f>G360*E360</f>
        <v/>
      </c>
      <c r="I360" s="10">
        <f>IF(A360=A359,I359&amp;" · ","")&amp;IF(C360="카드",D360&amp;E360,"["&amp;C360&amp;"] "&amp;D360)</f>
        <v/>
      </c>
    </row>
    <row r="361">
      <c r="A361" s="5" t="n">
        <v>103</v>
      </c>
      <c r="B361" s="5" t="n">
        <v>2</v>
      </c>
      <c r="C361" s="5" t="inlineStr">
        <is>
          <t>카드</t>
        </is>
      </c>
      <c r="D361" s="5" t="inlineStr">
        <is>
          <t>사마사</t>
        </is>
      </c>
      <c r="E361" s="5" t="n">
        <v>1</v>
      </c>
      <c r="F361" s="5" t="inlineStr">
        <is>
          <t>A</t>
        </is>
      </c>
      <c r="G361" s="5">
        <f>IF(C361="카드",INDEX(비용표!$C$2:$C$7,MATCH(F361,비용표!$B$2:$B$7,0)),F361*INDEX(비용표!$C$8:$C$9,MATCH(C361,비용표!$B$8:$B$9,0)))</f>
        <v/>
      </c>
      <c r="H361" s="5">
        <f>G361*E361</f>
        <v/>
      </c>
      <c r="I361" s="10">
        <f>IF(A361=A360,I360&amp;" · ","")&amp;IF(C361="카드",D361&amp;E361,"["&amp;C361&amp;"] "&amp;D361)</f>
        <v/>
      </c>
    </row>
    <row r="362">
      <c r="A362" s="5" t="n">
        <v>103</v>
      </c>
      <c r="B362" s="5" t="n">
        <v>3</v>
      </c>
      <c r="C362" s="5" t="inlineStr">
        <is>
          <t>카드</t>
        </is>
      </c>
      <c r="D362" s="5" t="inlineStr">
        <is>
          <t>사마소</t>
        </is>
      </c>
      <c r="E362" s="5" t="n">
        <v>1</v>
      </c>
      <c r="F362" s="5" t="inlineStr">
        <is>
          <t>A</t>
        </is>
      </c>
      <c r="G362" s="5">
        <f>IF(C362="카드",INDEX(비용표!$C$2:$C$7,MATCH(F362,비용표!$B$2:$B$7,0)),F362*INDEX(비용표!$C$8:$C$9,MATCH(C362,비용표!$B$8:$B$9,0)))</f>
        <v/>
      </c>
      <c r="H362" s="5">
        <f>G362*E362</f>
        <v/>
      </c>
      <c r="I362" s="10">
        <f>IF(A362=A361,I361&amp;" · ","")&amp;IF(C362="카드",D362&amp;E362,"["&amp;C362&amp;"] "&amp;D362)</f>
        <v/>
      </c>
    </row>
    <row r="363">
      <c r="A363" s="5" t="n">
        <v>103</v>
      </c>
      <c r="B363" s="5" t="n">
        <v>4</v>
      </c>
      <c r="C363" s="5" t="inlineStr">
        <is>
          <t>카드</t>
        </is>
      </c>
      <c r="D363" s="5" t="inlineStr">
        <is>
          <t>제갈량</t>
        </is>
      </c>
      <c r="E363" s="5" t="n">
        <v>1</v>
      </c>
      <c r="F363" s="5" t="inlineStr">
        <is>
          <t>S</t>
        </is>
      </c>
      <c r="G363" s="5">
        <f>IF(C363="카드",INDEX(비용표!$C$2:$C$7,MATCH(F363,비용표!$B$2:$B$7,0)),F363*INDEX(비용표!$C$8:$C$9,MATCH(C363,비용표!$B$8:$B$9,0)))</f>
        <v/>
      </c>
      <c r="H363" s="5">
        <f>G363*E363</f>
        <v/>
      </c>
      <c r="I363" s="10">
        <f>IF(A363=A362,I362&amp;" · ","")&amp;IF(C363="카드",D363&amp;E363,"["&amp;C363&amp;"] "&amp;D363)</f>
        <v/>
      </c>
    </row>
    <row r="364">
      <c r="A364" s="5" t="n">
        <v>103</v>
      </c>
      <c r="B364" s="5" t="n">
        <v>5</v>
      </c>
      <c r="C364" s="5" t="inlineStr">
        <is>
          <t>아이템</t>
        </is>
      </c>
      <c r="D364" s="5" t="inlineStr">
        <is>
          <t>폭약</t>
        </is>
      </c>
      <c r="E364" s="5" t="n">
        <v>1</v>
      </c>
      <c r="F364" s="5" t="n">
        <v>3</v>
      </c>
      <c r="G364" s="5">
        <f>IF(C364="카드",INDEX(비용표!$C$2:$C$7,MATCH(F364,비용표!$B$2:$B$7,0)),F364*INDEX(비용표!$C$8:$C$9,MATCH(C364,비용표!$B$8:$B$9,0)))</f>
        <v/>
      </c>
      <c r="H364" s="5">
        <f>G364*E364</f>
        <v/>
      </c>
      <c r="I364" s="10">
        <f>IF(A364=A363,I363&amp;" · ","")&amp;IF(C364="카드",D364&amp;E364,"["&amp;C364&amp;"] "&amp;D364)</f>
        <v/>
      </c>
    </row>
    <row r="365">
      <c r="A365" s="5" t="n">
        <v>104</v>
      </c>
      <c r="B365" s="5" t="n">
        <v>1</v>
      </c>
      <c r="C365" s="5" t="inlineStr">
        <is>
          <t>카드</t>
        </is>
      </c>
      <c r="D365" s="5" t="inlineStr">
        <is>
          <t>제갈량</t>
        </is>
      </c>
      <c r="E365" s="5" t="n">
        <v>1</v>
      </c>
      <c r="F365" s="5" t="inlineStr">
        <is>
          <t>S</t>
        </is>
      </c>
      <c r="G365" s="5">
        <f>IF(C365="카드",INDEX(비용표!$C$2:$C$7,MATCH(F365,비용표!$B$2:$B$7,0)),F365*INDEX(비용표!$C$8:$C$9,MATCH(C365,비용표!$B$8:$B$9,0)))</f>
        <v/>
      </c>
      <c r="H365" s="5">
        <f>G365*E365</f>
        <v/>
      </c>
      <c r="I365" s="10">
        <f>IF(A365=A364,I364&amp;" · ","")&amp;IF(C365="카드",D365&amp;E365,"["&amp;C365&amp;"] "&amp;D365)</f>
        <v/>
      </c>
    </row>
    <row r="366">
      <c r="A366" s="5" t="n">
        <v>104</v>
      </c>
      <c r="B366" s="5" t="n">
        <v>2</v>
      </c>
      <c r="C366" s="5" t="inlineStr">
        <is>
          <t>카드</t>
        </is>
      </c>
      <c r="D366" s="5" t="inlineStr">
        <is>
          <t>사마의</t>
        </is>
      </c>
      <c r="E366" s="5" t="n">
        <v>1</v>
      </c>
      <c r="F366" s="5" t="inlineStr">
        <is>
          <t>S</t>
        </is>
      </c>
      <c r="G366" s="5">
        <f>IF(C366="카드",INDEX(비용표!$C$2:$C$7,MATCH(F366,비용표!$B$2:$B$7,0)),F366*INDEX(비용표!$C$8:$C$9,MATCH(C366,비용표!$B$8:$B$9,0)))</f>
        <v/>
      </c>
      <c r="H366" s="5">
        <f>G366*E366</f>
        <v/>
      </c>
      <c r="I366" s="10">
        <f>IF(A366=A365,I365&amp;" · ","")&amp;IF(C366="카드",D366&amp;E366,"["&amp;C366&amp;"] "&amp;D366)</f>
        <v/>
      </c>
    </row>
    <row r="367">
      <c r="A367" s="5" t="n">
        <v>104</v>
      </c>
      <c r="B367" s="5" t="n">
        <v>3</v>
      </c>
      <c r="C367" s="5" t="inlineStr">
        <is>
          <t>카드</t>
        </is>
      </c>
      <c r="D367" s="5" t="inlineStr">
        <is>
          <t>강유</t>
        </is>
      </c>
      <c r="E367" s="5" t="n">
        <v>1</v>
      </c>
      <c r="F367" s="5" t="inlineStr">
        <is>
          <t>S</t>
        </is>
      </c>
      <c r="G367" s="5">
        <f>IF(C367="카드",INDEX(비용표!$C$2:$C$7,MATCH(F367,비용표!$B$2:$B$7,0)),F367*INDEX(비용표!$C$8:$C$9,MATCH(C367,비용표!$B$8:$B$9,0)))</f>
        <v/>
      </c>
      <c r="H367" s="5">
        <f>G367*E367</f>
        <v/>
      </c>
      <c r="I367" s="10">
        <f>IF(A367=A366,I366&amp;" · ","")&amp;IF(C367="카드",D367&amp;E367,"["&amp;C367&amp;"] "&amp;D367)</f>
        <v/>
      </c>
    </row>
    <row r="368">
      <c r="A368" s="5" t="n">
        <v>104</v>
      </c>
      <c r="B368" s="5" t="n">
        <v>4</v>
      </c>
      <c r="C368" s="5" t="inlineStr">
        <is>
          <t>카드</t>
        </is>
      </c>
      <c r="D368" s="5" t="inlineStr">
        <is>
          <t>위연</t>
        </is>
      </c>
      <c r="E368" s="5" t="n">
        <v>1</v>
      </c>
      <c r="F368" s="5" t="inlineStr">
        <is>
          <t>A</t>
        </is>
      </c>
      <c r="G368" s="5">
        <f>IF(C368="카드",INDEX(비용표!$C$2:$C$7,MATCH(F368,비용표!$B$2:$B$7,0)),F368*INDEX(비용표!$C$8:$C$9,MATCH(C368,비용표!$B$8:$B$9,0)))</f>
        <v/>
      </c>
      <c r="H368" s="5">
        <f>G368*E368</f>
        <v/>
      </c>
      <c r="I368" s="10">
        <f>IF(A368=A367,I367&amp;" · ","")&amp;IF(C368="카드",D368&amp;E368,"["&amp;C368&amp;"] "&amp;D368)</f>
        <v/>
      </c>
    </row>
    <row r="369">
      <c r="A369" s="5" t="n">
        <v>104</v>
      </c>
      <c r="B369" s="5" t="n">
        <v>5</v>
      </c>
      <c r="C369" s="5" t="inlineStr">
        <is>
          <t>카드</t>
        </is>
      </c>
      <c r="D369" s="5" t="inlineStr">
        <is>
          <t>마대</t>
        </is>
      </c>
      <c r="E369" s="5" t="n">
        <v>1</v>
      </c>
      <c r="F369" s="5" t="inlineStr">
        <is>
          <t>B</t>
        </is>
      </c>
      <c r="G369" s="5">
        <f>IF(C369="카드",INDEX(비용표!$C$2:$C$7,MATCH(F369,비용표!$B$2:$B$7,0)),F369*INDEX(비용표!$C$8:$C$9,MATCH(C369,비용표!$B$8:$B$9,0)))</f>
        <v/>
      </c>
      <c r="H369" s="5">
        <f>G369*E369</f>
        <v/>
      </c>
      <c r="I369" s="10">
        <f>IF(A369=A368,I368&amp;" · ","")&amp;IF(C369="카드",D369&amp;E369,"["&amp;C369&amp;"] "&amp;D369)</f>
        <v/>
      </c>
    </row>
    <row r="370">
      <c r="A370" s="5" t="n">
        <v>105</v>
      </c>
      <c r="B370" s="5" t="n">
        <v>1</v>
      </c>
      <c r="C370" s="5" t="inlineStr">
        <is>
          <t>카드</t>
        </is>
      </c>
      <c r="D370" s="5" t="inlineStr">
        <is>
          <t>사마의</t>
        </is>
      </c>
      <c r="E370" s="5" t="n">
        <v>1</v>
      </c>
      <c r="F370" s="5" t="inlineStr">
        <is>
          <t>S</t>
        </is>
      </c>
      <c r="G370" s="5">
        <f>IF(C370="카드",INDEX(비용표!$C$2:$C$7,MATCH(F370,비용표!$B$2:$B$7,0)),F370*INDEX(비용표!$C$8:$C$9,MATCH(C370,비용표!$B$8:$B$9,0)))</f>
        <v/>
      </c>
      <c r="H370" s="5">
        <f>G370*E370</f>
        <v/>
      </c>
      <c r="I370" s="10">
        <f>IF(A370=A369,I369&amp;" · ","")&amp;IF(C370="카드",D370&amp;E370,"["&amp;C370&amp;"] "&amp;D370)</f>
        <v/>
      </c>
    </row>
    <row r="371">
      <c r="A371" s="5" t="n">
        <v>105</v>
      </c>
      <c r="B371" s="5" t="n">
        <v>2</v>
      </c>
      <c r="C371" s="5" t="inlineStr">
        <is>
          <t>카드</t>
        </is>
      </c>
      <c r="D371" s="5" t="inlineStr">
        <is>
          <t>사마사</t>
        </is>
      </c>
      <c r="E371" s="5" t="n">
        <v>1</v>
      </c>
      <c r="F371" s="5" t="inlineStr">
        <is>
          <t>A</t>
        </is>
      </c>
      <c r="G371" s="5">
        <f>IF(C371="카드",INDEX(비용표!$C$2:$C$7,MATCH(F371,비용표!$B$2:$B$7,0)),F371*INDEX(비용표!$C$8:$C$9,MATCH(C371,비용표!$B$8:$B$9,0)))</f>
        <v/>
      </c>
      <c r="H371" s="5">
        <f>G371*E371</f>
        <v/>
      </c>
      <c r="I371" s="10">
        <f>IF(A371=A370,I370&amp;" · ","")&amp;IF(C371="카드",D371&amp;E371,"["&amp;C371&amp;"] "&amp;D371)</f>
        <v/>
      </c>
    </row>
    <row r="372">
      <c r="A372" s="5" t="n">
        <v>105</v>
      </c>
      <c r="B372" s="5" t="n">
        <v>3</v>
      </c>
      <c r="C372" s="5" t="inlineStr">
        <is>
          <t>카드</t>
        </is>
      </c>
      <c r="D372" s="5" t="inlineStr">
        <is>
          <t>사마소</t>
        </is>
      </c>
      <c r="E372" s="5" t="n">
        <v>1</v>
      </c>
      <c r="F372" s="5" t="inlineStr">
        <is>
          <t>A</t>
        </is>
      </c>
      <c r="G372" s="5">
        <f>IF(C372="카드",INDEX(비용표!$C$2:$C$7,MATCH(F372,비용표!$B$2:$B$7,0)),F372*INDEX(비용표!$C$8:$C$9,MATCH(C372,비용표!$B$8:$B$9,0)))</f>
        <v/>
      </c>
      <c r="H372" s="5">
        <f>G372*E372</f>
        <v/>
      </c>
      <c r="I372" s="10">
        <f>IF(A372=A371,I371&amp;" · ","")&amp;IF(C372="카드",D372&amp;E372,"["&amp;C372&amp;"] "&amp;D372)</f>
        <v/>
      </c>
    </row>
    <row r="373">
      <c r="A373" s="5" t="n">
        <v>106</v>
      </c>
      <c r="B373" s="5" t="n">
        <v>1</v>
      </c>
      <c r="C373" s="5" t="inlineStr">
        <is>
          <t>카드</t>
        </is>
      </c>
      <c r="D373" s="5" t="inlineStr">
        <is>
          <t>강유</t>
        </is>
      </c>
      <c r="E373" s="5" t="n">
        <v>1</v>
      </c>
      <c r="F373" s="5" t="inlineStr">
        <is>
          <t>S</t>
        </is>
      </c>
      <c r="G373" s="5">
        <f>IF(C373="카드",INDEX(비용표!$C$2:$C$7,MATCH(F373,비용표!$B$2:$B$7,0)),F373*INDEX(비용표!$C$8:$C$9,MATCH(C373,비용표!$B$8:$B$9,0)))</f>
        <v/>
      </c>
      <c r="H373" s="5">
        <f>G373*E373</f>
        <v/>
      </c>
      <c r="I373" s="10">
        <f>IF(A373=A372,I372&amp;" · ","")&amp;IF(C373="카드",D373&amp;E373,"["&amp;C373&amp;"] "&amp;D373)</f>
        <v/>
      </c>
    </row>
    <row r="374">
      <c r="A374" s="5" t="n">
        <v>106</v>
      </c>
      <c r="B374" s="5" t="n">
        <v>2</v>
      </c>
      <c r="C374" s="5" t="inlineStr">
        <is>
          <t>카드</t>
        </is>
      </c>
      <c r="D374" s="5" t="inlineStr">
        <is>
          <t>요화</t>
        </is>
      </c>
      <c r="E374" s="5" t="n">
        <v>1</v>
      </c>
      <c r="F374" s="5" t="inlineStr">
        <is>
          <t>B</t>
        </is>
      </c>
      <c r="G374" s="5">
        <f>IF(C374="카드",INDEX(비용표!$C$2:$C$7,MATCH(F374,비용표!$B$2:$B$7,0)),F374*INDEX(비용표!$C$8:$C$9,MATCH(C374,비용표!$B$8:$B$9,0)))</f>
        <v/>
      </c>
      <c r="H374" s="5">
        <f>G374*E374</f>
        <v/>
      </c>
      <c r="I374" s="10">
        <f>IF(A374=A373,I373&amp;" · ","")&amp;IF(C374="카드",D374&amp;E374,"["&amp;C374&amp;"] "&amp;D374)</f>
        <v/>
      </c>
    </row>
    <row r="375">
      <c r="A375" s="5" t="n">
        <v>106</v>
      </c>
      <c r="B375" s="5" t="n">
        <v>3</v>
      </c>
      <c r="C375" s="5" t="inlineStr">
        <is>
          <t>카드</t>
        </is>
      </c>
      <c r="D375" s="5" t="inlineStr">
        <is>
          <t>마충</t>
        </is>
      </c>
      <c r="E375" s="5" t="n">
        <v>1</v>
      </c>
      <c r="F375" s="5" t="inlineStr">
        <is>
          <t>C</t>
        </is>
      </c>
      <c r="G375" s="5">
        <f>IF(C375="카드",INDEX(비용표!$C$2:$C$7,MATCH(F375,비용표!$B$2:$B$7,0)),F375*INDEX(비용표!$C$8:$C$9,MATCH(C375,비용표!$B$8:$B$9,0)))</f>
        <v/>
      </c>
      <c r="H375" s="5">
        <f>G375*E375</f>
        <v/>
      </c>
      <c r="I375" s="10">
        <f>IF(A375=A374,I374&amp;" · ","")&amp;IF(C375="카드",D375&amp;E375,"["&amp;C375&amp;"] "&amp;D375)</f>
        <v/>
      </c>
    </row>
    <row r="376">
      <c r="A376" s="5" t="n">
        <v>107</v>
      </c>
      <c r="B376" s="5" t="n">
        <v>1</v>
      </c>
      <c r="C376" s="5" t="inlineStr">
        <is>
          <t>카드</t>
        </is>
      </c>
      <c r="D376" s="5" t="inlineStr">
        <is>
          <t>제갈량</t>
        </is>
      </c>
      <c r="E376" s="5" t="n">
        <v>1</v>
      </c>
      <c r="F376" s="5" t="inlineStr">
        <is>
          <t>S</t>
        </is>
      </c>
      <c r="G376" s="5">
        <f>IF(C376="카드",INDEX(비용표!$C$2:$C$7,MATCH(F376,비용표!$B$2:$B$7,0)),F376*INDEX(비용표!$C$8:$C$9,MATCH(C376,비용표!$B$8:$B$9,0)))</f>
        <v/>
      </c>
      <c r="H376" s="5">
        <f>G376*E376</f>
        <v/>
      </c>
      <c r="I376" s="10">
        <f>IF(A376=A375,I375&amp;" · ","")&amp;IF(C376="카드",D376&amp;E376,"["&amp;C376&amp;"] "&amp;D376)</f>
        <v/>
      </c>
    </row>
    <row r="377">
      <c r="A377" s="5" t="n">
        <v>107</v>
      </c>
      <c r="B377" s="5" t="n">
        <v>2</v>
      </c>
      <c r="C377" s="5" t="inlineStr">
        <is>
          <t>카드</t>
        </is>
      </c>
      <c r="D377" s="5" t="inlineStr">
        <is>
          <t>장완</t>
        </is>
      </c>
      <c r="E377" s="5" t="n">
        <v>1</v>
      </c>
      <c r="F377" s="5" t="inlineStr">
        <is>
          <t>A</t>
        </is>
      </c>
      <c r="G377" s="5">
        <f>IF(C377="카드",INDEX(비용표!$C$2:$C$7,MATCH(F377,비용표!$B$2:$B$7,0)),F377*INDEX(비용표!$C$8:$C$9,MATCH(C377,비용표!$B$8:$B$9,0)))</f>
        <v/>
      </c>
      <c r="H377" s="5">
        <f>G377*E377</f>
        <v/>
      </c>
      <c r="I377" s="10">
        <f>IF(A377=A376,I376&amp;" · ","")&amp;IF(C377="카드",D377&amp;E377,"["&amp;C377&amp;"] "&amp;D377)</f>
        <v/>
      </c>
    </row>
    <row r="378">
      <c r="A378" s="5" t="n">
        <v>107</v>
      </c>
      <c r="B378" s="5" t="n">
        <v>3</v>
      </c>
      <c r="C378" s="5" t="inlineStr">
        <is>
          <t>카드</t>
        </is>
      </c>
      <c r="D378" s="5" t="inlineStr">
        <is>
          <t>비위</t>
        </is>
      </c>
      <c r="E378" s="5" t="n">
        <v>1</v>
      </c>
      <c r="F378" s="5" t="inlineStr">
        <is>
          <t>B</t>
        </is>
      </c>
      <c r="G378" s="5">
        <f>IF(C378="카드",INDEX(비용표!$C$2:$C$7,MATCH(F378,비용표!$B$2:$B$7,0)),F378*INDEX(비용표!$C$8:$C$9,MATCH(C378,비용표!$B$8:$B$9,0)))</f>
        <v/>
      </c>
      <c r="H378" s="5">
        <f>G378*E378</f>
        <v/>
      </c>
      <c r="I378" s="10">
        <f>IF(A378=A377,I377&amp;" · ","")&amp;IF(C378="카드",D378&amp;E378,"["&amp;C378&amp;"] "&amp;D378)</f>
        <v/>
      </c>
    </row>
    <row r="379">
      <c r="A379" s="5" t="n">
        <v>108</v>
      </c>
      <c r="B379" s="5" t="n">
        <v>1</v>
      </c>
      <c r="C379" s="5" t="inlineStr">
        <is>
          <t>카드</t>
        </is>
      </c>
      <c r="D379" s="5" t="inlineStr">
        <is>
          <t>관우</t>
        </is>
      </c>
      <c r="E379" s="5" t="n">
        <v>1</v>
      </c>
      <c r="F379" s="5" t="inlineStr">
        <is>
          <t>S</t>
        </is>
      </c>
      <c r="G379" s="5">
        <f>IF(C379="카드",INDEX(비용표!$C$2:$C$7,MATCH(F379,비용표!$B$2:$B$7,0)),F379*INDEX(비용표!$C$8:$C$9,MATCH(C379,비용표!$B$8:$B$9,0)))</f>
        <v/>
      </c>
      <c r="H379" s="5">
        <f>G379*E379</f>
        <v/>
      </c>
      <c r="I379" s="10">
        <f>IF(A379=A378,I378&amp;" · ","")&amp;IF(C379="카드",D379&amp;E379,"["&amp;C379&amp;"] "&amp;D379)</f>
        <v/>
      </c>
    </row>
    <row r="380">
      <c r="A380" s="5" t="n">
        <v>108</v>
      </c>
      <c r="B380" s="5" t="n">
        <v>2</v>
      </c>
      <c r="C380" s="5" t="inlineStr">
        <is>
          <t>카드</t>
        </is>
      </c>
      <c r="D380" s="5" t="inlineStr">
        <is>
          <t>장비</t>
        </is>
      </c>
      <c r="E380" s="5" t="n">
        <v>1</v>
      </c>
      <c r="F380" s="5" t="inlineStr">
        <is>
          <t>S</t>
        </is>
      </c>
      <c r="G380" s="5">
        <f>IF(C380="카드",INDEX(비용표!$C$2:$C$7,MATCH(F380,비용표!$B$2:$B$7,0)),F380*INDEX(비용표!$C$8:$C$9,MATCH(C380,비용표!$B$8:$B$9,0)))</f>
        <v/>
      </c>
      <c r="H380" s="5">
        <f>G380*E380</f>
        <v/>
      </c>
      <c r="I380" s="10">
        <f>IF(A380=A379,I379&amp;" · ","")&amp;IF(C380="카드",D380&amp;E380,"["&amp;C380&amp;"] "&amp;D380)</f>
        <v/>
      </c>
    </row>
    <row r="381">
      <c r="A381" s="5" t="n">
        <v>108</v>
      </c>
      <c r="B381" s="5" t="n">
        <v>3</v>
      </c>
      <c r="C381" s="5" t="inlineStr">
        <is>
          <t>카드</t>
        </is>
      </c>
      <c r="D381" s="5" t="inlineStr">
        <is>
          <t>조운</t>
        </is>
      </c>
      <c r="E381" s="5" t="n">
        <v>1</v>
      </c>
      <c r="F381" s="5" t="inlineStr">
        <is>
          <t>S</t>
        </is>
      </c>
      <c r="G381" s="5">
        <f>IF(C381="카드",INDEX(비용표!$C$2:$C$7,MATCH(F381,비용표!$B$2:$B$7,0)),F381*INDEX(비용표!$C$8:$C$9,MATCH(C381,비용표!$B$8:$B$9,0)))</f>
        <v/>
      </c>
      <c r="H381" s="5">
        <f>G381*E381</f>
        <v/>
      </c>
      <c r="I381" s="10">
        <f>IF(A381=A380,I380&amp;" · ","")&amp;IF(C381="카드",D381&amp;E381,"["&amp;C381&amp;"] "&amp;D381)</f>
        <v/>
      </c>
    </row>
    <row r="382">
      <c r="A382" s="5" t="n">
        <v>108</v>
      </c>
      <c r="B382" s="5" t="n">
        <v>4</v>
      </c>
      <c r="C382" s="5" t="inlineStr">
        <is>
          <t>카드</t>
        </is>
      </c>
      <c r="D382" s="5" t="inlineStr">
        <is>
          <t>마초</t>
        </is>
      </c>
      <c r="E382" s="5" t="n">
        <v>1</v>
      </c>
      <c r="F382" s="5" t="inlineStr">
        <is>
          <t>S</t>
        </is>
      </c>
      <c r="G382" s="5">
        <f>IF(C382="카드",INDEX(비용표!$C$2:$C$7,MATCH(F382,비용표!$B$2:$B$7,0)),F382*INDEX(비용표!$C$8:$C$9,MATCH(C382,비용표!$B$8:$B$9,0)))</f>
        <v/>
      </c>
      <c r="H382" s="5">
        <f>G382*E382</f>
        <v/>
      </c>
      <c r="I382" s="10">
        <f>IF(A382=A381,I381&amp;" · ","")&amp;IF(C382="카드",D382&amp;E382,"["&amp;C382&amp;"] "&amp;D382)</f>
        <v/>
      </c>
    </row>
    <row r="383">
      <c r="A383" s="5" t="n">
        <v>108</v>
      </c>
      <c r="B383" s="5" t="n">
        <v>5</v>
      </c>
      <c r="C383" s="5" t="inlineStr">
        <is>
          <t>카드</t>
        </is>
      </c>
      <c r="D383" s="5" t="inlineStr">
        <is>
          <t>황충</t>
        </is>
      </c>
      <c r="E383" s="5" t="n">
        <v>1</v>
      </c>
      <c r="F383" s="5" t="inlineStr">
        <is>
          <t>S</t>
        </is>
      </c>
      <c r="G383" s="5">
        <f>IF(C383="카드",INDEX(비용표!$C$2:$C$7,MATCH(F383,비용표!$B$2:$B$7,0)),F383*INDEX(비용표!$C$8:$C$9,MATCH(C383,비용표!$B$8:$B$9,0)))</f>
        <v/>
      </c>
      <c r="H383" s="5">
        <f>G383*E383</f>
        <v/>
      </c>
      <c r="I383" s="10">
        <f>IF(A383=A382,I382&amp;" · ","")&amp;IF(C383="카드",D383&amp;E383,"["&amp;C383&amp;"] "&amp;D383)</f>
        <v/>
      </c>
    </row>
    <row r="384">
      <c r="A384" s="5" t="n">
        <v>109</v>
      </c>
      <c r="B384" s="5" t="n">
        <v>1</v>
      </c>
      <c r="C384" s="5" t="inlineStr">
        <is>
          <t>카드</t>
        </is>
      </c>
      <c r="D384" s="5" t="inlineStr">
        <is>
          <t>장료</t>
        </is>
      </c>
      <c r="E384" s="5" t="n">
        <v>1</v>
      </c>
      <c r="F384" s="5" t="inlineStr">
        <is>
          <t>S</t>
        </is>
      </c>
      <c r="G384" s="5">
        <f>IF(C384="카드",INDEX(비용표!$C$2:$C$7,MATCH(F384,비용표!$B$2:$B$7,0)),F384*INDEX(비용표!$C$8:$C$9,MATCH(C384,비용표!$B$8:$B$9,0)))</f>
        <v/>
      </c>
      <c r="H384" s="5">
        <f>G384*E384</f>
        <v/>
      </c>
      <c r="I384" s="10">
        <f>IF(A384=A383,I383&amp;" · ","")&amp;IF(C384="카드",D384&amp;E384,"["&amp;C384&amp;"] "&amp;D384)</f>
        <v/>
      </c>
    </row>
    <row r="385">
      <c r="A385" s="5" t="n">
        <v>109</v>
      </c>
      <c r="B385" s="5" t="n">
        <v>2</v>
      </c>
      <c r="C385" s="5" t="inlineStr">
        <is>
          <t>카드</t>
        </is>
      </c>
      <c r="D385" s="5" t="inlineStr">
        <is>
          <t>악진</t>
        </is>
      </c>
      <c r="E385" s="5" t="n">
        <v>1</v>
      </c>
      <c r="F385" s="5" t="inlineStr">
        <is>
          <t>B</t>
        </is>
      </c>
      <c r="G385" s="5">
        <f>IF(C385="카드",INDEX(비용표!$C$2:$C$7,MATCH(F385,비용표!$B$2:$B$7,0)),F385*INDEX(비용표!$C$8:$C$9,MATCH(C385,비용표!$B$8:$B$9,0)))</f>
        <v/>
      </c>
      <c r="H385" s="5">
        <f>G385*E385</f>
        <v/>
      </c>
      <c r="I385" s="10">
        <f>IF(A385=A384,I384&amp;" · ","")&amp;IF(C385="카드",D385&amp;E385,"["&amp;C385&amp;"] "&amp;D385)</f>
        <v/>
      </c>
    </row>
    <row r="386">
      <c r="A386" s="5" t="n">
        <v>109</v>
      </c>
      <c r="B386" s="5" t="n">
        <v>3</v>
      </c>
      <c r="C386" s="5" t="inlineStr">
        <is>
          <t>카드</t>
        </is>
      </c>
      <c r="D386" s="5" t="inlineStr">
        <is>
          <t>우금</t>
        </is>
      </c>
      <c r="E386" s="5" t="n">
        <v>1</v>
      </c>
      <c r="F386" s="5" t="inlineStr">
        <is>
          <t>C</t>
        </is>
      </c>
      <c r="G386" s="5">
        <f>IF(C386="카드",INDEX(비용표!$C$2:$C$7,MATCH(F386,비용표!$B$2:$B$7,0)),F386*INDEX(비용표!$C$8:$C$9,MATCH(C386,비용표!$B$8:$B$9,0)))</f>
        <v/>
      </c>
      <c r="H386" s="5">
        <f>G386*E386</f>
        <v/>
      </c>
      <c r="I386" s="10">
        <f>IF(A386=A385,I385&amp;" · ","")&amp;IF(C386="카드",D386&amp;E386,"["&amp;C386&amp;"] "&amp;D386)</f>
        <v/>
      </c>
    </row>
    <row r="387">
      <c r="A387" s="5" t="n">
        <v>109</v>
      </c>
      <c r="B387" s="5" t="n">
        <v>4</v>
      </c>
      <c r="C387" s="5" t="inlineStr">
        <is>
          <t>카드</t>
        </is>
      </c>
      <c r="D387" s="5" t="inlineStr">
        <is>
          <t>장합</t>
        </is>
      </c>
      <c r="E387" s="5" t="n">
        <v>1</v>
      </c>
      <c r="F387" s="5" t="inlineStr">
        <is>
          <t>S</t>
        </is>
      </c>
      <c r="G387" s="5">
        <f>IF(C387="카드",INDEX(비용표!$C$2:$C$7,MATCH(F387,비용표!$B$2:$B$7,0)),F387*INDEX(비용표!$C$8:$C$9,MATCH(C387,비용표!$B$8:$B$9,0)))</f>
        <v/>
      </c>
      <c r="H387" s="5">
        <f>G387*E387</f>
        <v/>
      </c>
      <c r="I387" s="10">
        <f>IF(A387=A386,I386&amp;" · ","")&amp;IF(C387="카드",D387&amp;E387,"["&amp;C387&amp;"] "&amp;D387)</f>
        <v/>
      </c>
    </row>
    <row r="388">
      <c r="A388" s="5" t="n">
        <v>109</v>
      </c>
      <c r="B388" s="5" t="n">
        <v>5</v>
      </c>
      <c r="C388" s="5" t="inlineStr">
        <is>
          <t>카드</t>
        </is>
      </c>
      <c r="D388" s="5" t="inlineStr">
        <is>
          <t>서황</t>
        </is>
      </c>
      <c r="E388" s="5" t="n">
        <v>1</v>
      </c>
      <c r="F388" s="5" t="inlineStr">
        <is>
          <t>S</t>
        </is>
      </c>
      <c r="G388" s="5">
        <f>IF(C388="카드",INDEX(비용표!$C$2:$C$7,MATCH(F388,비용표!$B$2:$B$7,0)),F388*INDEX(비용표!$C$8:$C$9,MATCH(C388,비용표!$B$8:$B$9,0)))</f>
        <v/>
      </c>
      <c r="H388" s="5">
        <f>G388*E388</f>
        <v/>
      </c>
      <c r="I388" s="10">
        <f>IF(A388=A387,I387&amp;" · ","")&amp;IF(C388="카드",D388&amp;E388,"["&amp;C388&amp;"] "&amp;D388)</f>
        <v/>
      </c>
    </row>
    <row r="389">
      <c r="A389" s="5" t="n">
        <v>110</v>
      </c>
      <c r="B389" s="5" t="n">
        <v>1</v>
      </c>
      <c r="C389" s="5" t="inlineStr">
        <is>
          <t>카드</t>
        </is>
      </c>
      <c r="D389" s="5" t="inlineStr">
        <is>
          <t>주유</t>
        </is>
      </c>
      <c r="E389" s="5" t="n">
        <v>1</v>
      </c>
      <c r="F389" s="5" t="inlineStr">
        <is>
          <t>S</t>
        </is>
      </c>
      <c r="G389" s="5">
        <f>IF(C389="카드",INDEX(비용표!$C$2:$C$7,MATCH(F389,비용표!$B$2:$B$7,0)),F389*INDEX(비용표!$C$8:$C$9,MATCH(C389,비용표!$B$8:$B$9,0)))</f>
        <v/>
      </c>
      <c r="H389" s="5">
        <f>G389*E389</f>
        <v/>
      </c>
      <c r="I389" s="10">
        <f>IF(A389=A388,I388&amp;" · ","")&amp;IF(C389="카드",D389&amp;E389,"["&amp;C389&amp;"] "&amp;D389)</f>
        <v/>
      </c>
    </row>
    <row r="390">
      <c r="A390" s="5" t="n">
        <v>110</v>
      </c>
      <c r="B390" s="5" t="n">
        <v>2</v>
      </c>
      <c r="C390" s="5" t="inlineStr">
        <is>
          <t>카드</t>
        </is>
      </c>
      <c r="D390" s="5" t="inlineStr">
        <is>
          <t>노숙</t>
        </is>
      </c>
      <c r="E390" s="5" t="n">
        <v>1</v>
      </c>
      <c r="F390" s="5" t="inlineStr">
        <is>
          <t>S</t>
        </is>
      </c>
      <c r="G390" s="5">
        <f>IF(C390="카드",INDEX(비용표!$C$2:$C$7,MATCH(F390,비용표!$B$2:$B$7,0)),F390*INDEX(비용표!$C$8:$C$9,MATCH(C390,비용표!$B$8:$B$9,0)))</f>
        <v/>
      </c>
      <c r="H390" s="5">
        <f>G390*E390</f>
        <v/>
      </c>
      <c r="I390" s="10">
        <f>IF(A390=A389,I389&amp;" · ","")&amp;IF(C390="카드",D390&amp;E390,"["&amp;C390&amp;"] "&amp;D390)</f>
        <v/>
      </c>
    </row>
    <row r="391">
      <c r="A391" s="5" t="n">
        <v>110</v>
      </c>
      <c r="B391" s="5" t="n">
        <v>3</v>
      </c>
      <c r="C391" s="5" t="inlineStr">
        <is>
          <t>카드</t>
        </is>
      </c>
      <c r="D391" s="5" t="inlineStr">
        <is>
          <t>여몽</t>
        </is>
      </c>
      <c r="E391" s="5" t="n">
        <v>1</v>
      </c>
      <c r="F391" s="5" t="inlineStr">
        <is>
          <t>S</t>
        </is>
      </c>
      <c r="G391" s="5">
        <f>IF(C391="카드",INDEX(비용표!$C$2:$C$7,MATCH(F391,비용표!$B$2:$B$7,0)),F391*INDEX(비용표!$C$8:$C$9,MATCH(C391,비용표!$B$8:$B$9,0)))</f>
        <v/>
      </c>
      <c r="H391" s="5">
        <f>G391*E391</f>
        <v/>
      </c>
      <c r="I391" s="10">
        <f>IF(A391=A390,I390&amp;" · ","")&amp;IF(C391="카드",D391&amp;E391,"["&amp;C391&amp;"] "&amp;D391)</f>
        <v/>
      </c>
    </row>
    <row r="392">
      <c r="A392" s="5" t="n">
        <v>110</v>
      </c>
      <c r="B392" s="5" t="n">
        <v>4</v>
      </c>
      <c r="C392" s="5" t="inlineStr">
        <is>
          <t>카드</t>
        </is>
      </c>
      <c r="D392" s="5" t="inlineStr">
        <is>
          <t>육손</t>
        </is>
      </c>
      <c r="E392" s="5" t="n">
        <v>1</v>
      </c>
      <c r="F392" s="5" t="inlineStr">
        <is>
          <t>S</t>
        </is>
      </c>
      <c r="G392" s="5">
        <f>IF(C392="카드",INDEX(비용표!$C$2:$C$7,MATCH(F392,비용표!$B$2:$B$7,0)),F392*INDEX(비용표!$C$8:$C$9,MATCH(C392,비용표!$B$8:$B$9,0)))</f>
        <v/>
      </c>
      <c r="H392" s="5">
        <f>G392*E392</f>
        <v/>
      </c>
      <c r="I392" s="10">
        <f>IF(A392=A391,I391&amp;" · ","")&amp;IF(C392="카드",D392&amp;E392,"["&amp;C392&amp;"] "&amp;D392)</f>
        <v/>
      </c>
    </row>
    <row r="393">
      <c r="A393" s="5" t="n">
        <v>111</v>
      </c>
      <c r="B393" s="5" t="n">
        <v>1</v>
      </c>
      <c r="C393" s="5" t="inlineStr">
        <is>
          <t>카드</t>
        </is>
      </c>
      <c r="D393" s="5" t="inlineStr">
        <is>
          <t>순욱</t>
        </is>
      </c>
      <c r="E393" s="5" t="n">
        <v>1</v>
      </c>
      <c r="F393" s="5" t="inlineStr">
        <is>
          <t>S</t>
        </is>
      </c>
      <c r="G393" s="5">
        <f>IF(C393="카드",INDEX(비용표!$C$2:$C$7,MATCH(F393,비용표!$B$2:$B$7,0)),F393*INDEX(비용표!$C$8:$C$9,MATCH(C393,비용표!$B$8:$B$9,0)))</f>
        <v/>
      </c>
      <c r="H393" s="5">
        <f>G393*E393</f>
        <v/>
      </c>
      <c r="I393" s="10">
        <f>IF(A393=A392,I392&amp;" · ","")&amp;IF(C393="카드",D393&amp;E393,"["&amp;C393&amp;"] "&amp;D393)</f>
        <v/>
      </c>
    </row>
    <row r="394">
      <c r="A394" s="5" t="n">
        <v>111</v>
      </c>
      <c r="B394" s="5" t="n">
        <v>2</v>
      </c>
      <c r="C394" s="5" t="inlineStr">
        <is>
          <t>카드</t>
        </is>
      </c>
      <c r="D394" s="5" t="inlineStr">
        <is>
          <t>순유</t>
        </is>
      </c>
      <c r="E394" s="5" t="n">
        <v>1</v>
      </c>
      <c r="F394" s="5" t="inlineStr">
        <is>
          <t>A</t>
        </is>
      </c>
      <c r="G394" s="5">
        <f>IF(C394="카드",INDEX(비용표!$C$2:$C$7,MATCH(F394,비용표!$B$2:$B$7,0)),F394*INDEX(비용표!$C$8:$C$9,MATCH(C394,비용표!$B$8:$B$9,0)))</f>
        <v/>
      </c>
      <c r="H394" s="5">
        <f>G394*E394</f>
        <v/>
      </c>
      <c r="I394" s="10">
        <f>IF(A394=A393,I393&amp;" · ","")&amp;IF(C394="카드",D394&amp;E394,"["&amp;C394&amp;"] "&amp;D394)</f>
        <v/>
      </c>
    </row>
    <row r="395">
      <c r="A395" s="5" t="n">
        <v>111</v>
      </c>
      <c r="B395" s="5" t="n">
        <v>3</v>
      </c>
      <c r="C395" s="5" t="inlineStr">
        <is>
          <t>카드</t>
        </is>
      </c>
      <c r="D395" s="5" t="inlineStr">
        <is>
          <t>곽가</t>
        </is>
      </c>
      <c r="E395" s="5" t="n">
        <v>1</v>
      </c>
      <c r="F395" s="5" t="inlineStr">
        <is>
          <t>S</t>
        </is>
      </c>
      <c r="G395" s="5">
        <f>IF(C395="카드",INDEX(비용표!$C$2:$C$7,MATCH(F395,비용표!$B$2:$B$7,0)),F395*INDEX(비용표!$C$8:$C$9,MATCH(C395,비용표!$B$8:$B$9,0)))</f>
        <v/>
      </c>
      <c r="H395" s="5">
        <f>G395*E395</f>
        <v/>
      </c>
      <c r="I395" s="10">
        <f>IF(A395=A394,I394&amp;" · ","")&amp;IF(C395="카드",D395&amp;E395,"["&amp;C395&amp;"] "&amp;D395)</f>
        <v/>
      </c>
    </row>
    <row r="396">
      <c r="A396" s="5" t="n">
        <v>111</v>
      </c>
      <c r="B396" s="5" t="n">
        <v>4</v>
      </c>
      <c r="C396" s="5" t="inlineStr">
        <is>
          <t>카드</t>
        </is>
      </c>
      <c r="D396" s="5" t="inlineStr">
        <is>
          <t>가후</t>
        </is>
      </c>
      <c r="E396" s="5" t="n">
        <v>1</v>
      </c>
      <c r="F396" s="5" t="inlineStr">
        <is>
          <t>S</t>
        </is>
      </c>
      <c r="G396" s="5">
        <f>IF(C396="카드",INDEX(비용표!$C$2:$C$7,MATCH(F396,비용표!$B$2:$B$7,0)),F396*INDEX(비용표!$C$8:$C$9,MATCH(C396,비용표!$B$8:$B$9,0)))</f>
        <v/>
      </c>
      <c r="H396" s="5">
        <f>G396*E396</f>
        <v/>
      </c>
      <c r="I396" s="10">
        <f>IF(A396=A395,I395&amp;" · ","")&amp;IF(C396="카드",D396&amp;E396,"["&amp;C396&amp;"] "&amp;D396)</f>
        <v/>
      </c>
    </row>
    <row r="397">
      <c r="A397" s="5" t="n">
        <v>111</v>
      </c>
      <c r="B397" s="5" t="n">
        <v>5</v>
      </c>
      <c r="C397" s="5" t="inlineStr">
        <is>
          <t>카드</t>
        </is>
      </c>
      <c r="D397" s="5" t="inlineStr">
        <is>
          <t>사마의</t>
        </is>
      </c>
      <c r="E397" s="5" t="n">
        <v>1</v>
      </c>
      <c r="F397" s="5" t="inlineStr">
        <is>
          <t>S</t>
        </is>
      </c>
      <c r="G397" s="5">
        <f>IF(C397="카드",INDEX(비용표!$C$2:$C$7,MATCH(F397,비용표!$B$2:$B$7,0)),F397*INDEX(비용표!$C$8:$C$9,MATCH(C397,비용표!$B$8:$B$9,0)))</f>
        <v/>
      </c>
      <c r="H397" s="5">
        <f>G397*E397</f>
        <v/>
      </c>
      <c r="I397" s="10">
        <f>IF(A397=A396,I396&amp;" · ","")&amp;IF(C397="카드",D397&amp;E397,"["&amp;C397&amp;"] "&amp;D397)</f>
        <v/>
      </c>
    </row>
    <row r="398">
      <c r="A398" s="5" t="n">
        <v>112</v>
      </c>
      <c r="B398" s="5" t="n">
        <v>1</v>
      </c>
      <c r="C398" s="5" t="inlineStr">
        <is>
          <t>카드</t>
        </is>
      </c>
      <c r="D398" s="5" t="inlineStr">
        <is>
          <t>정보</t>
        </is>
      </c>
      <c r="E398" s="5" t="n">
        <v>1</v>
      </c>
      <c r="F398" s="5" t="inlineStr">
        <is>
          <t>A</t>
        </is>
      </c>
      <c r="G398" s="5">
        <f>IF(C398="카드",INDEX(비용표!$C$2:$C$7,MATCH(F398,비용표!$B$2:$B$7,0)),F398*INDEX(비용표!$C$8:$C$9,MATCH(C398,비용표!$B$8:$B$9,0)))</f>
        <v/>
      </c>
      <c r="H398" s="5">
        <f>G398*E398</f>
        <v/>
      </c>
      <c r="I398" s="10">
        <f>IF(A398=A397,I397&amp;" · ","")&amp;IF(C398="카드",D398&amp;E398,"["&amp;C398&amp;"] "&amp;D398)</f>
        <v/>
      </c>
    </row>
    <row r="399">
      <c r="A399" s="5" t="n">
        <v>112</v>
      </c>
      <c r="B399" s="5" t="n">
        <v>2</v>
      </c>
      <c r="C399" s="5" t="inlineStr">
        <is>
          <t>카드</t>
        </is>
      </c>
      <c r="D399" s="5" t="inlineStr">
        <is>
          <t>황개</t>
        </is>
      </c>
      <c r="E399" s="5" t="n">
        <v>1</v>
      </c>
      <c r="F399" s="5" t="inlineStr">
        <is>
          <t>A</t>
        </is>
      </c>
      <c r="G399" s="5">
        <f>IF(C399="카드",INDEX(비용표!$C$2:$C$7,MATCH(F399,비용표!$B$2:$B$7,0)),F399*INDEX(비용표!$C$8:$C$9,MATCH(C399,비용표!$B$8:$B$9,0)))</f>
        <v/>
      </c>
      <c r="H399" s="5">
        <f>G399*E399</f>
        <v/>
      </c>
      <c r="I399" s="10">
        <f>IF(A399=A398,I398&amp;" · ","")&amp;IF(C399="카드",D399&amp;E399,"["&amp;C399&amp;"] "&amp;D399)</f>
        <v/>
      </c>
    </row>
    <row r="400">
      <c r="A400" s="5" t="n">
        <v>112</v>
      </c>
      <c r="B400" s="5" t="n">
        <v>3</v>
      </c>
      <c r="C400" s="5" t="inlineStr">
        <is>
          <t>카드</t>
        </is>
      </c>
      <c r="D400" s="5" t="inlineStr">
        <is>
          <t>주태</t>
        </is>
      </c>
      <c r="E400" s="5" t="n">
        <v>1</v>
      </c>
      <c r="F400" s="5" t="inlineStr">
        <is>
          <t>A</t>
        </is>
      </c>
      <c r="G400" s="5">
        <f>IF(C400="카드",INDEX(비용표!$C$2:$C$7,MATCH(F400,비용표!$B$2:$B$7,0)),F400*INDEX(비용표!$C$8:$C$9,MATCH(C400,비용표!$B$8:$B$9,0)))</f>
        <v/>
      </c>
      <c r="H400" s="5">
        <f>G400*E400</f>
        <v/>
      </c>
      <c r="I400" s="10">
        <f>IF(A400=A399,I399&amp;" · ","")&amp;IF(C400="카드",D400&amp;E400,"["&amp;C400&amp;"] "&amp;D400)</f>
        <v/>
      </c>
    </row>
    <row r="401">
      <c r="A401" s="5" t="n">
        <v>112</v>
      </c>
      <c r="B401" s="5" t="n">
        <v>4</v>
      </c>
      <c r="C401" s="5" t="inlineStr">
        <is>
          <t>카드</t>
        </is>
      </c>
      <c r="D401" s="5" t="inlineStr">
        <is>
          <t>감녕</t>
        </is>
      </c>
      <c r="E401" s="5" t="n">
        <v>1</v>
      </c>
      <c r="F401" s="5" t="inlineStr">
        <is>
          <t>S</t>
        </is>
      </c>
      <c r="G401" s="5">
        <f>IF(C401="카드",INDEX(비용표!$C$2:$C$7,MATCH(F401,비용표!$B$2:$B$7,0)),F401*INDEX(비용표!$C$8:$C$9,MATCH(C401,비용표!$B$8:$B$9,0)))</f>
        <v/>
      </c>
      <c r="H401" s="5">
        <f>G401*E401</f>
        <v/>
      </c>
      <c r="I401" s="10">
        <f>IF(A401=A400,I400&amp;" · ","")&amp;IF(C401="카드",D401&amp;E401,"["&amp;C401&amp;"] "&amp;D401)</f>
        <v/>
      </c>
    </row>
    <row r="402">
      <c r="A402" s="5" t="n">
        <v>112</v>
      </c>
      <c r="B402" s="5" t="n">
        <v>5</v>
      </c>
      <c r="C402" s="5" t="inlineStr">
        <is>
          <t>카드</t>
        </is>
      </c>
      <c r="D402" s="5" t="inlineStr">
        <is>
          <t>능통</t>
        </is>
      </c>
      <c r="E402" s="5" t="n">
        <v>1</v>
      </c>
      <c r="F402" s="5" t="inlineStr">
        <is>
          <t>A</t>
        </is>
      </c>
      <c r="G402" s="5">
        <f>IF(C402="카드",INDEX(비용표!$C$2:$C$7,MATCH(F402,비용표!$B$2:$B$7,0)),F402*INDEX(비용표!$C$8:$C$9,MATCH(C402,비용표!$B$8:$B$9,0)))</f>
        <v/>
      </c>
      <c r="H402" s="5">
        <f>G402*E402</f>
        <v/>
      </c>
      <c r="I402" s="10">
        <f>IF(A402=A401,I401&amp;" · ","")&amp;IF(C402="카드",D402&amp;E402,"["&amp;C402&amp;"] "&amp;D402)</f>
        <v/>
      </c>
    </row>
    <row r="403">
      <c r="A403" s="5" t="n">
        <v>113</v>
      </c>
      <c r="B403" s="5" t="n">
        <v>1</v>
      </c>
      <c r="C403" s="5" t="inlineStr">
        <is>
          <t>카드</t>
        </is>
      </c>
      <c r="D403" s="5" t="inlineStr">
        <is>
          <t>주태</t>
        </is>
      </c>
      <c r="E403" s="5" t="n">
        <v>1</v>
      </c>
      <c r="F403" s="5" t="inlineStr">
        <is>
          <t>A</t>
        </is>
      </c>
      <c r="G403" s="5">
        <f>IF(C403="카드",INDEX(비용표!$C$2:$C$7,MATCH(F403,비용표!$B$2:$B$7,0)),F403*INDEX(비용표!$C$8:$C$9,MATCH(C403,비용표!$B$8:$B$9,0)))</f>
        <v/>
      </c>
      <c r="H403" s="5">
        <f>G403*E403</f>
        <v/>
      </c>
      <c r="I403" s="10">
        <f>IF(A403=A402,I402&amp;" · ","")&amp;IF(C403="카드",D403&amp;E403,"["&amp;C403&amp;"] "&amp;D403)</f>
        <v/>
      </c>
    </row>
    <row r="404">
      <c r="A404" s="5" t="n">
        <v>113</v>
      </c>
      <c r="B404" s="5" t="n">
        <v>2</v>
      </c>
      <c r="C404" s="5" t="inlineStr">
        <is>
          <t>카드</t>
        </is>
      </c>
      <c r="D404" s="5" t="inlineStr">
        <is>
          <t>손권</t>
        </is>
      </c>
      <c r="E404" s="5" t="n">
        <v>1</v>
      </c>
      <c r="F404" s="5" t="inlineStr">
        <is>
          <t>S</t>
        </is>
      </c>
      <c r="G404" s="5">
        <f>IF(C404="카드",INDEX(비용표!$C$2:$C$7,MATCH(F404,비용표!$B$2:$B$7,0)),F404*INDEX(비용표!$C$8:$C$9,MATCH(C404,비용표!$B$8:$B$9,0)))</f>
        <v/>
      </c>
      <c r="H404" s="5">
        <f>G404*E404</f>
        <v/>
      </c>
      <c r="I404" s="10">
        <f>IF(A404=A403,I403&amp;" · ","")&amp;IF(C404="카드",D404&amp;E404,"["&amp;C404&amp;"] "&amp;D404)</f>
        <v/>
      </c>
    </row>
    <row r="405">
      <c r="A405" s="5" t="n">
        <v>114</v>
      </c>
      <c r="B405" s="5" t="n">
        <v>1</v>
      </c>
      <c r="C405" s="5" t="inlineStr">
        <is>
          <t>카드</t>
        </is>
      </c>
      <c r="D405" s="5" t="inlineStr">
        <is>
          <t>하후돈</t>
        </is>
      </c>
      <c r="E405" s="5" t="n">
        <v>1</v>
      </c>
      <c r="F405" s="5" t="inlineStr">
        <is>
          <t>S</t>
        </is>
      </c>
      <c r="G405" s="5">
        <f>IF(C405="카드",INDEX(비용표!$C$2:$C$7,MATCH(F405,비용표!$B$2:$B$7,0)),F405*INDEX(비용표!$C$8:$C$9,MATCH(C405,비용표!$B$8:$B$9,0)))</f>
        <v/>
      </c>
      <c r="H405" s="5">
        <f>G405*E405</f>
        <v/>
      </c>
      <c r="I405" s="10">
        <f>IF(A405=A404,I404&amp;" · ","")&amp;IF(C405="카드",D405&amp;E405,"["&amp;C405&amp;"] "&amp;D405)</f>
        <v/>
      </c>
    </row>
    <row r="406">
      <c r="A406" s="5" t="n">
        <v>114</v>
      </c>
      <c r="B406" s="5" t="n">
        <v>2</v>
      </c>
      <c r="C406" s="5" t="inlineStr">
        <is>
          <t>카드</t>
        </is>
      </c>
      <c r="D406" s="5" t="inlineStr">
        <is>
          <t>하후연</t>
        </is>
      </c>
      <c r="E406" s="5" t="n">
        <v>1</v>
      </c>
      <c r="F406" s="5" t="inlineStr">
        <is>
          <t>A</t>
        </is>
      </c>
      <c r="G406" s="5">
        <f>IF(C406="카드",INDEX(비용표!$C$2:$C$7,MATCH(F406,비용표!$B$2:$B$7,0)),F406*INDEX(비용표!$C$8:$C$9,MATCH(C406,비용표!$B$8:$B$9,0)))</f>
        <v/>
      </c>
      <c r="H406" s="5">
        <f>G406*E406</f>
        <v/>
      </c>
      <c r="I406" s="10">
        <f>IF(A406=A405,I405&amp;" · ","")&amp;IF(C406="카드",D406&amp;E406,"["&amp;C406&amp;"] "&amp;D406)</f>
        <v/>
      </c>
    </row>
    <row r="407">
      <c r="A407" s="5" t="n">
        <v>115</v>
      </c>
      <c r="B407" s="5" t="n">
        <v>1</v>
      </c>
      <c r="C407" s="5" t="inlineStr">
        <is>
          <t>카드</t>
        </is>
      </c>
      <c r="D407" s="5" t="inlineStr">
        <is>
          <t>마량</t>
        </is>
      </c>
      <c r="E407" s="5" t="n">
        <v>1</v>
      </c>
      <c r="F407" s="5" t="inlineStr">
        <is>
          <t>A</t>
        </is>
      </c>
      <c r="G407" s="5">
        <f>IF(C407="카드",INDEX(비용표!$C$2:$C$7,MATCH(F407,비용표!$B$2:$B$7,0)),F407*INDEX(비용표!$C$8:$C$9,MATCH(C407,비용표!$B$8:$B$9,0)))</f>
        <v/>
      </c>
      <c r="H407" s="5">
        <f>G407*E407</f>
        <v/>
      </c>
      <c r="I407" s="10">
        <f>IF(A407=A406,I406&amp;" · ","")&amp;IF(C407="카드",D407&amp;E407,"["&amp;C407&amp;"] "&amp;D407)</f>
        <v/>
      </c>
    </row>
    <row r="408">
      <c r="A408" s="5" t="n">
        <v>115</v>
      </c>
      <c r="B408" s="5" t="n">
        <v>2</v>
      </c>
      <c r="C408" s="5" t="inlineStr">
        <is>
          <t>카드</t>
        </is>
      </c>
      <c r="D408" s="5" t="inlineStr">
        <is>
          <t>마속</t>
        </is>
      </c>
      <c r="E408" s="5" t="n">
        <v>1</v>
      </c>
      <c r="F408" s="5" t="inlineStr">
        <is>
          <t>B</t>
        </is>
      </c>
      <c r="G408" s="5">
        <f>IF(C408="카드",INDEX(비용표!$C$2:$C$7,MATCH(F408,비용표!$B$2:$B$7,0)),F408*INDEX(비용표!$C$8:$C$9,MATCH(C408,비용표!$B$8:$B$9,0)))</f>
        <v/>
      </c>
      <c r="H408" s="5">
        <f>G408*E408</f>
        <v/>
      </c>
      <c r="I408" s="10">
        <f>IF(A408=A407,I407&amp;" · ","")&amp;IF(C408="카드",D408&amp;E408,"["&amp;C408&amp;"] "&amp;D408)</f>
        <v/>
      </c>
    </row>
    <row r="409">
      <c r="A409" s="5" t="n">
        <v>116</v>
      </c>
      <c r="B409" s="5" t="n">
        <v>1</v>
      </c>
      <c r="C409" s="5" t="inlineStr">
        <is>
          <t>카드</t>
        </is>
      </c>
      <c r="D409" s="5" t="inlineStr">
        <is>
          <t>마등</t>
        </is>
      </c>
      <c r="E409" s="5" t="n">
        <v>1</v>
      </c>
      <c r="F409" s="5" t="inlineStr">
        <is>
          <t>A</t>
        </is>
      </c>
      <c r="G409" s="5">
        <f>IF(C409="카드",INDEX(비용표!$C$2:$C$7,MATCH(F409,비용표!$B$2:$B$7,0)),F409*INDEX(비용표!$C$8:$C$9,MATCH(C409,비용표!$B$8:$B$9,0)))</f>
        <v/>
      </c>
      <c r="H409" s="5">
        <f>G409*E409</f>
        <v/>
      </c>
      <c r="I409" s="10">
        <f>IF(A409=A408,I408&amp;" · ","")&amp;IF(C409="카드",D409&amp;E409,"["&amp;C409&amp;"] "&amp;D409)</f>
        <v/>
      </c>
    </row>
    <row r="410">
      <c r="A410" s="5" t="n">
        <v>116</v>
      </c>
      <c r="B410" s="5" t="n">
        <v>2</v>
      </c>
      <c r="C410" s="5" t="inlineStr">
        <is>
          <t>카드</t>
        </is>
      </c>
      <c r="D410" s="5" t="inlineStr">
        <is>
          <t>마초</t>
        </is>
      </c>
      <c r="E410" s="5" t="n">
        <v>1</v>
      </c>
      <c r="F410" s="5" t="inlineStr">
        <is>
          <t>S</t>
        </is>
      </c>
      <c r="G410" s="5">
        <f>IF(C410="카드",INDEX(비용표!$C$2:$C$7,MATCH(F410,비용표!$B$2:$B$7,0)),F410*INDEX(비용표!$C$8:$C$9,MATCH(C410,비용표!$B$8:$B$9,0)))</f>
        <v/>
      </c>
      <c r="H410" s="5">
        <f>G410*E410</f>
        <v/>
      </c>
      <c r="I410" s="10">
        <f>IF(A410=A409,I409&amp;" · ","")&amp;IF(C410="카드",D410&amp;E410,"["&amp;C410&amp;"] "&amp;D410)</f>
        <v/>
      </c>
    </row>
    <row r="411">
      <c r="A411" s="5" t="n">
        <v>116</v>
      </c>
      <c r="B411" s="5" t="n">
        <v>3</v>
      </c>
      <c r="C411" s="5" t="inlineStr">
        <is>
          <t>카드</t>
        </is>
      </c>
      <c r="D411" s="5" t="inlineStr">
        <is>
          <t>마대</t>
        </is>
      </c>
      <c r="E411" s="5" t="n">
        <v>1</v>
      </c>
      <c r="F411" s="5" t="inlineStr">
        <is>
          <t>B</t>
        </is>
      </c>
      <c r="G411" s="5">
        <f>IF(C411="카드",INDEX(비용표!$C$2:$C$7,MATCH(F411,비용표!$B$2:$B$7,0)),F411*INDEX(비용표!$C$8:$C$9,MATCH(C411,비용표!$B$8:$B$9,0)))</f>
        <v/>
      </c>
      <c r="H411" s="5">
        <f>G411*E411</f>
        <v/>
      </c>
      <c r="I411" s="10">
        <f>IF(A411=A410,I410&amp;" · ","")&amp;IF(C411="카드",D411&amp;E411,"["&amp;C411&amp;"] "&amp;D411)</f>
        <v/>
      </c>
    </row>
    <row r="412">
      <c r="A412" s="5" t="n">
        <v>117</v>
      </c>
      <c r="B412" s="5" t="n">
        <v>1</v>
      </c>
      <c r="C412" s="5" t="inlineStr">
        <is>
          <t>카드</t>
        </is>
      </c>
      <c r="D412" s="5" t="inlineStr">
        <is>
          <t>유표</t>
        </is>
      </c>
      <c r="E412" s="5" t="n">
        <v>1</v>
      </c>
      <c r="F412" s="5" t="inlineStr">
        <is>
          <t>B</t>
        </is>
      </c>
      <c r="G412" s="5">
        <f>IF(C412="카드",INDEX(비용표!$C$2:$C$7,MATCH(F412,비용표!$B$2:$B$7,0)),F412*INDEX(비용표!$C$8:$C$9,MATCH(C412,비용표!$B$8:$B$9,0)))</f>
        <v/>
      </c>
      <c r="H412" s="5">
        <f>G412*E412</f>
        <v/>
      </c>
      <c r="I412" s="10">
        <f>IF(A412=A411,I411&amp;" · ","")&amp;IF(C412="카드",D412&amp;E412,"["&amp;C412&amp;"] "&amp;D412)</f>
        <v/>
      </c>
    </row>
    <row r="413">
      <c r="A413" s="5" t="n">
        <v>117</v>
      </c>
      <c r="B413" s="5" t="n">
        <v>2</v>
      </c>
      <c r="C413" s="5" t="inlineStr">
        <is>
          <t>카드</t>
        </is>
      </c>
      <c r="D413" s="5" t="inlineStr">
        <is>
          <t>유기</t>
        </is>
      </c>
      <c r="E413" s="5" t="n">
        <v>1</v>
      </c>
      <c r="F413" s="5" t="inlineStr">
        <is>
          <t>D</t>
        </is>
      </c>
      <c r="G413" s="5">
        <f>IF(C413="카드",INDEX(비용표!$C$2:$C$7,MATCH(F413,비용표!$B$2:$B$7,0)),F413*INDEX(비용표!$C$8:$C$9,MATCH(C413,비용표!$B$8:$B$9,0)))</f>
        <v/>
      </c>
      <c r="H413" s="5">
        <f>G413*E413</f>
        <v/>
      </c>
      <c r="I413" s="10">
        <f>IF(A413=A412,I412&amp;" · ","")&amp;IF(C413="카드",D413&amp;E413,"["&amp;C413&amp;"] "&amp;D413)</f>
        <v/>
      </c>
    </row>
    <row r="414">
      <c r="A414" s="5" t="n">
        <v>117</v>
      </c>
      <c r="B414" s="5" t="n">
        <v>3</v>
      </c>
      <c r="C414" s="5" t="inlineStr">
        <is>
          <t>카드</t>
        </is>
      </c>
      <c r="D414" s="5" t="inlineStr">
        <is>
          <t>유종</t>
        </is>
      </c>
      <c r="E414" s="5" t="n">
        <v>1</v>
      </c>
      <c r="F414" s="5" t="inlineStr">
        <is>
          <t>C</t>
        </is>
      </c>
      <c r="G414" s="5">
        <f>IF(C414="카드",INDEX(비용표!$C$2:$C$7,MATCH(F414,비용표!$B$2:$B$7,0)),F414*INDEX(비용표!$C$8:$C$9,MATCH(C414,비용표!$B$8:$B$9,0)))</f>
        <v/>
      </c>
      <c r="H414" s="5">
        <f>G414*E414</f>
        <v/>
      </c>
      <c r="I414" s="10">
        <f>IF(A414=A413,I413&amp;" · ","")&amp;IF(C414="카드",D414&amp;E414,"["&amp;C414&amp;"] "&amp;D414)</f>
        <v/>
      </c>
    </row>
    <row r="415">
      <c r="A415" s="5" t="n">
        <v>117</v>
      </c>
      <c r="B415" s="5" t="n">
        <v>4</v>
      </c>
      <c r="C415" s="5" t="inlineStr">
        <is>
          <t>카드</t>
        </is>
      </c>
      <c r="D415" s="5" t="inlineStr">
        <is>
          <t>채모</t>
        </is>
      </c>
      <c r="E415" s="5" t="n">
        <v>1</v>
      </c>
      <c r="F415" s="5" t="inlineStr">
        <is>
          <t>B</t>
        </is>
      </c>
      <c r="G415" s="5">
        <f>IF(C415="카드",INDEX(비용표!$C$2:$C$7,MATCH(F415,비용표!$B$2:$B$7,0)),F415*INDEX(비용표!$C$8:$C$9,MATCH(C415,비용표!$B$8:$B$9,0)))</f>
        <v/>
      </c>
      <c r="H415" s="5">
        <f>G415*E415</f>
        <v/>
      </c>
      <c r="I415" s="10">
        <f>IF(A415=A414,I414&amp;" · ","")&amp;IF(C415="카드",D415&amp;E415,"["&amp;C415&amp;"] "&amp;D415)</f>
        <v/>
      </c>
    </row>
    <row r="416">
      <c r="A416" s="5" t="n">
        <v>117</v>
      </c>
      <c r="B416" s="5" t="n">
        <v>5</v>
      </c>
      <c r="C416" s="5" t="inlineStr">
        <is>
          <t>카드</t>
        </is>
      </c>
      <c r="D416" s="5" t="inlineStr">
        <is>
          <t>괴월</t>
        </is>
      </c>
      <c r="E416" s="5" t="n">
        <v>1</v>
      </c>
      <c r="F416" s="5" t="inlineStr">
        <is>
          <t>B</t>
        </is>
      </c>
      <c r="G416" s="5">
        <f>IF(C416="카드",INDEX(비용표!$C$2:$C$7,MATCH(F416,비용표!$B$2:$B$7,0)),F416*INDEX(비용표!$C$8:$C$9,MATCH(C416,비용표!$B$8:$B$9,0)))</f>
        <v/>
      </c>
      <c r="H416" s="5">
        <f>G416*E416</f>
        <v/>
      </c>
      <c r="I416" s="10">
        <f>IF(A416=A415,I415&amp;" · ","")&amp;IF(C416="카드",D416&amp;E416,"["&amp;C416&amp;"] "&amp;D416)</f>
        <v/>
      </c>
    </row>
  </sheetData>
  <dataValidations count="1">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showDropDown="0" showInputMessage="0" showErrorMessage="0" allowBlank="0" type="list">
      <formula1>"카드,병기,아이템"</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7"/>
  <cols>
    <col width="16" customWidth="1" min="1" max="1"/>
    <col width="110" customWidth="1" min="2" max="2"/>
  </cols>
  <sheetData>
    <row r="1" ht="30" customHeight="1">
      <c r="A1" s="1" t="inlineStr">
        <is>
          <t>항목</t>
        </is>
      </c>
      <c r="B1" s="1" t="inlineStr">
        <is>
          <t>규칙</t>
        </is>
      </c>
    </row>
    <row r="2">
      <c r="A2" s="11" t="inlineStr">
        <is>
          <t>칸</t>
        </is>
      </c>
      <c r="B2" s="4" t="inlineStr">
        <is>
          <t>조건 하나가 칸 하나. 카드 칸은 장수 카드, 병기 칸은 대장간 병기, 아이템 칸은 시장 아이템만 받는다.</t>
        </is>
      </c>
    </row>
    <row r="3">
      <c r="A3" s="11" t="inlineStr">
        <is>
          <t>등록</t>
        </is>
      </c>
      <c r="B3" s="4" t="inlineStr">
        <is>
          <t>칸마다 하나씩, 부분 등록 가능. 요건이 되는 칸을 누르면 「등록하시겠습니까?」. 되돌릴 수 없다.</t>
        </is>
      </c>
    </row>
    <row r="4">
      <c r="A4" s="11" t="inlineStr">
        <is>
          <t>카드 수</t>
        </is>
      </c>
      <c r="B4" s="4" t="inlineStr">
        <is>
          <t>한 컬렉션에 같은 장수 카드는 1장뿐이다 — 칸 하나 = 장수 하나 = 카드 1장 (2026-10-13 3차).</t>
        </is>
      </c>
    </row>
    <row r="5">
      <c r="A5" s="11" t="inlineStr">
        <is>
          <t>장수 카드</t>
        </is>
      </c>
      <c r="B5" s="4" t="inlineStr">
        <is>
          <t>풀의 본체를 1장으로 센다 — 여분 카드가 1장이라도 있으면 등록할 수 있고 여분만 쓴다. 본체는 빠지지 않는다.</t>
        </is>
      </c>
    </row>
    <row r="6">
      <c r="A6" s="11" t="inlineStr">
        <is>
          <t>완성</t>
        </is>
      </c>
      <c r="B6" s="4" t="inlineStr">
        <is>
          <t>모든 칸이 차면 완성 — 그때 점수와 효과가 생긴다. 부분 등록은 점수도 효과도 없다.</t>
        </is>
      </c>
    </row>
    <row r="7">
      <c r="A7" s="11" t="inlineStr">
        <is>
          <t>병기</t>
        </is>
      </c>
      <c r="B7" s="4" t="inlineStr">
        <is>
          <t>등록한 자루는 보유 목록에서 빠지므로 대장간 종류당 상한 = 만든 수 − 넣은 수. 장수에게 지급된 자루는 해제한 뒤에만 등록.</t>
        </is>
      </c>
    </row>
    <row r="8">
      <c r="A8" s="11" t="inlineStr">
        <is>
          <t>아이템</t>
        </is>
      </c>
      <c r="B8" s="4" t="inlineStr">
        <is>
          <t>가장 오래 산 것부터 빠진다. 이번 판에 들려 보낼 것으로 잡힌 수량은 등록할 수 없다.</t>
        </is>
      </c>
    </row>
    <row r="9">
      <c r="A9" s="11" t="inlineStr">
        <is>
          <t>능력치 상한</t>
        </is>
      </c>
      <c r="B9" s="4" t="inlineStr">
        <is>
          <t>등급별 능력치 값의 상한: 일반 1 · 희귀 2 · 영웅 2 · 전설 3 · 천하 3, 조건(함께 참전 · 적진에)이 걸리면 +1. HP는 2, MP는 1이 천장.</t>
        </is>
      </c>
    </row>
    <row r="10">
      <c r="A10" s="11" t="inlineStr">
        <is>
          <t>겹침</t>
        </is>
      </c>
      <c r="B10" s="4" t="inlineStr">
        <is>
          <t>같은 장수 × 같은 능력치를 받는 컬렉션은 하나뿐(데이터 검사로 고정). 진영 SP +1은 여럿 켜져도 +1. 도시 효과는 더한다.</t>
        </is>
      </c>
    </row>
    <row r="11">
      <c r="A11" s="11" t="inlineStr">
        <is>
          <t>금화</t>
        </is>
      </c>
      <c r="B11" s="4" t="inlineStr">
        <is>
          <t>도시 효과는 금화를 건드리지 않는다(얻기 · 할인 · 매물 늘리기 없음).</t>
        </is>
      </c>
    </row>
    <row r="12">
      <c r="A12" s="11" t="inlineStr">
        <is>
          <t>전투력</t>
        </is>
      </c>
      <c r="B12" s="4" t="inlineStr">
        <is>
          <t>컬렉션 효과는 battlePower()에 넣지 않는다.</t>
        </is>
      </c>
    </row>
    <row r="13">
      <c r="A13" s="11" t="inlineStr">
        <is>
          <t>판에 싣기</t>
        </is>
      </c>
      <c r="B13" s="4" t="inlineStr">
        <is>
          <t>판 시작 시각 이전에 완성된 컬렉션만. 조건(함께 참전 · 적진에)은 판이 시작될 때 한 번 판정하고 판 내내 간다.</t>
        </is>
      </c>
    </row>
    <row r="14" ht="32" customHeight="1">
      <c r="A14" s="11" t="inlineStr">
        <is>
          <t>배지</t>
        </is>
      </c>
      <c r="B14" s="4" t="inlineStr">
        <is>
          <t>상태이상 배지와 자리를 나눈다 — 초상화 가장자리 · 이름 칸 주변. ① 기술 변형(SP 6 → 5) ② 발동 효과(시작 연출 + 장수 팝업). 상대에게도 보인다.</t>
        </is>
      </c>
    </row>
    <row r="15">
      <c r="A15" s="11" t="inlineStr">
        <is>
          <t>출처</t>
        </is>
      </c>
      <c r="B15" s="4" t="inlineStr">
        <is>
          <t>Design/컬렉션_기획.md (2026-10-13 기획 세션 초안)</t>
        </is>
      </c>
    </row>
    <row r="16">
      <c r="A16" s="11" t="inlineStr">
        <is>
          <t>칸 수</t>
        </is>
      </c>
      <c r="B16" s="4" t="inlineStr">
        <is>
          <t>한 컬렉션의 칸은 장수 카드 · 병기 · 아이템을 합쳐 5개까지 — 상세 두루마리에 한 줄로 서도록 (2026-10-13).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2026-10-13T05:22:30Z</dcterms:created>
  <dcterms:modified xmlns:dcterms="http://purl.org/dc/terms/" xmlns:xsi="http://www.w3.org/2001/XMLSchema-instance" xsi:type="dcterms:W3CDTF">2026-10-14T03:30:03Z</dcterms:modified>
  <cp:lastModifiedBy>JoongEun Jung</cp:lastModifiedBy>
</cp:coreProperties>
</file>