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비용표" sheetId="2" state="visible" r:id="rId2"/>
    <sheet xmlns:r="http://schemas.openxmlformats.org/officeDocument/2006/relationships" name="칸" sheetId="3" state="visible" r:id="rId3"/>
    <sheet xmlns:r="http://schemas.openxmlformats.org/officeDocument/2006/relationships" name="규칙" sheetId="4" state="visible" r:id="rId4"/>
  </sheets>
  <definedNames>
    <definedName name="_xlnm._FilterDatabase" localSheetId="0" hidden="1">'컬렉션'!$A$1:$U$118</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s>
  <fills count="4">
    <fill>
      <patternFill/>
    </fill>
    <fill>
      <patternFill patternType="gray125"/>
    </fill>
    <fill>
      <patternFill patternType="solid">
        <fgColor rgb="FF5B3A1E"/>
      </patternFill>
    </fill>
    <fill>
      <patternFill patternType="solid">
        <fgColor rgb="FFFFF7D6"/>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c r="U1" s="1" t="inlineStr">
        <is>
          <t>등급 지정</t>
        </is>
      </c>
    </row>
    <row r="2" ht="32" customHeight="1">
      <c r="A2" s="2" t="n">
        <v>1</v>
      </c>
      <c r="B2" s="2" t="inlineStr">
        <is>
          <t>① 황건 · 반동탁 (184~192)</t>
        </is>
      </c>
      <c r="C2" s="3" t="inlineStr">
        <is>
          <t>도원결의</t>
        </is>
      </c>
      <c r="D2" s="2" t="inlineStr">
        <is>
          <t>桃園結義</t>
        </is>
      </c>
      <c r="E2" s="4">
        <f>INDEX(칸!$I$2:$I$416,MATCH(A2,칸!$A$2:$A$416,1))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COUNTIF(칸!$A$2:$A$416,A2)</f>
        <v/>
      </c>
      <c r="I2" s="2">
        <f>SUMIF(칸!$A$2:$A$416,A2,칸!$H$2:$H$416)</f>
        <v/>
      </c>
      <c r="J2" s="2">
        <f>IF(U2&lt;&gt;"",U2,INDEX(비용표!$A$13:$A$17,MATCH(I2,비용표!$B$13:$B$17,1)))</f>
        <v/>
      </c>
      <c r="K2" s="2">
        <f>INDEX(비용표!$C$13:$C$17,MATCH(J2,비용표!$A$13:$A$17,0))</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c r="U2" s="2" t="n"/>
    </row>
    <row r="3" ht="32" customHeight="1">
      <c r="A3" s="2" t="n">
        <v>2</v>
      </c>
      <c r="B3" s="2" t="inlineStr">
        <is>
          <t>① 황건 · 반동탁 (184~192)</t>
        </is>
      </c>
      <c r="C3" s="3" t="inlineStr">
        <is>
          <t>황건적 토벌</t>
        </is>
      </c>
      <c r="D3" s="2" t="inlineStr">
        <is>
          <t>討黃巾賊</t>
        </is>
      </c>
      <c r="E3" s="4">
        <f>INDEX(칸!$I$2:$I$416,MATCH(A3,칸!$A$2:$A$416,1))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COUNTIF(칸!$A$2:$A$416,A3)</f>
        <v/>
      </c>
      <c r="I3" s="2">
        <f>SUMIF(칸!$A$2:$A$416,A3,칸!$H$2:$H$416)</f>
        <v/>
      </c>
      <c r="J3" s="2">
        <f>IF(U3&lt;&gt;"",U3,INDEX(비용표!$A$13:$A$17,MATCH(I3,비용표!$B$13:$B$17,1)))</f>
        <v/>
      </c>
      <c r="K3" s="2">
        <f>INDEX(비용표!$C$13:$C$17,MATCH(J3,비용표!$A$13:$A$17,0))</f>
        <v/>
      </c>
      <c r="L3" s="4" t="inlineStr">
        <is>
          <t>도적떼 약탈률 −1%p (도적 1명당 10% → 9%)</t>
        </is>
      </c>
      <c r="M3" s="2" t="inlineStr">
        <is>
          <t>도시</t>
        </is>
      </c>
      <c r="N3" s="2" t="n"/>
      <c r="O3" s="2" t="n"/>
      <c r="P3" s="2" t="n">
        <v>1</v>
      </c>
      <c r="Q3" s="4" t="n"/>
      <c r="R3" s="2" t="n"/>
      <c r="S3" s="2" t="n"/>
      <c r="T3" s="2" t="inlineStr">
        <is>
          <t>raidLoot</t>
        </is>
      </c>
      <c r="U3" s="2" t="n"/>
    </row>
    <row r="4" ht="48" customHeight="1">
      <c r="A4" s="2" t="n">
        <v>3</v>
      </c>
      <c r="B4" s="2" t="inlineStr">
        <is>
          <t>① 황건 · 반동탁 (184~192)</t>
        </is>
      </c>
      <c r="C4" s="3" t="inlineStr">
        <is>
          <t>온주참화웅</t>
        </is>
      </c>
      <c r="D4" s="2" t="inlineStr">
        <is>
          <t>溫酒斬華雄</t>
        </is>
      </c>
      <c r="E4" s="4">
        <f>INDEX(칸!$I$2:$I$416,MATCH(A4,칸!$A$2:$A$416,1))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COUNTIF(칸!$A$2:$A$416,A4)</f>
        <v/>
      </c>
      <c r="I4" s="2">
        <f>SUMIF(칸!$A$2:$A$416,A4,칸!$H$2:$H$416)</f>
        <v/>
      </c>
      <c r="J4" s="2">
        <f>IF(U4&lt;&gt;"",U4,INDEX(비용표!$A$13:$A$17,MATCH(I4,비용표!$B$13:$B$17,1)))</f>
        <v/>
      </c>
      <c r="K4" s="2">
        <f>INDEX(비용표!$C$13:$C$17,MATCH(J4,비용표!$A$13:$A$17,0))</f>
        <v/>
      </c>
      <c r="L4" s="4" t="inlineStr">
        <is>
          <t>적진에 화웅 시 관우 무력+2</t>
        </is>
      </c>
      <c r="M4" s="2" t="inlineStr">
        <is>
          <t>능력치</t>
        </is>
      </c>
      <c r="N4" s="2" t="inlineStr">
        <is>
          <t>관우</t>
        </is>
      </c>
      <c r="O4" s="2" t="inlineStr">
        <is>
          <t>무력</t>
        </is>
      </c>
      <c r="P4" s="2" t="n">
        <v>2</v>
      </c>
      <c r="Q4" s="4" t="n"/>
      <c r="R4" s="2" t="n"/>
      <c r="S4" s="2" t="inlineStr">
        <is>
          <t>화웅</t>
        </is>
      </c>
      <c r="T4" s="2" t="n"/>
      <c r="U4" s="2" t="n"/>
    </row>
    <row r="5" ht="32" customHeight="1">
      <c r="A5" s="2" t="n">
        <v>4</v>
      </c>
      <c r="B5" s="2" t="inlineStr">
        <is>
          <t>① 황건 · 반동탁 (184~192)</t>
        </is>
      </c>
      <c r="C5" s="3" t="inlineStr">
        <is>
          <t>호뢰관 삼영전여포</t>
        </is>
      </c>
      <c r="D5" s="2" t="inlineStr">
        <is>
          <t>虎牢關三英戰呂布</t>
        </is>
      </c>
      <c r="E5" s="4">
        <f>INDEX(칸!$I$2:$I$416,MATCH(A5,칸!$A$2:$A$416,1))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COUNTIF(칸!$A$2:$A$416,A5)</f>
        <v/>
      </c>
      <c r="I5" s="2">
        <f>SUMIF(칸!$A$2:$A$416,A5,칸!$H$2:$H$416)</f>
        <v/>
      </c>
      <c r="J5" s="2">
        <f>IF(U5&lt;&gt;"",U5,INDEX(비용표!$A$13:$A$17,MATCH(I5,비용표!$B$13:$B$17,1)))</f>
        <v/>
      </c>
      <c r="K5" s="2">
        <f>INDEX(비용표!$C$13:$C$17,MATCH(J5,비용표!$A$13:$A$17,0))</f>
        <v/>
      </c>
      <c r="L5" s="4" t="inlineStr">
        <is>
          <t>적진에 여포 시 장비 무력+2</t>
        </is>
      </c>
      <c r="M5" s="2" t="inlineStr">
        <is>
          <t>능력치</t>
        </is>
      </c>
      <c r="N5" s="2" t="inlineStr">
        <is>
          <t>장비</t>
        </is>
      </c>
      <c r="O5" s="2" t="inlineStr">
        <is>
          <t>무력</t>
        </is>
      </c>
      <c r="P5" s="2" t="n">
        <v>2</v>
      </c>
      <c r="Q5" s="4" t="n"/>
      <c r="R5" s="2" t="n"/>
      <c r="S5" s="2" t="inlineStr">
        <is>
          <t>여포</t>
        </is>
      </c>
      <c r="T5" s="2" t="n"/>
      <c r="U5" s="2" t="n"/>
    </row>
    <row r="6" ht="32" customHeight="1">
      <c r="A6" s="2" t="n">
        <v>5</v>
      </c>
      <c r="B6" s="2" t="inlineStr">
        <is>
          <t>① 황건 · 반동탁 (184~192)</t>
        </is>
      </c>
      <c r="C6" s="3" t="inlineStr">
        <is>
          <t>반동탁 연합군</t>
        </is>
      </c>
      <c r="D6" s="2" t="inlineStr">
        <is>
          <t>反董卓聯合軍</t>
        </is>
      </c>
      <c r="E6" s="4">
        <f>INDEX(칸!$I$2:$I$416,MATCH(A6,칸!$A$2:$A$416,1))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COUNTIF(칸!$A$2:$A$416,A6)</f>
        <v/>
      </c>
      <c r="I6" s="2">
        <f>SUMIF(칸!$A$2:$A$416,A6,칸!$H$2:$H$416)</f>
        <v/>
      </c>
      <c r="J6" s="2">
        <f>IF(U6&lt;&gt;"",U6,INDEX(비용표!$A$13:$A$17,MATCH(I6,비용표!$B$13:$B$17,1)))</f>
        <v/>
      </c>
      <c r="K6" s="2">
        <f>INDEX(비용표!$C$13:$C$17,MATCH(J6,비용표!$A$13:$A$17,0))</f>
        <v/>
      </c>
      <c r="L6" s="4" t="inlineStr">
        <is>
          <t>원소 통솔+2</t>
        </is>
      </c>
      <c r="M6" s="2" t="inlineStr">
        <is>
          <t>능력치</t>
        </is>
      </c>
      <c r="N6" s="2" t="inlineStr">
        <is>
          <t>원소</t>
        </is>
      </c>
      <c r="O6" s="2" t="inlineStr">
        <is>
          <t>통솔</t>
        </is>
      </c>
      <c r="P6" s="2" t="n">
        <v>2</v>
      </c>
      <c r="Q6" s="4" t="n"/>
      <c r="R6" s="2" t="n"/>
      <c r="S6" s="2" t="n"/>
      <c r="T6" s="2" t="n"/>
      <c r="U6" s="2" t="n"/>
    </row>
    <row r="7" ht="32" customHeight="1">
      <c r="A7" s="2" t="n">
        <v>6</v>
      </c>
      <c r="B7" s="2" t="inlineStr">
        <is>
          <t>① 황건 · 반동탁 (184~192)</t>
        </is>
      </c>
      <c r="C7" s="3" t="inlineStr">
        <is>
          <t>장안 천도</t>
        </is>
      </c>
      <c r="D7" s="2" t="inlineStr">
        <is>
          <t>長安遷都</t>
        </is>
      </c>
      <c r="E7" s="4">
        <f>INDEX(칸!$I$2:$I$416,MATCH(A7,칸!$A$2:$A$416,1))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COUNTIF(칸!$A$2:$A$416,A7)</f>
        <v/>
      </c>
      <c r="I7" s="2">
        <f>SUMIF(칸!$A$2:$A$416,A7,칸!$H$2:$H$416)</f>
        <v/>
      </c>
      <c r="J7" s="2">
        <f>IF(U7&lt;&gt;"",U7,INDEX(비용표!$A$13:$A$17,MATCH(I7,비용표!$B$13:$B$17,1)))</f>
        <v/>
      </c>
      <c r="K7" s="2">
        <f>INDEX(비용표!$C$13:$C$17,MATCH(J7,비용표!$A$13:$A$17,0))</f>
        <v/>
      </c>
      <c r="L7" s="4" t="inlineStr">
        <is>
          <t>동탁 HP+1</t>
        </is>
      </c>
      <c r="M7" s="2" t="inlineStr">
        <is>
          <t>능력치</t>
        </is>
      </c>
      <c r="N7" s="2" t="inlineStr">
        <is>
          <t>동탁</t>
        </is>
      </c>
      <c r="O7" s="2" t="inlineStr">
        <is>
          <t>HP</t>
        </is>
      </c>
      <c r="P7" s="2" t="n">
        <v>1</v>
      </c>
      <c r="Q7" s="4" t="n"/>
      <c r="R7" s="2" t="n"/>
      <c r="S7" s="2" t="n"/>
      <c r="T7" s="2" t="n"/>
      <c r="U7" s="2" t="n"/>
    </row>
    <row r="8" ht="32" customHeight="1">
      <c r="A8" s="2" t="n">
        <v>7</v>
      </c>
      <c r="B8" s="2" t="inlineStr">
        <is>
          <t>① 황건 · 반동탁 (184~192)</t>
        </is>
      </c>
      <c r="C8" s="3" t="inlineStr">
        <is>
          <t>칠성보도 헌상</t>
        </is>
      </c>
      <c r="D8" s="2" t="inlineStr">
        <is>
          <t>獻七星寶刀</t>
        </is>
      </c>
      <c r="E8" s="4">
        <f>INDEX(칸!$I$2:$I$416,MATCH(A8,칸!$A$2:$A$416,1))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COUNTIF(칸!$A$2:$A$416,A8)</f>
        <v/>
      </c>
      <c r="I8" s="2">
        <f>SUMIF(칸!$A$2:$A$416,A8,칸!$H$2:$H$416)</f>
        <v/>
      </c>
      <c r="J8" s="2">
        <f>IF(U8&lt;&gt;"",U8,INDEX(비용표!$A$13:$A$17,MATCH(I8,비용표!$B$13:$B$17,1)))</f>
        <v/>
      </c>
      <c r="K8" s="2">
        <f>INDEX(비용표!$C$13:$C$17,MATCH(J8,비용표!$A$13:$A$17,0))</f>
        <v/>
      </c>
      <c r="L8" s="4" t="inlineStr">
        <is>
          <t>적진에 동탁 시 조조 무력+2</t>
        </is>
      </c>
      <c r="M8" s="2" t="inlineStr">
        <is>
          <t>능력치</t>
        </is>
      </c>
      <c r="N8" s="2" t="inlineStr">
        <is>
          <t>조조</t>
        </is>
      </c>
      <c r="O8" s="2" t="inlineStr">
        <is>
          <t>무력</t>
        </is>
      </c>
      <c r="P8" s="2" t="n">
        <v>2</v>
      </c>
      <c r="Q8" s="4" t="n"/>
      <c r="R8" s="2" t="n"/>
      <c r="S8" s="2" t="inlineStr">
        <is>
          <t>동탁</t>
        </is>
      </c>
      <c r="T8" s="2" t="n"/>
      <c r="U8" s="2" t="n"/>
    </row>
    <row r="9" ht="48" customHeight="1">
      <c r="A9" s="2" t="n">
        <v>8</v>
      </c>
      <c r="B9" s="2" t="inlineStr">
        <is>
          <t>① 황건 · 반동탁 (184~192)</t>
        </is>
      </c>
      <c r="C9" s="3" t="inlineStr">
        <is>
          <t>진궁의 결별</t>
        </is>
      </c>
      <c r="D9" s="2" t="inlineStr">
        <is>
          <t>陳宮決別</t>
        </is>
      </c>
      <c r="E9" s="4">
        <f>INDEX(칸!$I$2:$I$416,MATCH(A9,칸!$A$2:$A$416,1))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COUNTIF(칸!$A$2:$A$416,A9)</f>
        <v/>
      </c>
      <c r="I9" s="2">
        <f>SUMIF(칸!$A$2:$A$416,A9,칸!$H$2:$H$416)</f>
        <v/>
      </c>
      <c r="J9" s="2">
        <f>IF(U9&lt;&gt;"",U9,INDEX(비용표!$A$13:$A$17,MATCH(I9,비용표!$B$13:$B$17,1)))</f>
        <v/>
      </c>
      <c r="K9" s="2">
        <f>INDEX(비용표!$C$13:$C$17,MATCH(J9,비용표!$A$13:$A$17,0))</f>
        <v/>
      </c>
      <c r="L9" s="4" t="inlineStr">
        <is>
          <t>적진에 조조 시 진궁 통솔+1</t>
        </is>
      </c>
      <c r="M9" s="2" t="inlineStr">
        <is>
          <t>능력치</t>
        </is>
      </c>
      <c r="N9" s="2" t="inlineStr">
        <is>
          <t>진궁</t>
        </is>
      </c>
      <c r="O9" s="2" t="inlineStr">
        <is>
          <t>통솔</t>
        </is>
      </c>
      <c r="P9" s="2" t="n">
        <v>1</v>
      </c>
      <c r="Q9" s="4" t="n"/>
      <c r="R9" s="2" t="n"/>
      <c r="S9" s="2" t="inlineStr">
        <is>
          <t>조조</t>
        </is>
      </c>
      <c r="T9" s="2" t="n"/>
      <c r="U9" s="2" t="n"/>
    </row>
    <row r="10" ht="32" customHeight="1">
      <c r="A10" s="2" t="n">
        <v>9</v>
      </c>
      <c r="B10" s="2" t="inlineStr">
        <is>
          <t>① 황건 · 반동탁 (184~192)</t>
        </is>
      </c>
      <c r="C10" s="3" t="inlineStr">
        <is>
          <t>형양의 추격</t>
        </is>
      </c>
      <c r="D10" s="2" t="inlineStr">
        <is>
          <t>滎陽追擊</t>
        </is>
      </c>
      <c r="E10" s="4">
        <f>INDEX(칸!$I$2:$I$416,MATCH(A10,칸!$A$2:$A$416,1))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COUNTIF(칸!$A$2:$A$416,A10)</f>
        <v/>
      </c>
      <c r="I10" s="2">
        <f>SUMIF(칸!$A$2:$A$416,A10,칸!$H$2:$H$416)</f>
        <v/>
      </c>
      <c r="J10" s="2">
        <f>IF(U10&lt;&gt;"",U10,INDEX(비용표!$A$13:$A$17,MATCH(I10,비용표!$B$13:$B$17,1)))</f>
        <v/>
      </c>
      <c r="K10" s="2">
        <f>INDEX(비용표!$C$13:$C$17,MATCH(J10,비용표!$A$13:$A$17,0))</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c r="U10" s="2" t="n"/>
    </row>
    <row r="11" ht="32" customHeight="1">
      <c r="A11" s="2" t="n">
        <v>10</v>
      </c>
      <c r="B11" s="2" t="inlineStr">
        <is>
          <t>① 황건 · 반동탁 (184~192)</t>
        </is>
      </c>
      <c r="C11" s="3" t="inlineStr">
        <is>
          <t>손견과 전국옥새</t>
        </is>
      </c>
      <c r="D11" s="2" t="inlineStr">
        <is>
          <t>孫堅得玉璽</t>
        </is>
      </c>
      <c r="E11" s="4">
        <f>INDEX(칸!$I$2:$I$416,MATCH(A11,칸!$A$2:$A$416,1))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COUNTIF(칸!$A$2:$A$416,A11)</f>
        <v/>
      </c>
      <c r="I11" s="2">
        <f>SUMIF(칸!$A$2:$A$416,A11,칸!$H$2:$H$416)</f>
        <v/>
      </c>
      <c r="J11" s="2">
        <f>IF(U11&lt;&gt;"",U11,INDEX(비용표!$A$13:$A$17,MATCH(I11,비용표!$B$13:$B$17,1)))</f>
        <v/>
      </c>
      <c r="K11" s="2">
        <f>INDEX(비용표!$C$13:$C$17,MATCH(J11,비용표!$A$13:$A$17,0))</f>
        <v/>
      </c>
      <c r="L11" s="4" t="inlineStr">
        <is>
          <t>손견 통솔+2</t>
        </is>
      </c>
      <c r="M11" s="2" t="inlineStr">
        <is>
          <t>능력치</t>
        </is>
      </c>
      <c r="N11" s="2" t="inlineStr">
        <is>
          <t>손견</t>
        </is>
      </c>
      <c r="O11" s="2" t="inlineStr">
        <is>
          <t>통솔</t>
        </is>
      </c>
      <c r="P11" s="2" t="n">
        <v>2</v>
      </c>
      <c r="Q11" s="4" t="n"/>
      <c r="R11" s="2" t="n"/>
      <c r="S11" s="2" t="n"/>
      <c r="T11" s="2" t="n"/>
      <c r="U11" s="2" t="n"/>
    </row>
    <row r="12" ht="32" customHeight="1">
      <c r="A12" s="2" t="n">
        <v>11</v>
      </c>
      <c r="B12" s="2" t="inlineStr">
        <is>
          <t>① 황건 · 반동탁 (184~192)</t>
        </is>
      </c>
      <c r="C12" s="3" t="inlineStr">
        <is>
          <t>현산의 손견</t>
        </is>
      </c>
      <c r="D12" s="2" t="inlineStr">
        <is>
          <t>峴山伏兵</t>
        </is>
      </c>
      <c r="E12" s="4">
        <f>INDEX(칸!$I$2:$I$416,MATCH(A12,칸!$A$2:$A$416,1))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COUNTIF(칸!$A$2:$A$416,A12)</f>
        <v/>
      </c>
      <c r="I12" s="2">
        <f>SUMIF(칸!$A$2:$A$416,A12,칸!$H$2:$H$416)</f>
        <v/>
      </c>
      <c r="J12" s="2">
        <f>IF(U12&lt;&gt;"",U12,INDEX(비용표!$A$13:$A$17,MATCH(I12,비용표!$B$13:$B$17,1)))</f>
        <v/>
      </c>
      <c r="K12" s="2">
        <f>INDEX(비용표!$C$13:$C$17,MATCH(J12,비용표!$A$13:$A$17,0))</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c r="U12" s="2" t="n"/>
    </row>
    <row r="13" ht="32" customHeight="1">
      <c r="A13" s="2" t="n">
        <v>12</v>
      </c>
      <c r="B13" s="2" t="inlineStr">
        <is>
          <t>① 황건 · 반동탁 (184~192)</t>
        </is>
      </c>
      <c r="C13" s="3" t="inlineStr">
        <is>
          <t>백마의종</t>
        </is>
      </c>
      <c r="D13" s="2" t="inlineStr">
        <is>
          <t>白馬義從</t>
        </is>
      </c>
      <c r="E13" s="4">
        <f>INDEX(칸!$I$2:$I$416,MATCH(A13,칸!$A$2:$A$416,1))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COUNTIF(칸!$A$2:$A$416,A13)</f>
        <v/>
      </c>
      <c r="I13" s="2">
        <f>SUMIF(칸!$A$2:$A$416,A13,칸!$H$2:$H$416)</f>
        <v/>
      </c>
      <c r="J13" s="2">
        <f>IF(U13&lt;&gt;"",U13,INDEX(비용표!$A$13:$A$17,MATCH(I13,비용표!$B$13:$B$17,1)))</f>
        <v/>
      </c>
      <c r="K13" s="2">
        <f>INDEX(비용표!$C$13:$C$17,MATCH(J13,비용표!$A$13:$A$17,0))</f>
        <v/>
      </c>
      <c r="L13" s="4" t="inlineStr">
        <is>
          <t>공손찬 통솔+2</t>
        </is>
      </c>
      <c r="M13" s="2" t="inlineStr">
        <is>
          <t>능력치</t>
        </is>
      </c>
      <c r="N13" s="2" t="inlineStr">
        <is>
          <t>공손찬</t>
        </is>
      </c>
      <c r="O13" s="2" t="inlineStr">
        <is>
          <t>통솔</t>
        </is>
      </c>
      <c r="P13" s="2" t="n">
        <v>2</v>
      </c>
      <c r="Q13" s="4" t="n"/>
      <c r="R13" s="2" t="n"/>
      <c r="S13" s="2" t="n"/>
      <c r="T13" s="2" t="n"/>
      <c r="U13" s="2" t="n"/>
    </row>
    <row r="14" ht="32" customHeight="1">
      <c r="A14" s="2" t="n">
        <v>13</v>
      </c>
      <c r="B14" s="2" t="inlineStr">
        <is>
          <t>① 황건 · 반동탁 (184~192)</t>
        </is>
      </c>
      <c r="C14" s="3" t="inlineStr">
        <is>
          <t>계교 전투</t>
        </is>
      </c>
      <c r="D14" s="2" t="inlineStr">
        <is>
          <t>界橋之戰</t>
        </is>
      </c>
      <c r="E14" s="4">
        <f>INDEX(칸!$I$2:$I$416,MATCH(A14,칸!$A$2:$A$416,1))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COUNTIF(칸!$A$2:$A$416,A14)</f>
        <v/>
      </c>
      <c r="I14" s="2">
        <f>SUMIF(칸!$A$2:$A$416,A14,칸!$H$2:$H$416)</f>
        <v/>
      </c>
      <c r="J14" s="2">
        <f>IF(U14&lt;&gt;"",U14,INDEX(비용표!$A$13:$A$17,MATCH(I14,비용표!$B$13:$B$17,1)))</f>
        <v/>
      </c>
      <c r="K14" s="2">
        <f>INDEX(비용표!$C$13:$C$17,MATCH(J14,비용표!$A$13:$A$17,0))</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c r="U14" s="2" t="n"/>
    </row>
    <row r="15" ht="32" customHeight="1">
      <c r="A15" s="2" t="n">
        <v>14</v>
      </c>
      <c r="B15" s="2" t="inlineStr">
        <is>
          <t>② 군웅할거 (192~199)</t>
        </is>
      </c>
      <c r="C15" s="3" t="inlineStr">
        <is>
          <t>이각과 곽사</t>
        </is>
      </c>
      <c r="D15" s="2" t="inlineStr">
        <is>
          <t>李傕郭汜</t>
        </is>
      </c>
      <c r="E15" s="4">
        <f>INDEX(칸!$I$2:$I$416,MATCH(A15,칸!$A$2:$A$416,1))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COUNTIF(칸!$A$2:$A$416,A15)</f>
        <v/>
      </c>
      <c r="I15" s="2">
        <f>SUMIF(칸!$A$2:$A$416,A15,칸!$H$2:$H$416)</f>
        <v/>
      </c>
      <c r="J15" s="2">
        <f>IF(U15&lt;&gt;"",U15,INDEX(비용표!$A$13:$A$17,MATCH(I15,비용표!$B$13:$B$17,1)))</f>
        <v/>
      </c>
      <c r="K15" s="2">
        <f>INDEX(비용표!$C$13:$C$17,MATCH(J15,비용표!$A$13:$A$17,0))</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c r="U15" s="2" t="n"/>
    </row>
    <row r="16" ht="32" customHeight="1">
      <c r="A16" s="2" t="n">
        <v>15</v>
      </c>
      <c r="B16" s="2" t="inlineStr">
        <is>
          <t>② 군웅할거 (192~199)</t>
        </is>
      </c>
      <c r="C16" s="3" t="inlineStr">
        <is>
          <t>헌제의 동귀</t>
        </is>
      </c>
      <c r="D16" s="2" t="inlineStr">
        <is>
          <t>獻帝東歸</t>
        </is>
      </c>
      <c r="E16" s="4">
        <f>INDEX(칸!$I$2:$I$416,MATCH(A16,칸!$A$2:$A$416,1))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COUNTIF(칸!$A$2:$A$416,A16)</f>
        <v/>
      </c>
      <c r="I16" s="2">
        <f>SUMIF(칸!$A$2:$A$416,A16,칸!$H$2:$H$416)</f>
        <v/>
      </c>
      <c r="J16" s="2">
        <f>IF(U16&lt;&gt;"",U16,INDEX(비용표!$A$13:$A$17,MATCH(I16,비용표!$B$13:$B$17,1)))</f>
        <v/>
      </c>
      <c r="K16" s="2">
        <f>INDEX(비용표!$C$13:$C$17,MATCH(J16,비용표!$A$13:$A$17,0))</f>
        <v/>
      </c>
      <c r="L16" s="4" t="inlineStr">
        <is>
          <t>헌제의 「황제옹립」 SP 7 → 6</t>
        </is>
      </c>
      <c r="M16" s="2" t="inlineStr">
        <is>
          <t>고유기술SP</t>
        </is>
      </c>
      <c r="N16" s="2" t="inlineStr">
        <is>
          <t>헌제</t>
        </is>
      </c>
      <c r="O16" s="2" t="n"/>
      <c r="P16" s="2" t="n">
        <v>-1</v>
      </c>
      <c r="Q16" s="4" t="n"/>
      <c r="R16" s="2" t="n"/>
      <c r="S16" s="2" t="n"/>
      <c r="T16" s="2" t="n"/>
      <c r="U16" s="2" t="n"/>
    </row>
    <row r="17" ht="32" customHeight="1">
      <c r="A17" s="2" t="n">
        <v>16</v>
      </c>
      <c r="B17" s="2" t="inlineStr">
        <is>
          <t>② 군웅할거 (192~199)</t>
        </is>
      </c>
      <c r="C17" s="3" t="inlineStr">
        <is>
          <t>둔전제</t>
        </is>
      </c>
      <c r="D17" s="2" t="inlineStr">
        <is>
          <t>屯田制</t>
        </is>
      </c>
      <c r="E17" s="4">
        <f>INDEX(칸!$I$2:$I$416,MATCH(A17,칸!$A$2:$A$416,1))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COUNTIF(칸!$A$2:$A$416,A17)</f>
        <v/>
      </c>
      <c r="I17" s="2">
        <f>SUMIF(칸!$A$2:$A$416,A17,칸!$H$2:$H$416)</f>
        <v/>
      </c>
      <c r="J17" s="2">
        <f>IF(U17&lt;&gt;"",U17,INDEX(비용표!$A$13:$A$17,MATCH(I17,비용표!$B$13:$B$17,1)))</f>
        <v/>
      </c>
      <c r="K17" s="2">
        <f>INDEX(비용표!$C$13:$C$17,MATCH(J17,비용표!$A$13:$A$17,0))</f>
        <v/>
      </c>
      <c r="L17" s="4" t="inlineStr">
        <is>
          <t>군량 충전 속도 +5%</t>
        </is>
      </c>
      <c r="M17" s="2" t="inlineStr">
        <is>
          <t>도시</t>
        </is>
      </c>
      <c r="N17" s="2" t="n"/>
      <c r="O17" s="2" t="n"/>
      <c r="P17" s="2" t="n">
        <v>5</v>
      </c>
      <c r="Q17" s="4" t="n"/>
      <c r="R17" s="2" t="n"/>
      <c r="S17" s="2" t="n"/>
      <c r="T17" s="2" t="inlineStr">
        <is>
          <t>grainRate</t>
        </is>
      </c>
      <c r="U17" s="2" t="n"/>
    </row>
    <row r="18" ht="32" customHeight="1">
      <c r="A18" s="2" t="n">
        <v>17</v>
      </c>
      <c r="B18" s="2" t="inlineStr">
        <is>
          <t>② 군웅할거 (192~199)</t>
        </is>
      </c>
      <c r="C18" s="3" t="inlineStr">
        <is>
          <t>서주 양도</t>
        </is>
      </c>
      <c r="D18" s="2" t="inlineStr">
        <is>
          <t>三讓徐州</t>
        </is>
      </c>
      <c r="E18" s="4">
        <f>INDEX(칸!$I$2:$I$416,MATCH(A18,칸!$A$2:$A$416,1))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COUNTIF(칸!$A$2:$A$416,A18)</f>
        <v/>
      </c>
      <c r="I18" s="2">
        <f>SUMIF(칸!$A$2:$A$416,A18,칸!$H$2:$H$416)</f>
        <v/>
      </c>
      <c r="J18" s="2">
        <f>IF(U18&lt;&gt;"",U18,INDEX(비용표!$A$13:$A$17,MATCH(I18,비용표!$B$13:$B$17,1)))</f>
        <v/>
      </c>
      <c r="K18" s="2">
        <f>INDEX(비용표!$C$13:$C$17,MATCH(J18,비용표!$A$13:$A$17,0))</f>
        <v/>
      </c>
      <c r="L18" s="4" t="inlineStr">
        <is>
          <t>유비 통솔+1</t>
        </is>
      </c>
      <c r="M18" s="2" t="inlineStr">
        <is>
          <t>능력치</t>
        </is>
      </c>
      <c r="N18" s="2" t="inlineStr">
        <is>
          <t>유비</t>
        </is>
      </c>
      <c r="O18" s="2" t="inlineStr">
        <is>
          <t>통솔</t>
        </is>
      </c>
      <c r="P18" s="2" t="n">
        <v>1</v>
      </c>
      <c r="Q18" s="4" t="n"/>
      <c r="R18" s="2" t="n"/>
      <c r="S18" s="2" t="n"/>
      <c r="T18" s="2" t="n"/>
      <c r="U18" s="2" t="n"/>
    </row>
    <row r="19" ht="32" customHeight="1">
      <c r="A19" s="2" t="n">
        <v>18</v>
      </c>
      <c r="B19" s="2" t="inlineStr">
        <is>
          <t>② 군웅할거 (192~199)</t>
        </is>
      </c>
      <c r="C19" s="3" t="inlineStr">
        <is>
          <t>술 취한 장비</t>
        </is>
      </c>
      <c r="D19" s="2" t="inlineStr">
        <is>
          <t>張飛醉失徐州</t>
        </is>
      </c>
      <c r="E19" s="4">
        <f>INDEX(칸!$I$2:$I$416,MATCH(A19,칸!$A$2:$A$416,1))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COUNTIF(칸!$A$2:$A$416,A19)</f>
        <v/>
      </c>
      <c r="I19" s="2">
        <f>SUMIF(칸!$A$2:$A$416,A19,칸!$H$2:$H$416)</f>
        <v/>
      </c>
      <c r="J19" s="2">
        <f>IF(U19&lt;&gt;"",U19,INDEX(비용표!$A$13:$A$17,MATCH(I19,비용표!$B$13:$B$17,1)))</f>
        <v/>
      </c>
      <c r="K19" s="2">
        <f>INDEX(비용표!$C$13:$C$17,MATCH(J19,비용표!$A$13:$A$17,0))</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c r="U19" s="2" t="n"/>
    </row>
    <row r="20" ht="32" customHeight="1">
      <c r="A20" s="2" t="n">
        <v>19</v>
      </c>
      <c r="B20" s="2" t="inlineStr">
        <is>
          <t>② 군웅할거 (192~199)</t>
        </is>
      </c>
      <c r="C20" s="3" t="inlineStr">
        <is>
          <t>원문사극</t>
        </is>
      </c>
      <c r="D20" s="2" t="inlineStr">
        <is>
          <t>轅門射戟</t>
        </is>
      </c>
      <c r="E20" s="4">
        <f>INDEX(칸!$I$2:$I$416,MATCH(A20,칸!$A$2:$A$416,1))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COUNTIF(칸!$A$2:$A$416,A20)</f>
        <v/>
      </c>
      <c r="I20" s="2">
        <f>SUMIF(칸!$A$2:$A$416,A20,칸!$H$2:$H$416)</f>
        <v/>
      </c>
      <c r="J20" s="2">
        <f>IF(U20&lt;&gt;"",U20,INDEX(비용표!$A$13:$A$17,MATCH(I20,비용표!$B$13:$B$17,1)))</f>
        <v/>
      </c>
      <c r="K20" s="2">
        <f>INDEX(비용표!$C$13:$C$17,MATCH(J20,비용표!$A$13:$A$17,0))</f>
        <v/>
      </c>
      <c r="L20" s="4" t="inlineStr">
        <is>
          <t>여포 HP+1</t>
        </is>
      </c>
      <c r="M20" s="2" t="inlineStr">
        <is>
          <t>능력치</t>
        </is>
      </c>
      <c r="N20" s="2" t="inlineStr">
        <is>
          <t>여포</t>
        </is>
      </c>
      <c r="O20" s="2" t="inlineStr">
        <is>
          <t>HP</t>
        </is>
      </c>
      <c r="P20" s="2" t="n">
        <v>1</v>
      </c>
      <c r="Q20" s="4" t="n"/>
      <c r="R20" s="2" t="n"/>
      <c r="S20" s="2" t="n"/>
      <c r="T20" s="2" t="n"/>
      <c r="U20" s="2" t="n"/>
    </row>
    <row r="21" ht="32" customHeight="1">
      <c r="A21" s="2" t="n">
        <v>20</v>
      </c>
      <c r="B21" s="2" t="inlineStr">
        <is>
          <t>② 군웅할거 (192~199)</t>
        </is>
      </c>
      <c r="C21" s="3" t="inlineStr">
        <is>
          <t>공융과 태사자</t>
        </is>
      </c>
      <c r="D21" s="2" t="inlineStr">
        <is>
          <t>太史慈救北海</t>
        </is>
      </c>
      <c r="E21" s="4">
        <f>INDEX(칸!$I$2:$I$416,MATCH(A21,칸!$A$2:$A$416,1))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COUNTIF(칸!$A$2:$A$416,A21)</f>
        <v/>
      </c>
      <c r="I21" s="2">
        <f>SUMIF(칸!$A$2:$A$416,A21,칸!$H$2:$H$416)</f>
        <v/>
      </c>
      <c r="J21" s="2">
        <f>IF(U21&lt;&gt;"",U21,INDEX(비용표!$A$13:$A$17,MATCH(I21,비용표!$B$13:$B$17,1)))</f>
        <v/>
      </c>
      <c r="K21" s="2">
        <f>INDEX(비용표!$C$13:$C$17,MATCH(J21,비용표!$A$13:$A$17,0))</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c r="U21" s="2" t="n"/>
    </row>
    <row r="22" ht="32" customHeight="1">
      <c r="A22" s="2" t="n">
        <v>21</v>
      </c>
      <c r="B22" s="2" t="inlineStr">
        <is>
          <t>② 군웅할거 (192~199)</t>
        </is>
      </c>
      <c r="C22" s="3" t="inlineStr">
        <is>
          <t>인중여포 마중적토</t>
        </is>
      </c>
      <c r="D22" s="2" t="inlineStr">
        <is>
          <t>人中呂布馬中赤兔</t>
        </is>
      </c>
      <c r="E22" s="4">
        <f>INDEX(칸!$I$2:$I$416,MATCH(A22,칸!$A$2:$A$416,1))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COUNTIF(칸!$A$2:$A$416,A22)</f>
        <v/>
      </c>
      <c r="I22" s="2">
        <f>SUMIF(칸!$A$2:$A$416,A22,칸!$H$2:$H$416)</f>
        <v/>
      </c>
      <c r="J22" s="2">
        <f>IF(U22&lt;&gt;"",U22,INDEX(비용표!$A$13:$A$17,MATCH(I22,비용표!$B$13:$B$17,1)))</f>
        <v/>
      </c>
      <c r="K22" s="2">
        <f>INDEX(비용표!$C$13:$C$17,MATCH(J22,비용표!$A$13:$A$17,0))</f>
        <v/>
      </c>
      <c r="L22" s="4" t="inlineStr">
        <is>
          <t>여포의 「인중여포 마중적토」 SP 6 → 5</t>
        </is>
      </c>
      <c r="M22" s="2" t="inlineStr">
        <is>
          <t>고유기술SP</t>
        </is>
      </c>
      <c r="N22" s="2" t="inlineStr">
        <is>
          <t>여포</t>
        </is>
      </c>
      <c r="O22" s="2" t="n"/>
      <c r="P22" s="2" t="n">
        <v>-1</v>
      </c>
      <c r="Q22" s="4" t="n"/>
      <c r="R22" s="2" t="n"/>
      <c r="S22" s="2" t="n"/>
      <c r="T22" s="2" t="n"/>
      <c r="U22" s="2" t="inlineStr">
        <is>
          <t>전설</t>
        </is>
      </c>
    </row>
    <row r="23" ht="32" customHeight="1">
      <c r="A23" s="2" t="n">
        <v>22</v>
      </c>
      <c r="B23" s="2" t="inlineStr">
        <is>
          <t>② 군웅할거 (192~199)</t>
        </is>
      </c>
      <c r="C23" s="3" t="inlineStr">
        <is>
          <t>함진영</t>
        </is>
      </c>
      <c r="D23" s="2" t="inlineStr">
        <is>
          <t>陷陣營</t>
        </is>
      </c>
      <c r="E23" s="4">
        <f>INDEX(칸!$I$2:$I$416,MATCH(A23,칸!$A$2:$A$416,1))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COUNTIF(칸!$A$2:$A$416,A23)</f>
        <v/>
      </c>
      <c r="I23" s="2">
        <f>SUMIF(칸!$A$2:$A$416,A23,칸!$H$2:$H$416)</f>
        <v/>
      </c>
      <c r="J23" s="2">
        <f>IF(U23&lt;&gt;"",U23,INDEX(비용표!$A$13:$A$17,MATCH(I23,비용표!$B$13:$B$17,1)))</f>
        <v/>
      </c>
      <c r="K23" s="2">
        <f>INDEX(비용표!$C$13:$C$17,MATCH(J23,비용표!$A$13:$A$17,0))</f>
        <v/>
      </c>
      <c r="L23" s="4" t="inlineStr">
        <is>
          <t>고순 통솔+1</t>
        </is>
      </c>
      <c r="M23" s="2" t="inlineStr">
        <is>
          <t>능력치</t>
        </is>
      </c>
      <c r="N23" s="2" t="inlineStr">
        <is>
          <t>고순</t>
        </is>
      </c>
      <c r="O23" s="2" t="inlineStr">
        <is>
          <t>통솔</t>
        </is>
      </c>
      <c r="P23" s="2" t="n">
        <v>1</v>
      </c>
      <c r="Q23" s="4" t="n"/>
      <c r="R23" s="2" t="n"/>
      <c r="S23" s="2" t="n"/>
      <c r="T23" s="2" t="n"/>
      <c r="U23" s="2" t="n"/>
    </row>
    <row r="24" ht="32" customHeight="1">
      <c r="A24" s="2" t="n">
        <v>23</v>
      </c>
      <c r="B24" s="2" t="inlineStr">
        <is>
          <t>② 군웅할거 (192~199)</t>
        </is>
      </c>
      <c r="C24" s="3" t="inlineStr">
        <is>
          <t>하비성 백문루</t>
        </is>
      </c>
      <c r="D24" s="2" t="inlineStr">
        <is>
          <t>白門樓</t>
        </is>
      </c>
      <c r="E24" s="4">
        <f>INDEX(칸!$I$2:$I$416,MATCH(A24,칸!$A$2:$A$416,1))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COUNTIF(칸!$A$2:$A$416,A24)</f>
        <v/>
      </c>
      <c r="I24" s="2">
        <f>SUMIF(칸!$A$2:$A$416,A24,칸!$H$2:$H$416)</f>
        <v/>
      </c>
      <c r="J24" s="2">
        <f>IF(U24&lt;&gt;"",U24,INDEX(비용표!$A$13:$A$17,MATCH(I24,비용표!$B$13:$B$17,1)))</f>
        <v/>
      </c>
      <c r="K24" s="2">
        <f>INDEX(비용표!$C$13:$C$17,MATCH(J24,비용표!$A$13:$A$17,0))</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c r="U24" s="2" t="n"/>
    </row>
    <row r="25" ht="32" customHeight="1">
      <c r="A25" s="2" t="n">
        <v>24</v>
      </c>
      <c r="B25" s="2" t="inlineStr">
        <is>
          <t>② 군웅할거 (192~199)</t>
        </is>
      </c>
      <c r="C25" s="3" t="inlineStr">
        <is>
          <t>진등 부자</t>
        </is>
      </c>
      <c r="D25" s="2" t="inlineStr">
        <is>
          <t>陳登父子</t>
        </is>
      </c>
      <c r="E25" s="4">
        <f>INDEX(칸!$I$2:$I$416,MATCH(A25,칸!$A$2:$A$416,1))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COUNTIF(칸!$A$2:$A$416,A25)</f>
        <v/>
      </c>
      <c r="I25" s="2">
        <f>SUMIF(칸!$A$2:$A$416,A25,칸!$H$2:$H$416)</f>
        <v/>
      </c>
      <c r="J25" s="2">
        <f>IF(U25&lt;&gt;"",U25,INDEX(비용표!$A$13:$A$17,MATCH(I25,비용표!$B$13:$B$17,1)))</f>
        <v/>
      </c>
      <c r="K25" s="2">
        <f>INDEX(비용표!$C$13:$C$17,MATCH(J25,비용표!$A$13:$A$17,0))</f>
        <v/>
      </c>
      <c r="L25" s="4" t="inlineStr">
        <is>
          <t>진등 지력+2</t>
        </is>
      </c>
      <c r="M25" s="2" t="inlineStr">
        <is>
          <t>능력치</t>
        </is>
      </c>
      <c r="N25" s="2" t="inlineStr">
        <is>
          <t>진등</t>
        </is>
      </c>
      <c r="O25" s="2" t="inlineStr">
        <is>
          <t>지력</t>
        </is>
      </c>
      <c r="P25" s="2" t="n">
        <v>2</v>
      </c>
      <c r="Q25" s="4" t="n"/>
      <c r="R25" s="2" t="n"/>
      <c r="S25" s="2" t="n"/>
      <c r="T25" s="2" t="n"/>
      <c r="U25" s="2" t="n"/>
    </row>
    <row r="26" ht="32" customHeight="1">
      <c r="A26" s="2" t="n">
        <v>25</v>
      </c>
      <c r="B26" s="2" t="inlineStr">
        <is>
          <t>② 군웅할거 (192~199)</t>
        </is>
      </c>
      <c r="C26" s="3" t="inlineStr">
        <is>
          <t>원술 칭제</t>
        </is>
      </c>
      <c r="D26" s="2" t="inlineStr">
        <is>
          <t>袁術稱帝</t>
        </is>
      </c>
      <c r="E26" s="4">
        <f>INDEX(칸!$I$2:$I$416,MATCH(A26,칸!$A$2:$A$416,1))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COUNTIF(칸!$A$2:$A$416,A26)</f>
        <v/>
      </c>
      <c r="I26" s="2">
        <f>SUMIF(칸!$A$2:$A$416,A26,칸!$H$2:$H$416)</f>
        <v/>
      </c>
      <c r="J26" s="2">
        <f>IF(U26&lt;&gt;"",U26,INDEX(비용표!$A$13:$A$17,MATCH(I26,비용표!$B$13:$B$17,1)))</f>
        <v/>
      </c>
      <c r="K26" s="2">
        <f>INDEX(비용표!$C$13:$C$17,MATCH(J26,비용표!$A$13:$A$17,0))</f>
        <v/>
      </c>
      <c r="L26" s="4" t="inlineStr">
        <is>
          <t>최대 군량 +2</t>
        </is>
      </c>
      <c r="M26" s="2" t="inlineStr">
        <is>
          <t>도시</t>
        </is>
      </c>
      <c r="N26" s="2" t="n"/>
      <c r="O26" s="2" t="n"/>
      <c r="P26" s="2" t="n">
        <v>2</v>
      </c>
      <c r="Q26" s="4" t="n"/>
      <c r="R26" s="2" t="n"/>
      <c r="S26" s="2" t="n"/>
      <c r="T26" s="2" t="inlineStr">
        <is>
          <t>grainCap</t>
        </is>
      </c>
      <c r="U26" s="2" t="n"/>
    </row>
    <row r="27" ht="32" customHeight="1">
      <c r="A27" s="2" t="n">
        <v>26</v>
      </c>
      <c r="B27" s="2" t="inlineStr">
        <is>
          <t>② 군웅할거 (192~199)</t>
        </is>
      </c>
      <c r="C27" s="3" t="inlineStr">
        <is>
          <t>역경 함락</t>
        </is>
      </c>
      <c r="D27" s="2" t="inlineStr">
        <is>
          <t>易京陷落</t>
        </is>
      </c>
      <c r="E27" s="4">
        <f>INDEX(칸!$I$2:$I$416,MATCH(A27,칸!$A$2:$A$416,1))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COUNTIF(칸!$A$2:$A$416,A27)</f>
        <v/>
      </c>
      <c r="I27" s="2">
        <f>SUMIF(칸!$A$2:$A$416,A27,칸!$H$2:$H$416)</f>
        <v/>
      </c>
      <c r="J27" s="2">
        <f>IF(U27&lt;&gt;"",U27,INDEX(비용표!$A$13:$A$17,MATCH(I27,비용표!$B$13:$B$17,1)))</f>
        <v/>
      </c>
      <c r="K27" s="2">
        <f>INDEX(비용표!$C$13:$C$17,MATCH(J27,비용표!$A$13:$A$17,0))</f>
        <v/>
      </c>
      <c r="L27" s="4" t="inlineStr">
        <is>
          <t>공손찬 HP+1</t>
        </is>
      </c>
      <c r="M27" s="2" t="inlineStr">
        <is>
          <t>능력치</t>
        </is>
      </c>
      <c r="N27" s="2" t="inlineStr">
        <is>
          <t>공손찬</t>
        </is>
      </c>
      <c r="O27" s="2" t="inlineStr">
        <is>
          <t>HP</t>
        </is>
      </c>
      <c r="P27" s="2" t="n">
        <v>1</v>
      </c>
      <c r="Q27" s="4" t="n"/>
      <c r="R27" s="2" t="n"/>
      <c r="S27" s="2" t="n"/>
      <c r="T27" s="2" t="n"/>
      <c r="U27" s="2" t="n"/>
    </row>
    <row r="28" ht="48" customHeight="1">
      <c r="A28" s="2" t="n">
        <v>27</v>
      </c>
      <c r="B28" s="2" t="inlineStr">
        <is>
          <t>② 군웅할거 (192~199)</t>
        </is>
      </c>
      <c r="C28" s="3" t="inlineStr">
        <is>
          <t>신정산의 일기토</t>
        </is>
      </c>
      <c r="D28" s="2" t="inlineStr">
        <is>
          <t>神亭山一騎討</t>
        </is>
      </c>
      <c r="E28" s="4">
        <f>INDEX(칸!$I$2:$I$416,MATCH(A28,칸!$A$2:$A$416,1))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COUNTIF(칸!$A$2:$A$416,A28)</f>
        <v/>
      </c>
      <c r="I28" s="2">
        <f>SUMIF(칸!$A$2:$A$416,A28,칸!$H$2:$H$416)</f>
        <v/>
      </c>
      <c r="J28" s="2">
        <f>IF(U28&lt;&gt;"",U28,INDEX(비용표!$A$13:$A$17,MATCH(I28,비용표!$B$13:$B$17,1)))</f>
        <v/>
      </c>
      <c r="K28" s="2">
        <f>INDEX(비용표!$C$13:$C$17,MATCH(J28,비용표!$A$13:$A$17,0))</f>
        <v/>
      </c>
      <c r="L28" s="4" t="inlineStr">
        <is>
          <t>태사자 무력+1</t>
        </is>
      </c>
      <c r="M28" s="2" t="inlineStr">
        <is>
          <t>능력치</t>
        </is>
      </c>
      <c r="N28" s="2" t="inlineStr">
        <is>
          <t>태사자</t>
        </is>
      </c>
      <c r="O28" s="2" t="inlineStr">
        <is>
          <t>무력</t>
        </is>
      </c>
      <c r="P28" s="2" t="n">
        <v>1</v>
      </c>
      <c r="Q28" s="4" t="n"/>
      <c r="R28" s="2" t="n"/>
      <c r="S28" s="2" t="n"/>
      <c r="T28" s="2" t="n"/>
      <c r="U28" s="2" t="n"/>
    </row>
    <row r="29" ht="32" customHeight="1">
      <c r="A29" s="2" t="n">
        <v>28</v>
      </c>
      <c r="B29" s="2" t="inlineStr">
        <is>
          <t>② 군웅할거 (192~199)</t>
        </is>
      </c>
      <c r="C29" s="3" t="inlineStr">
        <is>
          <t>내사는 장소에게</t>
        </is>
      </c>
      <c r="D29" s="2" t="inlineStr">
        <is>
          <t>內事問張昭</t>
        </is>
      </c>
      <c r="E29" s="4">
        <f>INDEX(칸!$I$2:$I$416,MATCH(A29,칸!$A$2:$A$416,1))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COUNTIF(칸!$A$2:$A$416,A29)</f>
        <v/>
      </c>
      <c r="I29" s="2">
        <f>SUMIF(칸!$A$2:$A$416,A29,칸!$H$2:$H$416)</f>
        <v/>
      </c>
      <c r="J29" s="2">
        <f>IF(U29&lt;&gt;"",U29,INDEX(비용표!$A$13:$A$17,MATCH(I29,비용표!$B$13:$B$17,1)))</f>
        <v/>
      </c>
      <c r="K29" s="2">
        <f>INDEX(비용표!$C$13:$C$17,MATCH(J29,비용표!$A$13:$A$17,0))</f>
        <v/>
      </c>
      <c r="L29" s="4" t="inlineStr">
        <is>
          <t>장소 통솔+2</t>
        </is>
      </c>
      <c r="M29" s="2" t="inlineStr">
        <is>
          <t>능력치</t>
        </is>
      </c>
      <c r="N29" s="2" t="inlineStr">
        <is>
          <t>장소</t>
        </is>
      </c>
      <c r="O29" s="2" t="inlineStr">
        <is>
          <t>통솔</t>
        </is>
      </c>
      <c r="P29" s="2" t="n">
        <v>2</v>
      </c>
      <c r="Q29" s="4" t="n"/>
      <c r="R29" s="2" t="n"/>
      <c r="S29" s="2" t="n"/>
      <c r="T29" s="2" t="n"/>
      <c r="U29" s="2" t="n"/>
    </row>
    <row r="30" ht="32" customHeight="1">
      <c r="A30" s="2" t="n">
        <v>29</v>
      </c>
      <c r="B30" s="2" t="inlineStr">
        <is>
          <t>② 군웅할거 (192~199)</t>
        </is>
      </c>
      <c r="C30" s="3" t="inlineStr">
        <is>
          <t>완성의 밤</t>
        </is>
      </c>
      <c r="D30" s="2" t="inlineStr">
        <is>
          <t>宛城之夜</t>
        </is>
      </c>
      <c r="E30" s="4">
        <f>INDEX(칸!$I$2:$I$416,MATCH(A30,칸!$A$2:$A$416,1))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COUNTIF(칸!$A$2:$A$416,A30)</f>
        <v/>
      </c>
      <c r="I30" s="2">
        <f>SUMIF(칸!$A$2:$A$416,A30,칸!$H$2:$H$416)</f>
        <v/>
      </c>
      <c r="J30" s="2">
        <f>IF(U30&lt;&gt;"",U30,INDEX(비용표!$A$13:$A$17,MATCH(I30,비용표!$B$13:$B$17,1)))</f>
        <v/>
      </c>
      <c r="K30" s="2">
        <f>INDEX(비용표!$C$13:$C$17,MATCH(J30,비용표!$A$13:$A$17,0))</f>
        <v/>
      </c>
      <c r="L30" s="4" t="inlineStr">
        <is>
          <t>장수 통솔+2</t>
        </is>
      </c>
      <c r="M30" s="2" t="inlineStr">
        <is>
          <t>능력치</t>
        </is>
      </c>
      <c r="N30" s="2" t="inlineStr">
        <is>
          <t>장수</t>
        </is>
      </c>
      <c r="O30" s="2" t="inlineStr">
        <is>
          <t>통솔</t>
        </is>
      </c>
      <c r="P30" s="2" t="n">
        <v>2</v>
      </c>
      <c r="Q30" s="4" t="n"/>
      <c r="R30" s="2" t="n"/>
      <c r="S30" s="2" t="n"/>
      <c r="T30" s="2" t="n"/>
      <c r="U30" s="2" t="n"/>
    </row>
    <row r="31" ht="32" customHeight="1">
      <c r="A31" s="2" t="n">
        <v>30</v>
      </c>
      <c r="B31" s="2" t="inlineStr">
        <is>
          <t>② 군웅할거 (192~199)</t>
        </is>
      </c>
      <c r="C31" s="3" t="inlineStr">
        <is>
          <t>가후의 계책</t>
        </is>
      </c>
      <c r="D31" s="2" t="inlineStr">
        <is>
          <t>賈詡之計</t>
        </is>
      </c>
      <c r="E31" s="4">
        <f>INDEX(칸!$I$2:$I$416,MATCH(A31,칸!$A$2:$A$416,1))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COUNTIF(칸!$A$2:$A$416,A31)</f>
        <v/>
      </c>
      <c r="I31" s="2">
        <f>SUMIF(칸!$A$2:$A$416,A31,칸!$H$2:$H$416)</f>
        <v/>
      </c>
      <c r="J31" s="2">
        <f>IF(U31&lt;&gt;"",U31,INDEX(비용표!$A$13:$A$17,MATCH(I31,비용표!$B$13:$B$17,1)))</f>
        <v/>
      </c>
      <c r="K31" s="2">
        <f>INDEX(비용표!$C$13:$C$17,MATCH(J31,비용표!$A$13:$A$17,0))</f>
        <v/>
      </c>
      <c r="L31" s="4" t="inlineStr">
        <is>
          <t>가후 통솔+1</t>
        </is>
      </c>
      <c r="M31" s="2" t="inlineStr">
        <is>
          <t>능력치</t>
        </is>
      </c>
      <c r="N31" s="2" t="inlineStr">
        <is>
          <t>가후</t>
        </is>
      </c>
      <c r="O31" s="2" t="inlineStr">
        <is>
          <t>통솔</t>
        </is>
      </c>
      <c r="P31" s="2" t="n">
        <v>1</v>
      </c>
      <c r="Q31" s="4" t="n"/>
      <c r="R31" s="2" t="n"/>
      <c r="S31" s="2" t="n"/>
      <c r="T31" s="2" t="n"/>
      <c r="U31" s="2" t="n"/>
    </row>
    <row r="32" ht="32" customHeight="1">
      <c r="A32" s="2" t="n">
        <v>31</v>
      </c>
      <c r="B32" s="2" t="inlineStr">
        <is>
          <t>② 군웅할거 (192~199)</t>
        </is>
      </c>
      <c r="C32" s="3" t="inlineStr">
        <is>
          <t>청매자주 영웅론</t>
        </is>
      </c>
      <c r="D32" s="2" t="inlineStr">
        <is>
          <t>青梅煮酒論英雄</t>
        </is>
      </c>
      <c r="E32" s="4">
        <f>INDEX(칸!$I$2:$I$416,MATCH(A32,칸!$A$2:$A$416,1))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COUNTIF(칸!$A$2:$A$416,A32)</f>
        <v/>
      </c>
      <c r="I32" s="2">
        <f>SUMIF(칸!$A$2:$A$416,A32,칸!$H$2:$H$416)</f>
        <v/>
      </c>
      <c r="J32" s="2">
        <f>IF(U32&lt;&gt;"",U32,INDEX(비용표!$A$13:$A$17,MATCH(I32,비용표!$B$13:$B$17,1)))</f>
        <v/>
      </c>
      <c r="K32" s="2">
        <f>INDEX(비용표!$C$13:$C$17,MATCH(J32,비용표!$A$13:$A$17,0))</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c r="U32" s="2" t="n"/>
    </row>
    <row r="33" ht="32" customHeight="1">
      <c r="A33" s="2" t="n">
        <v>32</v>
      </c>
      <c r="B33" s="2" t="inlineStr">
        <is>
          <t>② 군웅할거 (192~199)</t>
        </is>
      </c>
      <c r="C33" s="3" t="inlineStr">
        <is>
          <t>의대조</t>
        </is>
      </c>
      <c r="D33" s="2" t="inlineStr">
        <is>
          <t>衣帶詔</t>
        </is>
      </c>
      <c r="E33" s="4">
        <f>INDEX(칸!$I$2:$I$416,MATCH(A33,칸!$A$2:$A$416,1))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COUNTIF(칸!$A$2:$A$416,A33)</f>
        <v/>
      </c>
      <c r="I33" s="2">
        <f>SUMIF(칸!$A$2:$A$416,A33,칸!$H$2:$H$416)</f>
        <v/>
      </c>
      <c r="J33" s="2">
        <f>IF(U33&lt;&gt;"",U33,INDEX(비용표!$A$13:$A$17,MATCH(I33,비용표!$B$13:$B$17,1)))</f>
        <v/>
      </c>
      <c r="K33" s="2">
        <f>INDEX(비용표!$C$13:$C$17,MATCH(J33,비용표!$A$13:$A$17,0))</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c r="U33" s="2" t="n"/>
    </row>
    <row r="34" ht="48" customHeight="1">
      <c r="A34" s="2" t="n">
        <v>33</v>
      </c>
      <c r="B34" s="2" t="inlineStr">
        <is>
          <t>③ 관도 (200~207)</t>
        </is>
      </c>
      <c r="C34" s="3" t="inlineStr">
        <is>
          <t>토산의 세 가지 약속</t>
        </is>
      </c>
      <c r="D34" s="2" t="inlineStr">
        <is>
          <t>土山約三事</t>
        </is>
      </c>
      <c r="E34" s="4">
        <f>INDEX(칸!$I$2:$I$416,MATCH(A34,칸!$A$2:$A$416,1))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COUNTIF(칸!$A$2:$A$416,A34)</f>
        <v/>
      </c>
      <c r="I34" s="2">
        <f>SUMIF(칸!$A$2:$A$416,A34,칸!$H$2:$H$416)</f>
        <v/>
      </c>
      <c r="J34" s="2">
        <f>IF(U34&lt;&gt;"",U34,INDEX(비용표!$A$13:$A$17,MATCH(I34,비용표!$B$13:$B$17,1)))</f>
        <v/>
      </c>
      <c r="K34" s="2">
        <f>INDEX(비용표!$C$13:$C$17,MATCH(J34,비용표!$A$13:$A$17,0))</f>
        <v/>
      </c>
      <c r="L34" s="4" t="inlineStr">
        <is>
          <t>장료 지력+1</t>
        </is>
      </c>
      <c r="M34" s="2" t="inlineStr">
        <is>
          <t>능력치</t>
        </is>
      </c>
      <c r="N34" s="2" t="inlineStr">
        <is>
          <t>장료</t>
        </is>
      </c>
      <c r="O34" s="2" t="inlineStr">
        <is>
          <t>지력</t>
        </is>
      </c>
      <c r="P34" s="2" t="n">
        <v>1</v>
      </c>
      <c r="Q34" s="4" t="n"/>
      <c r="R34" s="2" t="n"/>
      <c r="S34" s="2" t="n"/>
      <c r="T34" s="2" t="n"/>
      <c r="U34" s="2" t="n"/>
    </row>
    <row r="35" ht="32" customHeight="1">
      <c r="A35" s="2" t="n">
        <v>34</v>
      </c>
      <c r="B35" s="2" t="inlineStr">
        <is>
          <t>③ 관도 (200~207)</t>
        </is>
      </c>
      <c r="C35" s="3" t="inlineStr">
        <is>
          <t>십승십패론</t>
        </is>
      </c>
      <c r="D35" s="2" t="inlineStr">
        <is>
          <t>十勝十敗論</t>
        </is>
      </c>
      <c r="E35" s="4">
        <f>INDEX(칸!$I$2:$I$416,MATCH(A35,칸!$A$2:$A$416,1))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COUNTIF(칸!$A$2:$A$416,A35)</f>
        <v/>
      </c>
      <c r="I35" s="2">
        <f>SUMIF(칸!$A$2:$A$416,A35,칸!$H$2:$H$416)</f>
        <v/>
      </c>
      <c r="J35" s="2">
        <f>IF(U35&lt;&gt;"",U35,INDEX(비용표!$A$13:$A$17,MATCH(I35,비용표!$B$13:$B$17,1)))</f>
        <v/>
      </c>
      <c r="K35" s="2">
        <f>INDEX(비용표!$C$13:$C$17,MATCH(J35,비용표!$A$13:$A$17,0))</f>
        <v/>
      </c>
      <c r="L35" s="4" t="inlineStr">
        <is>
          <t>곽가 통솔+2</t>
        </is>
      </c>
      <c r="M35" s="2" t="inlineStr">
        <is>
          <t>능력치</t>
        </is>
      </c>
      <c r="N35" s="2" t="inlineStr">
        <is>
          <t>곽가</t>
        </is>
      </c>
      <c r="O35" s="2" t="inlineStr">
        <is>
          <t>통솔</t>
        </is>
      </c>
      <c r="P35" s="2" t="n">
        <v>2</v>
      </c>
      <c r="Q35" s="4" t="n"/>
      <c r="R35" s="2" t="n"/>
      <c r="S35" s="2" t="n"/>
      <c r="T35" s="2" t="n"/>
      <c r="U35" s="2" t="n"/>
    </row>
    <row r="36" ht="32" customHeight="1">
      <c r="A36" s="2" t="n">
        <v>35</v>
      </c>
      <c r="B36" s="2" t="inlineStr">
        <is>
          <t>③ 관도 (200~207)</t>
        </is>
      </c>
      <c r="C36" s="3" t="inlineStr">
        <is>
          <t>왕좌지재</t>
        </is>
      </c>
      <c r="D36" s="2" t="inlineStr">
        <is>
          <t>王佐之才</t>
        </is>
      </c>
      <c r="E36" s="4">
        <f>INDEX(칸!$I$2:$I$416,MATCH(A36,칸!$A$2:$A$416,1))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COUNTIF(칸!$A$2:$A$416,A36)</f>
        <v/>
      </c>
      <c r="I36" s="2">
        <f>SUMIF(칸!$A$2:$A$416,A36,칸!$H$2:$H$416)</f>
        <v/>
      </c>
      <c r="J36" s="2">
        <f>IF(U36&lt;&gt;"",U36,INDEX(비용표!$A$13:$A$17,MATCH(I36,비용표!$B$13:$B$17,1)))</f>
        <v/>
      </c>
      <c r="K36" s="2">
        <f>INDEX(비용표!$C$13:$C$17,MATCH(J36,비용표!$A$13:$A$17,0))</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c r="U36" s="2" t="n"/>
    </row>
    <row r="37" ht="32" customHeight="1">
      <c r="A37" s="2" t="n">
        <v>36</v>
      </c>
      <c r="B37" s="2" t="inlineStr">
        <is>
          <t>③ 관도 (200~207)</t>
        </is>
      </c>
      <c r="C37" s="3" t="inlineStr">
        <is>
          <t>원소의 모사들</t>
        </is>
      </c>
      <c r="D37" s="2" t="inlineStr">
        <is>
          <t>袁紹謀士</t>
        </is>
      </c>
      <c r="E37" s="4">
        <f>INDEX(칸!$I$2:$I$416,MATCH(A37,칸!$A$2:$A$416,1))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COUNTIF(칸!$A$2:$A$416,A37)</f>
        <v/>
      </c>
      <c r="I37" s="2">
        <f>SUMIF(칸!$A$2:$A$416,A37,칸!$H$2:$H$416)</f>
        <v/>
      </c>
      <c r="J37" s="2">
        <f>IF(U37&lt;&gt;"",U37,INDEX(비용표!$A$13:$A$17,MATCH(I37,비용표!$B$13:$B$17,1)))</f>
        <v/>
      </c>
      <c r="K37" s="2">
        <f>INDEX(비용표!$C$13:$C$17,MATCH(J37,비용표!$A$13:$A$17,0))</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c r="U37" s="2" t="n"/>
    </row>
    <row r="38" ht="32" customHeight="1">
      <c r="A38" s="2" t="n">
        <v>37</v>
      </c>
      <c r="B38" s="2" t="inlineStr">
        <is>
          <t>③ 관도 (200~207)</t>
        </is>
      </c>
      <c r="C38" s="3" t="inlineStr">
        <is>
          <t>하북의 두 기둥</t>
        </is>
      </c>
      <c r="D38" s="2" t="inlineStr">
        <is>
          <t>河北雙壁</t>
        </is>
      </c>
      <c r="E38" s="4">
        <f>INDEX(칸!$I$2:$I$416,MATCH(A38,칸!$A$2:$A$416,1))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COUNTIF(칸!$A$2:$A$416,A38)</f>
        <v/>
      </c>
      <c r="I38" s="2">
        <f>SUMIF(칸!$A$2:$A$416,A38,칸!$H$2:$H$416)</f>
        <v/>
      </c>
      <c r="J38" s="2">
        <f>IF(U38&lt;&gt;"",U38,INDEX(비용표!$A$13:$A$17,MATCH(I38,비용표!$B$13:$B$17,1)))</f>
        <v/>
      </c>
      <c r="K38" s="2">
        <f>INDEX(비용표!$C$13:$C$17,MATCH(J38,비용표!$A$13:$A$17,0))</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c r="U38" s="2" t="n"/>
    </row>
    <row r="39" ht="32" customHeight="1">
      <c r="A39" s="2" t="n">
        <v>38</v>
      </c>
      <c r="B39" s="2" t="inlineStr">
        <is>
          <t>③ 관도 (200~207)</t>
        </is>
      </c>
      <c r="C39" s="3" t="inlineStr">
        <is>
          <t>관도대전</t>
        </is>
      </c>
      <c r="D39" s="2" t="inlineStr">
        <is>
          <t>官渡之戰</t>
        </is>
      </c>
      <c r="E39" s="4">
        <f>INDEX(칸!$I$2:$I$416,MATCH(A39,칸!$A$2:$A$416,1))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COUNTIF(칸!$A$2:$A$416,A39)</f>
        <v/>
      </c>
      <c r="I39" s="2">
        <f>SUMIF(칸!$A$2:$A$416,A39,칸!$H$2:$H$416)</f>
        <v/>
      </c>
      <c r="J39" s="2">
        <f>IF(U39&lt;&gt;"",U39,INDEX(비용표!$A$13:$A$17,MATCH(I39,비용표!$B$13:$B$17,1)))</f>
        <v/>
      </c>
      <c r="K39" s="2">
        <f>INDEX(비용표!$C$13:$C$17,MATCH(J39,비용표!$A$13:$A$17,0))</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c r="U39" s="2" t="inlineStr">
        <is>
          <t>천하</t>
        </is>
      </c>
    </row>
    <row r="40" ht="32" customHeight="1">
      <c r="A40" s="2" t="n">
        <v>39</v>
      </c>
      <c r="B40" s="2" t="inlineStr">
        <is>
          <t>③ 관도 (200~207)</t>
        </is>
      </c>
      <c r="C40" s="3" t="inlineStr">
        <is>
          <t>오소 기습</t>
        </is>
      </c>
      <c r="D40" s="2" t="inlineStr">
        <is>
          <t>火燒烏巢</t>
        </is>
      </c>
      <c r="E40" s="4">
        <f>INDEX(칸!$I$2:$I$416,MATCH(A40,칸!$A$2:$A$416,1))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COUNTIF(칸!$A$2:$A$416,A40)</f>
        <v/>
      </c>
      <c r="I40" s="2">
        <f>SUMIF(칸!$A$2:$A$416,A40,칸!$H$2:$H$416)</f>
        <v/>
      </c>
      <c r="J40" s="2">
        <f>IF(U40&lt;&gt;"",U40,INDEX(비용표!$A$13:$A$17,MATCH(I40,비용표!$B$13:$B$17,1)))</f>
        <v/>
      </c>
      <c r="K40" s="2">
        <f>INDEX(비용표!$C$13:$C$17,MATCH(J40,비용표!$A$13:$A$17,0))</f>
        <v/>
      </c>
      <c r="L40" s="4" t="inlineStr">
        <is>
          <t>최대 군량 +2</t>
        </is>
      </c>
      <c r="M40" s="2" t="inlineStr">
        <is>
          <t>도시</t>
        </is>
      </c>
      <c r="N40" s="2" t="n"/>
      <c r="O40" s="2" t="n"/>
      <c r="P40" s="2" t="n">
        <v>2</v>
      </c>
      <c r="Q40" s="4" t="n"/>
      <c r="R40" s="2" t="n"/>
      <c r="S40" s="2" t="n"/>
      <c r="T40" s="2" t="inlineStr">
        <is>
          <t>grainCap</t>
        </is>
      </c>
      <c r="U40" s="2" t="n"/>
    </row>
    <row r="41" ht="32" customHeight="1">
      <c r="A41" s="2" t="n">
        <v>40</v>
      </c>
      <c r="B41" s="2" t="inlineStr">
        <is>
          <t>③ 관도 (200~207)</t>
        </is>
      </c>
      <c r="C41" s="3" t="inlineStr">
        <is>
          <t>오관참육장</t>
        </is>
      </c>
      <c r="D41" s="2" t="inlineStr">
        <is>
          <t>過五關斬六將</t>
        </is>
      </c>
      <c r="E41" s="4">
        <f>INDEX(칸!$I$2:$I$416,MATCH(A41,칸!$A$2:$A$416,1))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COUNTIF(칸!$A$2:$A$416,A41)</f>
        <v/>
      </c>
      <c r="I41" s="2">
        <f>SUMIF(칸!$A$2:$A$416,A41,칸!$H$2:$H$416)</f>
        <v/>
      </c>
      <c r="J41" s="2">
        <f>IF(U41&lt;&gt;"",U41,INDEX(비용표!$A$13:$A$17,MATCH(I41,비용표!$B$13:$B$17,1)))</f>
        <v/>
      </c>
      <c r="K41" s="2">
        <f>INDEX(비용표!$C$13:$C$17,MATCH(J41,비용표!$A$13:$A$17,0))</f>
        <v/>
      </c>
      <c r="L41" s="4" t="inlineStr">
        <is>
          <t>관우 통솔+2</t>
        </is>
      </c>
      <c r="M41" s="2" t="inlineStr">
        <is>
          <t>능력치</t>
        </is>
      </c>
      <c r="N41" s="2" t="inlineStr">
        <is>
          <t>관우</t>
        </is>
      </c>
      <c r="O41" s="2" t="inlineStr">
        <is>
          <t>통솔</t>
        </is>
      </c>
      <c r="P41" s="2" t="n">
        <v>2</v>
      </c>
      <c r="Q41" s="4" t="n"/>
      <c r="R41" s="2" t="n"/>
      <c r="S41" s="2" t="n"/>
      <c r="T41" s="2" t="n"/>
      <c r="U41" s="2" t="n"/>
    </row>
    <row r="42" ht="32" customHeight="1">
      <c r="A42" s="2" t="n">
        <v>41</v>
      </c>
      <c r="B42" s="2" t="inlineStr">
        <is>
          <t>③ 관도 (200~207)</t>
        </is>
      </c>
      <c r="C42" s="3" t="inlineStr">
        <is>
          <t>고성의 재회</t>
        </is>
      </c>
      <c r="D42" s="2" t="inlineStr">
        <is>
          <t>古城相會</t>
        </is>
      </c>
      <c r="E42" s="4">
        <f>INDEX(칸!$I$2:$I$416,MATCH(A42,칸!$A$2:$A$416,1))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COUNTIF(칸!$A$2:$A$416,A42)</f>
        <v/>
      </c>
      <c r="I42" s="2">
        <f>SUMIF(칸!$A$2:$A$416,A42,칸!$H$2:$H$416)</f>
        <v/>
      </c>
      <c r="J42" s="2">
        <f>IF(U42&lt;&gt;"",U42,INDEX(비용표!$A$13:$A$17,MATCH(I42,비용표!$B$13:$B$17,1)))</f>
        <v/>
      </c>
      <c r="K42" s="2">
        <f>INDEX(비용표!$C$13:$C$17,MATCH(J42,비용표!$A$13:$A$17,0))</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c r="U42" s="2" t="n"/>
    </row>
    <row r="43" ht="32" customHeight="1">
      <c r="A43" s="2" t="n">
        <v>42</v>
      </c>
      <c r="B43" s="2" t="inlineStr">
        <is>
          <t>③ 관도 (200~207)</t>
        </is>
      </c>
      <c r="C43" s="3" t="inlineStr">
        <is>
          <t>발시담정</t>
        </is>
      </c>
      <c r="D43" s="2" t="inlineStr">
        <is>
          <t>拔矢啖睛</t>
        </is>
      </c>
      <c r="E43" s="4">
        <f>INDEX(칸!$I$2:$I$416,MATCH(A43,칸!$A$2:$A$416,1))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COUNTIF(칸!$A$2:$A$416,A43)</f>
        <v/>
      </c>
      <c r="I43" s="2">
        <f>SUMIF(칸!$A$2:$A$416,A43,칸!$H$2:$H$416)</f>
        <v/>
      </c>
      <c r="J43" s="2">
        <f>IF(U43&lt;&gt;"",U43,INDEX(비용표!$A$13:$A$17,MATCH(I43,비용표!$B$13:$B$17,1)))</f>
        <v/>
      </c>
      <c r="K43" s="2">
        <f>INDEX(비용표!$C$13:$C$17,MATCH(J43,비용표!$A$13:$A$17,0))</f>
        <v/>
      </c>
      <c r="L43" s="4" t="inlineStr">
        <is>
          <t>하후돈 무력+1</t>
        </is>
      </c>
      <c r="M43" s="2" t="inlineStr">
        <is>
          <t>능력치</t>
        </is>
      </c>
      <c r="N43" s="2" t="inlineStr">
        <is>
          <t>하후돈</t>
        </is>
      </c>
      <c r="O43" s="2" t="inlineStr">
        <is>
          <t>무력</t>
        </is>
      </c>
      <c r="P43" s="2" t="n">
        <v>1</v>
      </c>
      <c r="Q43" s="4" t="n"/>
      <c r="R43" s="2" t="n"/>
      <c r="S43" s="2" t="n"/>
      <c r="T43" s="2" t="n"/>
      <c r="U43" s="2" t="n"/>
    </row>
    <row r="44" ht="32" customHeight="1">
      <c r="A44" s="2" t="n">
        <v>43</v>
      </c>
      <c r="B44" s="2" t="inlineStr">
        <is>
          <t>③ 관도 (200~207)</t>
        </is>
      </c>
      <c r="C44" s="3" t="inlineStr">
        <is>
          <t>백랑산</t>
        </is>
      </c>
      <c r="D44" s="2" t="inlineStr">
        <is>
          <t>白狼山</t>
        </is>
      </c>
      <c r="E44" s="4">
        <f>INDEX(칸!$I$2:$I$416,MATCH(A44,칸!$A$2:$A$416,1))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COUNTIF(칸!$A$2:$A$416,A44)</f>
        <v/>
      </c>
      <c r="I44" s="2">
        <f>SUMIF(칸!$A$2:$A$416,A44,칸!$H$2:$H$416)</f>
        <v/>
      </c>
      <c r="J44" s="2">
        <f>IF(U44&lt;&gt;"",U44,INDEX(비용표!$A$13:$A$17,MATCH(I44,비용표!$B$13:$B$17,1)))</f>
        <v/>
      </c>
      <c r="K44" s="2">
        <f>INDEX(비용표!$C$13:$C$17,MATCH(J44,비용표!$A$13:$A$17,0))</f>
        <v/>
      </c>
      <c r="L44" s="4" t="inlineStr">
        <is>
          <t>장료 HP+1</t>
        </is>
      </c>
      <c r="M44" s="2" t="inlineStr">
        <is>
          <t>능력치</t>
        </is>
      </c>
      <c r="N44" s="2" t="inlineStr">
        <is>
          <t>장료</t>
        </is>
      </c>
      <c r="O44" s="2" t="inlineStr">
        <is>
          <t>HP</t>
        </is>
      </c>
      <c r="P44" s="2" t="n">
        <v>1</v>
      </c>
      <c r="Q44" s="4" t="n"/>
      <c r="R44" s="2" t="n"/>
      <c r="S44" s="2" t="n"/>
      <c r="T44" s="2" t="n"/>
      <c r="U44" s="2" t="n"/>
    </row>
    <row r="45" ht="32" customHeight="1">
      <c r="A45" s="2" t="n">
        <v>44</v>
      </c>
      <c r="B45" s="2" t="inlineStr">
        <is>
          <t>④ 형주 · 적벽 (201~209)</t>
        </is>
      </c>
      <c r="C45" s="3" t="inlineStr">
        <is>
          <t>적로의 단계 도약</t>
        </is>
      </c>
      <c r="D45" s="2" t="inlineStr">
        <is>
          <t>躍馬檀溪</t>
        </is>
      </c>
      <c r="E45" s="4">
        <f>INDEX(칸!$I$2:$I$416,MATCH(A45,칸!$A$2:$A$416,1))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COUNTIF(칸!$A$2:$A$416,A45)</f>
        <v/>
      </c>
      <c r="I45" s="2">
        <f>SUMIF(칸!$A$2:$A$416,A45,칸!$H$2:$H$416)</f>
        <v/>
      </c>
      <c r="J45" s="2">
        <f>IF(U45&lt;&gt;"",U45,INDEX(비용표!$A$13:$A$17,MATCH(I45,비용표!$B$13:$B$17,1)))</f>
        <v/>
      </c>
      <c r="K45" s="2">
        <f>INDEX(비용표!$C$13:$C$17,MATCH(J45,비용표!$A$13:$A$17,0))</f>
        <v/>
      </c>
      <c r="L45" s="4" t="inlineStr">
        <is>
          <t>유비 지력+2</t>
        </is>
      </c>
      <c r="M45" s="2" t="inlineStr">
        <is>
          <t>능력치</t>
        </is>
      </c>
      <c r="N45" s="2" t="inlineStr">
        <is>
          <t>유비</t>
        </is>
      </c>
      <c r="O45" s="2" t="inlineStr">
        <is>
          <t>지력</t>
        </is>
      </c>
      <c r="P45" s="2" t="n">
        <v>2</v>
      </c>
      <c r="Q45" s="4" t="n"/>
      <c r="R45" s="2" t="n"/>
      <c r="S45" s="2" t="n"/>
      <c r="T45" s="2" t="n"/>
      <c r="U45" s="2" t="n"/>
    </row>
    <row r="46" ht="32" customHeight="1">
      <c r="A46" s="2" t="n">
        <v>45</v>
      </c>
      <c r="B46" s="2" t="inlineStr">
        <is>
          <t>④ 형주 · 적벽 (201~209)</t>
        </is>
      </c>
      <c r="C46" s="3" t="inlineStr">
        <is>
          <t>팔문금쇄진</t>
        </is>
      </c>
      <c r="D46" s="2" t="inlineStr">
        <is>
          <t>八門金鎖陣</t>
        </is>
      </c>
      <c r="E46" s="4">
        <f>INDEX(칸!$I$2:$I$416,MATCH(A46,칸!$A$2:$A$416,1))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COUNTIF(칸!$A$2:$A$416,A46)</f>
        <v/>
      </c>
      <c r="I46" s="2">
        <f>SUMIF(칸!$A$2:$A$416,A46,칸!$H$2:$H$416)</f>
        <v/>
      </c>
      <c r="J46" s="2">
        <f>IF(U46&lt;&gt;"",U46,INDEX(비용표!$A$13:$A$17,MATCH(I46,비용표!$B$13:$B$17,1)))</f>
        <v/>
      </c>
      <c r="K46" s="2">
        <f>INDEX(비용표!$C$13:$C$17,MATCH(J46,비용표!$A$13:$A$17,0))</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c r="U46" s="2" t="n"/>
    </row>
    <row r="47" ht="32" customHeight="1">
      <c r="A47" s="2" t="n">
        <v>46</v>
      </c>
      <c r="B47" s="2" t="inlineStr">
        <is>
          <t>④ 형주 · 적벽 (201~209)</t>
        </is>
      </c>
      <c r="C47" s="3" t="inlineStr">
        <is>
          <t>서서의 어머니</t>
        </is>
      </c>
      <c r="D47" s="2" t="inlineStr">
        <is>
          <t>徐母之書</t>
        </is>
      </c>
      <c r="E47" s="4">
        <f>INDEX(칸!$I$2:$I$416,MATCH(A47,칸!$A$2:$A$416,1))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COUNTIF(칸!$A$2:$A$416,A47)</f>
        <v/>
      </c>
      <c r="I47" s="2">
        <f>SUMIF(칸!$A$2:$A$416,A47,칸!$H$2:$H$416)</f>
        <v/>
      </c>
      <c r="J47" s="2">
        <f>IF(U47&lt;&gt;"",U47,INDEX(비용표!$A$13:$A$17,MATCH(I47,비용표!$B$13:$B$17,1)))</f>
        <v/>
      </c>
      <c r="K47" s="2">
        <f>INDEX(비용표!$C$13:$C$17,MATCH(J47,비용표!$A$13:$A$17,0))</f>
        <v/>
      </c>
      <c r="L47" s="4" t="inlineStr">
        <is>
          <t>정욱 MP+1</t>
        </is>
      </c>
      <c r="M47" s="2" t="inlineStr">
        <is>
          <t>능력치</t>
        </is>
      </c>
      <c r="N47" s="2" t="inlineStr">
        <is>
          <t>정욱</t>
        </is>
      </c>
      <c r="O47" s="2" t="inlineStr">
        <is>
          <t>MP</t>
        </is>
      </c>
      <c r="P47" s="2" t="n">
        <v>1</v>
      </c>
      <c r="Q47" s="4" t="n"/>
      <c r="R47" s="2" t="n"/>
      <c r="S47" s="2" t="n"/>
      <c r="T47" s="2" t="n"/>
      <c r="U47" s="2" t="n"/>
    </row>
    <row r="48" ht="32" customHeight="1">
      <c r="A48" s="2" t="n">
        <v>47</v>
      </c>
      <c r="B48" s="2" t="inlineStr">
        <is>
          <t>④ 형주 · 적벽 (201~209)</t>
        </is>
      </c>
      <c r="C48" s="3" t="inlineStr">
        <is>
          <t>삼고초려</t>
        </is>
      </c>
      <c r="D48" s="2" t="inlineStr">
        <is>
          <t>三顧草廬</t>
        </is>
      </c>
      <c r="E48" s="4">
        <f>INDEX(칸!$I$2:$I$416,MATCH(A48,칸!$A$2:$A$416,1))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COUNTIF(칸!$A$2:$A$416,A48)</f>
        <v/>
      </c>
      <c r="I48" s="2">
        <f>SUMIF(칸!$A$2:$A$416,A48,칸!$H$2:$H$416)</f>
        <v/>
      </c>
      <c r="J48" s="2">
        <f>IF(U48&lt;&gt;"",U48,INDEX(비용표!$A$13:$A$17,MATCH(I48,비용표!$B$13:$B$17,1)))</f>
        <v/>
      </c>
      <c r="K48" s="2">
        <f>INDEX(비용표!$C$13:$C$17,MATCH(J48,비용표!$A$13:$A$17,0))</f>
        <v/>
      </c>
      <c r="L48" s="4" t="inlineStr">
        <is>
          <t>유비의 「삼고초려」 SP 6 → 5</t>
        </is>
      </c>
      <c r="M48" s="2" t="inlineStr">
        <is>
          <t>고유기술SP</t>
        </is>
      </c>
      <c r="N48" s="2" t="inlineStr">
        <is>
          <t>유비</t>
        </is>
      </c>
      <c r="O48" s="2" t="n"/>
      <c r="P48" s="2" t="n">
        <v>-1</v>
      </c>
      <c r="Q48" s="4" t="n"/>
      <c r="R48" s="2" t="n"/>
      <c r="S48" s="2" t="n"/>
      <c r="T48" s="2" t="n"/>
      <c r="U48" s="2" t="n"/>
    </row>
    <row r="49" ht="32" customHeight="1">
      <c r="A49" s="2" t="n">
        <v>48</v>
      </c>
      <c r="B49" s="2" t="inlineStr">
        <is>
          <t>④ 형주 · 적벽 (201~209)</t>
        </is>
      </c>
      <c r="C49" s="3" t="inlineStr">
        <is>
          <t>박망파의 불</t>
        </is>
      </c>
      <c r="D49" s="2" t="inlineStr">
        <is>
          <t>火燒博望坡</t>
        </is>
      </c>
      <c r="E49" s="4">
        <f>INDEX(칸!$I$2:$I$416,MATCH(A49,칸!$A$2:$A$416,1))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COUNTIF(칸!$A$2:$A$416,A49)</f>
        <v/>
      </c>
      <c r="I49" s="2">
        <f>SUMIF(칸!$A$2:$A$416,A49,칸!$H$2:$H$416)</f>
        <v/>
      </c>
      <c r="J49" s="2">
        <f>IF(U49&lt;&gt;"",U49,INDEX(비용표!$A$13:$A$17,MATCH(I49,비용표!$B$13:$B$17,1)))</f>
        <v/>
      </c>
      <c r="K49" s="2">
        <f>INDEX(비용표!$C$13:$C$17,MATCH(J49,비용표!$A$13:$A$17,0))</f>
        <v/>
      </c>
      <c r="L49" s="4" t="inlineStr">
        <is>
          <t>제갈량 MP+1</t>
        </is>
      </c>
      <c r="M49" s="2" t="inlineStr">
        <is>
          <t>능력치</t>
        </is>
      </c>
      <c r="N49" s="2" t="inlineStr">
        <is>
          <t>제갈량</t>
        </is>
      </c>
      <c r="O49" s="2" t="inlineStr">
        <is>
          <t>MP</t>
        </is>
      </c>
      <c r="P49" s="2" t="n">
        <v>1</v>
      </c>
      <c r="Q49" s="4" t="n"/>
      <c r="R49" s="2" t="n"/>
      <c r="S49" s="2" t="n"/>
      <c r="T49" s="2" t="n"/>
      <c r="U49" s="2" t="n"/>
    </row>
    <row r="50" ht="32" customHeight="1">
      <c r="A50" s="2" t="n">
        <v>49</v>
      </c>
      <c r="B50" s="2" t="inlineStr">
        <is>
          <t>④ 형주 · 적벽 (201~209)</t>
        </is>
      </c>
      <c r="C50" s="3" t="inlineStr">
        <is>
          <t>형주의 항복</t>
        </is>
      </c>
      <c r="D50" s="2" t="inlineStr">
        <is>
          <t>荊州投降</t>
        </is>
      </c>
      <c r="E50" s="4">
        <f>INDEX(칸!$I$2:$I$416,MATCH(A50,칸!$A$2:$A$416,1))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COUNTIF(칸!$A$2:$A$416,A50)</f>
        <v/>
      </c>
      <c r="I50" s="2">
        <f>SUMIF(칸!$A$2:$A$416,A50,칸!$H$2:$H$416)</f>
        <v/>
      </c>
      <c r="J50" s="2">
        <f>IF(U50&lt;&gt;"",U50,INDEX(비용표!$A$13:$A$17,MATCH(I50,비용표!$B$13:$B$17,1)))</f>
        <v/>
      </c>
      <c r="K50" s="2">
        <f>INDEX(비용표!$C$13:$C$17,MATCH(J50,비용표!$A$13:$A$17,0))</f>
        <v/>
      </c>
      <c r="L50" s="4" t="inlineStr">
        <is>
          <t>채모 지력+1</t>
        </is>
      </c>
      <c r="M50" s="2" t="inlineStr">
        <is>
          <t>능력치</t>
        </is>
      </c>
      <c r="N50" s="2" t="inlineStr">
        <is>
          <t>채모</t>
        </is>
      </c>
      <c r="O50" s="2" t="inlineStr">
        <is>
          <t>지력</t>
        </is>
      </c>
      <c r="P50" s="2" t="n">
        <v>1</v>
      </c>
      <c r="Q50" s="4" t="n"/>
      <c r="R50" s="2" t="n"/>
      <c r="S50" s="2" t="n"/>
      <c r="T50" s="2" t="n"/>
      <c r="U50" s="2" t="n"/>
    </row>
    <row r="51" ht="32" customHeight="1">
      <c r="A51" s="2" t="n">
        <v>50</v>
      </c>
      <c r="B51" s="2" t="inlineStr">
        <is>
          <t>④ 형주 · 적벽 (201~209)</t>
        </is>
      </c>
      <c r="C51" s="3" t="inlineStr">
        <is>
          <t>장판파 단기구주</t>
        </is>
      </c>
      <c r="D51" s="2" t="inlineStr">
        <is>
          <t>長坂坡單騎救主</t>
        </is>
      </c>
      <c r="E51" s="4">
        <f>INDEX(칸!$I$2:$I$416,MATCH(A51,칸!$A$2:$A$416,1))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COUNTIF(칸!$A$2:$A$416,A51)</f>
        <v/>
      </c>
      <c r="I51" s="2">
        <f>SUMIF(칸!$A$2:$A$416,A51,칸!$H$2:$H$416)</f>
        <v/>
      </c>
      <c r="J51" s="2">
        <f>IF(U51&lt;&gt;"",U51,INDEX(비용표!$A$13:$A$17,MATCH(I51,비용표!$B$13:$B$17,1)))</f>
        <v/>
      </c>
      <c r="K51" s="2">
        <f>INDEX(비용표!$C$13:$C$17,MATCH(J51,비용표!$A$13:$A$17,0))</f>
        <v/>
      </c>
      <c r="L51" s="4" t="inlineStr">
        <is>
          <t>조운 통솔+2</t>
        </is>
      </c>
      <c r="M51" s="2" t="inlineStr">
        <is>
          <t>능력치</t>
        </is>
      </c>
      <c r="N51" s="2" t="inlineStr">
        <is>
          <t>조운</t>
        </is>
      </c>
      <c r="O51" s="2" t="inlineStr">
        <is>
          <t>통솔</t>
        </is>
      </c>
      <c r="P51" s="2" t="n">
        <v>2</v>
      </c>
      <c r="Q51" s="4" t="n"/>
      <c r="R51" s="2" t="n"/>
      <c r="S51" s="2" t="n"/>
      <c r="T51" s="2" t="n"/>
      <c r="U51" s="2" t="n"/>
    </row>
    <row r="52" ht="32" customHeight="1">
      <c r="A52" s="2" t="n">
        <v>51</v>
      </c>
      <c r="B52" s="2" t="inlineStr">
        <is>
          <t>④ 형주 · 적벽 (201~209)</t>
        </is>
      </c>
      <c r="C52" s="3" t="inlineStr">
        <is>
          <t>장판교의 일갈</t>
        </is>
      </c>
      <c r="D52" s="2" t="inlineStr">
        <is>
          <t>長坂橋喝</t>
        </is>
      </c>
      <c r="E52" s="4">
        <f>INDEX(칸!$I$2:$I$416,MATCH(A52,칸!$A$2:$A$416,1))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COUNTIF(칸!$A$2:$A$416,A52)</f>
        <v/>
      </c>
      <c r="I52" s="2">
        <f>SUMIF(칸!$A$2:$A$416,A52,칸!$H$2:$H$416)</f>
        <v/>
      </c>
      <c r="J52" s="2">
        <f>IF(U52&lt;&gt;"",U52,INDEX(비용표!$A$13:$A$17,MATCH(I52,비용표!$B$13:$B$17,1)))</f>
        <v/>
      </c>
      <c r="K52" s="2">
        <f>INDEX(비용표!$C$13:$C$17,MATCH(J52,비용표!$A$13:$A$17,0))</f>
        <v/>
      </c>
      <c r="L52" s="4" t="inlineStr">
        <is>
          <t>장비의 「장판하뢰」 SP 6 → 5</t>
        </is>
      </c>
      <c r="M52" s="2" t="inlineStr">
        <is>
          <t>고유기술SP</t>
        </is>
      </c>
      <c r="N52" s="2" t="inlineStr">
        <is>
          <t>장비</t>
        </is>
      </c>
      <c r="O52" s="2" t="n"/>
      <c r="P52" s="2" t="n">
        <v>-1</v>
      </c>
      <c r="Q52" s="4" t="n"/>
      <c r="R52" s="2" t="n"/>
      <c r="S52" s="2" t="n"/>
      <c r="T52" s="2" t="n"/>
      <c r="U52" s="2" t="n"/>
    </row>
    <row r="53" ht="32" customHeight="1">
      <c r="A53" s="2" t="n">
        <v>52</v>
      </c>
      <c r="B53" s="2" t="inlineStr">
        <is>
          <t>④ 형주 · 적벽 (201~209)</t>
        </is>
      </c>
      <c r="C53" s="3" t="inlineStr">
        <is>
          <t>상옥추제</t>
        </is>
      </c>
      <c r="D53" s="2" t="inlineStr">
        <is>
          <t>上屋抽梯</t>
        </is>
      </c>
      <c r="E53" s="4">
        <f>INDEX(칸!$I$2:$I$416,MATCH(A53,칸!$A$2:$A$416,1))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COUNTIF(칸!$A$2:$A$416,A53)</f>
        <v/>
      </c>
      <c r="I53" s="2">
        <f>SUMIF(칸!$A$2:$A$416,A53,칸!$H$2:$H$416)</f>
        <v/>
      </c>
      <c r="J53" s="2">
        <f>IF(U53&lt;&gt;"",U53,INDEX(비용표!$A$13:$A$17,MATCH(I53,비용표!$B$13:$B$17,1)))</f>
        <v/>
      </c>
      <c r="K53" s="2">
        <f>INDEX(비용표!$C$13:$C$17,MATCH(J53,비용표!$A$13:$A$17,0))</f>
        <v/>
      </c>
      <c r="L53" s="4" t="inlineStr">
        <is>
          <t>유기 HP+1</t>
        </is>
      </c>
      <c r="M53" s="2" t="inlineStr">
        <is>
          <t>능력치</t>
        </is>
      </c>
      <c r="N53" s="2" t="inlineStr">
        <is>
          <t>유기</t>
        </is>
      </c>
      <c r="O53" s="2" t="inlineStr">
        <is>
          <t>HP</t>
        </is>
      </c>
      <c r="P53" s="2" t="n">
        <v>1</v>
      </c>
      <c r="Q53" s="4" t="n"/>
      <c r="R53" s="2" t="n"/>
      <c r="S53" s="2" t="n"/>
      <c r="T53" s="2" t="n"/>
      <c r="U53" s="2" t="n"/>
    </row>
    <row r="54" ht="32" customHeight="1">
      <c r="A54" s="2" t="n">
        <v>53</v>
      </c>
      <c r="B54" s="2" t="inlineStr">
        <is>
          <t>④ 형주 · 적벽 (201~209)</t>
        </is>
      </c>
      <c r="C54" s="3" t="inlineStr">
        <is>
          <t>노숙의 합종</t>
        </is>
      </c>
      <c r="D54" s="2" t="inlineStr">
        <is>
          <t>魯肅聯劉</t>
        </is>
      </c>
      <c r="E54" s="4">
        <f>INDEX(칸!$I$2:$I$416,MATCH(A54,칸!$A$2:$A$416,1))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COUNTIF(칸!$A$2:$A$416,A54)</f>
        <v/>
      </c>
      <c r="I54" s="2">
        <f>SUMIF(칸!$A$2:$A$416,A54,칸!$H$2:$H$416)</f>
        <v/>
      </c>
      <c r="J54" s="2">
        <f>IF(U54&lt;&gt;"",U54,INDEX(비용표!$A$13:$A$17,MATCH(I54,비용표!$B$13:$B$17,1)))</f>
        <v/>
      </c>
      <c r="K54" s="2">
        <f>INDEX(비용표!$C$13:$C$17,MATCH(J54,비용표!$A$13:$A$17,0))</f>
        <v/>
      </c>
      <c r="L54" s="4" t="inlineStr">
        <is>
          <t>노숙 지력+1</t>
        </is>
      </c>
      <c r="M54" s="2" t="inlineStr">
        <is>
          <t>능력치</t>
        </is>
      </c>
      <c r="N54" s="2" t="inlineStr">
        <is>
          <t>노숙</t>
        </is>
      </c>
      <c r="O54" s="2" t="inlineStr">
        <is>
          <t>지력</t>
        </is>
      </c>
      <c r="P54" s="2" t="n">
        <v>1</v>
      </c>
      <c r="Q54" s="4" t="n"/>
      <c r="R54" s="2" t="n"/>
      <c r="S54" s="2" t="n"/>
      <c r="T54" s="2" t="n"/>
      <c r="U54" s="2" t="n"/>
    </row>
    <row r="55" ht="32" customHeight="1">
      <c r="A55" s="2" t="n">
        <v>54</v>
      </c>
      <c r="B55" s="2" t="inlineStr">
        <is>
          <t>④ 형주 · 적벽 (201~209)</t>
        </is>
      </c>
      <c r="C55" s="3" t="inlineStr">
        <is>
          <t>설전군유</t>
        </is>
      </c>
      <c r="D55" s="2" t="inlineStr">
        <is>
          <t>舌戰群儒</t>
        </is>
      </c>
      <c r="E55" s="4">
        <f>INDEX(칸!$I$2:$I$416,MATCH(A55,칸!$A$2:$A$416,1))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COUNTIF(칸!$A$2:$A$416,A55)</f>
        <v/>
      </c>
      <c r="I55" s="2">
        <f>SUMIF(칸!$A$2:$A$416,A55,칸!$H$2:$H$416)</f>
        <v/>
      </c>
      <c r="J55" s="2">
        <f>IF(U55&lt;&gt;"",U55,INDEX(비용표!$A$13:$A$17,MATCH(I55,비용표!$B$13:$B$17,1)))</f>
        <v/>
      </c>
      <c r="K55" s="2">
        <f>INDEX(비용표!$C$13:$C$17,MATCH(J55,비용표!$A$13:$A$17,0))</f>
        <v/>
      </c>
      <c r="L55" s="4" t="inlineStr">
        <is>
          <t>태학 연구 시간 −5%</t>
        </is>
      </c>
      <c r="M55" s="2" t="inlineStr">
        <is>
          <t>도시</t>
        </is>
      </c>
      <c r="N55" s="2" t="n"/>
      <c r="O55" s="2" t="n"/>
      <c r="P55" s="2" t="n">
        <v>5</v>
      </c>
      <c r="Q55" s="4" t="n"/>
      <c r="R55" s="2" t="n"/>
      <c r="S55" s="2" t="n"/>
      <c r="T55" s="2" t="inlineStr">
        <is>
          <t>research</t>
        </is>
      </c>
      <c r="U55" s="2" t="inlineStr">
        <is>
          <t>영웅</t>
        </is>
      </c>
    </row>
    <row r="56" ht="32" customHeight="1">
      <c r="A56" s="2" t="n">
        <v>55</v>
      </c>
      <c r="B56" s="2" t="inlineStr">
        <is>
          <t>④ 형주 · 적벽 (201~209)</t>
        </is>
      </c>
      <c r="C56" s="3" t="inlineStr">
        <is>
          <t>책상을 베다</t>
        </is>
      </c>
      <c r="D56" s="2" t="inlineStr">
        <is>
          <t>斫案決戰</t>
        </is>
      </c>
      <c r="E56" s="4">
        <f>INDEX(칸!$I$2:$I$416,MATCH(A56,칸!$A$2:$A$416,1))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COUNTIF(칸!$A$2:$A$416,A56)</f>
        <v/>
      </c>
      <c r="I56" s="2">
        <f>SUMIF(칸!$A$2:$A$416,A56,칸!$H$2:$H$416)</f>
        <v/>
      </c>
      <c r="J56" s="2">
        <f>IF(U56&lt;&gt;"",U56,INDEX(비용표!$A$13:$A$17,MATCH(I56,비용표!$B$13:$B$17,1)))</f>
        <v/>
      </c>
      <c r="K56" s="2">
        <f>INDEX(비용표!$C$13:$C$17,MATCH(J56,비용표!$A$13:$A$17,0))</f>
        <v/>
      </c>
      <c r="L56" s="4" t="inlineStr">
        <is>
          <t>손권 지력+1</t>
        </is>
      </c>
      <c r="M56" s="2" t="inlineStr">
        <is>
          <t>능력치</t>
        </is>
      </c>
      <c r="N56" s="2" t="inlineStr">
        <is>
          <t>손권</t>
        </is>
      </c>
      <c r="O56" s="2" t="inlineStr">
        <is>
          <t>지력</t>
        </is>
      </c>
      <c r="P56" s="2" t="n">
        <v>1</v>
      </c>
      <c r="Q56" s="4" t="n"/>
      <c r="R56" s="2" t="n"/>
      <c r="S56" s="2" t="n"/>
      <c r="T56" s="2" t="n"/>
      <c r="U56" s="2" t="n"/>
    </row>
    <row r="57" ht="32" customHeight="1">
      <c r="A57" s="2" t="n">
        <v>56</v>
      </c>
      <c r="B57" s="2" t="inlineStr">
        <is>
          <t>④ 형주 · 적벽 (201~209)</t>
        </is>
      </c>
      <c r="C57" s="3" t="inlineStr">
        <is>
          <t>군영회</t>
        </is>
      </c>
      <c r="D57" s="2" t="inlineStr">
        <is>
          <t>群英會</t>
        </is>
      </c>
      <c r="E57" s="4">
        <f>INDEX(칸!$I$2:$I$416,MATCH(A57,칸!$A$2:$A$416,1))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COUNTIF(칸!$A$2:$A$416,A57)</f>
        <v/>
      </c>
      <c r="I57" s="2">
        <f>SUMIF(칸!$A$2:$A$416,A57,칸!$H$2:$H$416)</f>
        <v/>
      </c>
      <c r="J57" s="2">
        <f>IF(U57&lt;&gt;"",U57,INDEX(비용표!$A$13:$A$17,MATCH(I57,비용표!$B$13:$B$17,1)))</f>
        <v/>
      </c>
      <c r="K57" s="2">
        <f>INDEX(비용표!$C$13:$C$17,MATCH(J57,비용표!$A$13:$A$17,0))</f>
        <v/>
      </c>
      <c r="L57" s="4" t="inlineStr">
        <is>
          <t>주유 통솔+1</t>
        </is>
      </c>
      <c r="M57" s="2" t="inlineStr">
        <is>
          <t>능력치</t>
        </is>
      </c>
      <c r="N57" s="2" t="inlineStr">
        <is>
          <t>주유</t>
        </is>
      </c>
      <c r="O57" s="2" t="inlineStr">
        <is>
          <t>통솔</t>
        </is>
      </c>
      <c r="P57" s="2" t="n">
        <v>1</v>
      </c>
      <c r="Q57" s="4" t="n"/>
      <c r="R57" s="2" t="n"/>
      <c r="S57" s="2" t="n"/>
      <c r="T57" s="2" t="n"/>
      <c r="U57" s="2" t="n"/>
    </row>
    <row r="58" ht="32" customHeight="1">
      <c r="A58" s="2" t="n">
        <v>57</v>
      </c>
      <c r="B58" s="2" t="inlineStr">
        <is>
          <t>④ 형주 · 적벽 (201~209)</t>
        </is>
      </c>
      <c r="C58" s="3" t="inlineStr">
        <is>
          <t>초선차전</t>
        </is>
      </c>
      <c r="D58" s="2" t="inlineStr">
        <is>
          <t>草船借箭</t>
        </is>
      </c>
      <c r="E58" s="4">
        <f>INDEX(칸!$I$2:$I$416,MATCH(A58,칸!$A$2:$A$416,1))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COUNTIF(칸!$A$2:$A$416,A58)</f>
        <v/>
      </c>
      <c r="I58" s="2">
        <f>SUMIF(칸!$A$2:$A$416,A58,칸!$H$2:$H$416)</f>
        <v/>
      </c>
      <c r="J58" s="2">
        <f>IF(U58&lt;&gt;"",U58,INDEX(비용표!$A$13:$A$17,MATCH(I58,비용표!$B$13:$B$17,1)))</f>
        <v/>
      </c>
      <c r="K58" s="2">
        <f>INDEX(비용표!$C$13:$C$17,MATCH(J58,비용표!$A$13:$A$17,0))</f>
        <v/>
      </c>
      <c r="L58" s="4" t="inlineStr">
        <is>
          <t>대장간 제조 시간 −10%</t>
        </is>
      </c>
      <c r="M58" s="2" t="inlineStr">
        <is>
          <t>도시</t>
        </is>
      </c>
      <c r="N58" s="2" t="n"/>
      <c r="O58" s="2" t="n"/>
      <c r="P58" s="2" t="n">
        <v>10</v>
      </c>
      <c r="Q58" s="4" t="n"/>
      <c r="R58" s="2" t="n"/>
      <c r="S58" s="2" t="n"/>
      <c r="T58" s="2" t="inlineStr">
        <is>
          <t>forge</t>
        </is>
      </c>
      <c r="U58" s="2" t="n"/>
    </row>
    <row r="59" ht="32" customHeight="1">
      <c r="A59" s="2" t="n">
        <v>58</v>
      </c>
      <c r="B59" s="2" t="inlineStr">
        <is>
          <t>④ 형주 · 적벽 (201~209)</t>
        </is>
      </c>
      <c r="C59" s="3" t="inlineStr">
        <is>
          <t>고육지책</t>
        </is>
      </c>
      <c r="D59" s="2" t="inlineStr">
        <is>
          <t>苦肉計</t>
        </is>
      </c>
      <c r="E59" s="4">
        <f>INDEX(칸!$I$2:$I$416,MATCH(A59,칸!$A$2:$A$416,1))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COUNTIF(칸!$A$2:$A$416,A59)</f>
        <v/>
      </c>
      <c r="I59" s="2">
        <f>SUMIF(칸!$A$2:$A$416,A59,칸!$H$2:$H$416)</f>
        <v/>
      </c>
      <c r="J59" s="2">
        <f>IF(U59&lt;&gt;"",U59,INDEX(비용표!$A$13:$A$17,MATCH(I59,비용표!$B$13:$B$17,1)))</f>
        <v/>
      </c>
      <c r="K59" s="2">
        <f>INDEX(비용표!$C$13:$C$17,MATCH(J59,비용표!$A$13:$A$17,0))</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c r="U59" s="2" t="n"/>
    </row>
    <row r="60" ht="32" customHeight="1">
      <c r="A60" s="2" t="n">
        <v>59</v>
      </c>
      <c r="B60" s="2" t="inlineStr">
        <is>
          <t>④ 형주 · 적벽 (201~209)</t>
        </is>
      </c>
      <c r="C60" s="3" t="inlineStr">
        <is>
          <t>방통의 연환계</t>
        </is>
      </c>
      <c r="D60" s="2" t="inlineStr">
        <is>
          <t>連環計</t>
        </is>
      </c>
      <c r="E60" s="4">
        <f>INDEX(칸!$I$2:$I$416,MATCH(A60,칸!$A$2:$A$416,1))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COUNTIF(칸!$A$2:$A$416,A60)</f>
        <v/>
      </c>
      <c r="I60" s="2">
        <f>SUMIF(칸!$A$2:$A$416,A60,칸!$H$2:$H$416)</f>
        <v/>
      </c>
      <c r="J60" s="2">
        <f>IF(U60&lt;&gt;"",U60,INDEX(비용표!$A$13:$A$17,MATCH(I60,비용표!$B$13:$B$17,1)))</f>
        <v/>
      </c>
      <c r="K60" s="2">
        <f>INDEX(비용표!$C$13:$C$17,MATCH(J60,비용표!$A$13:$A$17,0))</f>
        <v/>
      </c>
      <c r="L60" s="4" t="inlineStr">
        <is>
          <t>방통 MP+1</t>
        </is>
      </c>
      <c r="M60" s="2" t="inlineStr">
        <is>
          <t>능력치</t>
        </is>
      </c>
      <c r="N60" s="2" t="inlineStr">
        <is>
          <t>방통</t>
        </is>
      </c>
      <c r="O60" s="2" t="inlineStr">
        <is>
          <t>MP</t>
        </is>
      </c>
      <c r="P60" s="2" t="n">
        <v>1</v>
      </c>
      <c r="Q60" s="4" t="n"/>
      <c r="R60" s="2" t="n"/>
      <c r="S60" s="2" t="n"/>
      <c r="T60" s="2" t="n"/>
      <c r="U60" s="2" t="n"/>
    </row>
    <row r="61" ht="32" customHeight="1">
      <c r="A61" s="2" t="n">
        <v>60</v>
      </c>
      <c r="B61" s="2" t="inlineStr">
        <is>
          <t>④ 형주 · 적벽 (201~209)</t>
        </is>
      </c>
      <c r="C61" s="3" t="inlineStr">
        <is>
          <t>칠성단의 동남풍</t>
        </is>
      </c>
      <c r="D61" s="2" t="inlineStr">
        <is>
          <t>七星壇祭風</t>
        </is>
      </c>
      <c r="E61" s="4">
        <f>INDEX(칸!$I$2:$I$416,MATCH(A61,칸!$A$2:$A$416,1))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COUNTIF(칸!$A$2:$A$416,A61)</f>
        <v/>
      </c>
      <c r="I61" s="2">
        <f>SUMIF(칸!$A$2:$A$416,A61,칸!$H$2:$H$416)</f>
        <v/>
      </c>
      <c r="J61" s="2">
        <f>IF(U61&lt;&gt;"",U61,INDEX(비용표!$A$13:$A$17,MATCH(I61,비용표!$B$13:$B$17,1)))</f>
        <v/>
      </c>
      <c r="K61" s="2">
        <f>INDEX(비용표!$C$13:$C$17,MATCH(J61,비용표!$A$13:$A$17,0))</f>
        <v/>
      </c>
      <c r="L61" s="4" t="inlineStr">
        <is>
          <t>제갈량의 「차동풍」 SP 6 → 5</t>
        </is>
      </c>
      <c r="M61" s="2" t="inlineStr">
        <is>
          <t>고유기술SP</t>
        </is>
      </c>
      <c r="N61" s="2" t="inlineStr">
        <is>
          <t>제갈량</t>
        </is>
      </c>
      <c r="O61" s="2" t="n"/>
      <c r="P61" s="2" t="n">
        <v>-1</v>
      </c>
      <c r="Q61" s="4" t="n"/>
      <c r="R61" s="2" t="n"/>
      <c r="S61" s="2" t="n"/>
      <c r="T61" s="2" t="n"/>
      <c r="U61" s="2" t="n"/>
    </row>
    <row r="62" ht="32" customHeight="1">
      <c r="A62" s="2" t="n">
        <v>61</v>
      </c>
      <c r="B62" s="2" t="inlineStr">
        <is>
          <t>④ 형주 · 적벽 (201~209)</t>
        </is>
      </c>
      <c r="C62" s="3" t="inlineStr">
        <is>
          <t>적벽대전</t>
        </is>
      </c>
      <c r="D62" s="2" t="inlineStr">
        <is>
          <t>赤壁大戰</t>
        </is>
      </c>
      <c r="E62" s="4">
        <f>INDEX(칸!$I$2:$I$416,MATCH(A62,칸!$A$2:$A$416,1))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COUNTIF(칸!$A$2:$A$416,A62)</f>
        <v/>
      </c>
      <c r="I62" s="2">
        <f>SUMIF(칸!$A$2:$A$416,A62,칸!$H$2:$H$416)</f>
        <v/>
      </c>
      <c r="J62" s="2">
        <f>IF(U62&lt;&gt;"",U62,INDEX(비용표!$A$13:$A$17,MATCH(I62,비용표!$B$13:$B$17,1)))</f>
        <v/>
      </c>
      <c r="K62" s="2">
        <f>INDEX(비용표!$C$13:$C$17,MATCH(J62,비용표!$A$13:$A$17,0))</f>
        <v/>
      </c>
      <c r="L62" s="4" t="inlineStr">
        <is>
          <t>주유·제갈량 함께 참전 시 진영 SP +1로 시작</t>
        </is>
      </c>
      <c r="M62" s="2" t="inlineStr">
        <is>
          <t>진영SP</t>
        </is>
      </c>
      <c r="N62" s="2" t="n"/>
      <c r="O62" s="2" t="n"/>
      <c r="P62" s="2" t="n">
        <v>1</v>
      </c>
      <c r="Q62" s="4" t="inlineStr">
        <is>
          <t>주유·제갈량</t>
        </is>
      </c>
      <c r="R62" s="2" t="n"/>
      <c r="S62" s="2" t="n"/>
      <c r="T62" s="2" t="n"/>
      <c r="U62" s="2" t="inlineStr">
        <is>
          <t>천하</t>
        </is>
      </c>
    </row>
    <row r="63" ht="32" customHeight="1">
      <c r="A63" s="2" t="n">
        <v>62</v>
      </c>
      <c r="B63" s="2" t="inlineStr">
        <is>
          <t>④ 형주 · 적벽 (201~209)</t>
        </is>
      </c>
      <c r="C63" s="3" t="inlineStr">
        <is>
          <t>화용도</t>
        </is>
      </c>
      <c r="D63" s="2" t="inlineStr">
        <is>
          <t>華容道</t>
        </is>
      </c>
      <c r="E63" s="4">
        <f>INDEX(칸!$I$2:$I$416,MATCH(A63,칸!$A$2:$A$416,1))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COUNTIF(칸!$A$2:$A$416,A63)</f>
        <v/>
      </c>
      <c r="I63" s="2">
        <f>SUMIF(칸!$A$2:$A$416,A63,칸!$H$2:$H$416)</f>
        <v/>
      </c>
      <c r="J63" s="2">
        <f>IF(U63&lt;&gt;"",U63,INDEX(비용표!$A$13:$A$17,MATCH(I63,비용표!$B$13:$B$17,1)))</f>
        <v/>
      </c>
      <c r="K63" s="2">
        <f>INDEX(비용표!$C$13:$C$17,MATCH(J63,비용표!$A$13:$A$17,0))</f>
        <v/>
      </c>
      <c r="L63" s="4" t="inlineStr">
        <is>
          <t>적진에 관우 시 조조 HP+1</t>
        </is>
      </c>
      <c r="M63" s="2" t="inlineStr">
        <is>
          <t>능력치</t>
        </is>
      </c>
      <c r="N63" s="2" t="inlineStr">
        <is>
          <t>조조</t>
        </is>
      </c>
      <c r="O63" s="2" t="inlineStr">
        <is>
          <t>HP</t>
        </is>
      </c>
      <c r="P63" s="2" t="n">
        <v>1</v>
      </c>
      <c r="Q63" s="4" t="n"/>
      <c r="R63" s="2" t="n"/>
      <c r="S63" s="2" t="inlineStr">
        <is>
          <t>관우</t>
        </is>
      </c>
      <c r="T63" s="2" t="n"/>
      <c r="U63" s="2" t="n"/>
    </row>
    <row r="64" ht="32" customHeight="1">
      <c r="A64" s="2" t="n">
        <v>63</v>
      </c>
      <c r="B64" s="2" t="inlineStr">
        <is>
          <t>④ 형주 · 적벽 (201~209)</t>
        </is>
      </c>
      <c r="C64" s="3" t="inlineStr">
        <is>
          <t>남군 공방</t>
        </is>
      </c>
      <c r="D64" s="2" t="inlineStr">
        <is>
          <t>南郡攻防</t>
        </is>
      </c>
      <c r="E64" s="4">
        <f>INDEX(칸!$I$2:$I$416,MATCH(A64,칸!$A$2:$A$416,1))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COUNTIF(칸!$A$2:$A$416,A64)</f>
        <v/>
      </c>
      <c r="I64" s="2">
        <f>SUMIF(칸!$A$2:$A$416,A64,칸!$H$2:$H$416)</f>
        <v/>
      </c>
      <c r="J64" s="2">
        <f>IF(U64&lt;&gt;"",U64,INDEX(비용표!$A$13:$A$17,MATCH(I64,비용표!$B$13:$B$17,1)))</f>
        <v/>
      </c>
      <c r="K64" s="2">
        <f>INDEX(비용표!$C$13:$C$17,MATCH(J64,비용표!$A$13:$A$17,0))</f>
        <v/>
      </c>
      <c r="L64" s="4" t="inlineStr">
        <is>
          <t>조인 통솔+2</t>
        </is>
      </c>
      <c r="M64" s="2" t="inlineStr">
        <is>
          <t>능력치</t>
        </is>
      </c>
      <c r="N64" s="2" t="inlineStr">
        <is>
          <t>조인</t>
        </is>
      </c>
      <c r="O64" s="2" t="inlineStr">
        <is>
          <t>통솔</t>
        </is>
      </c>
      <c r="P64" s="2" t="n">
        <v>2</v>
      </c>
      <c r="Q64" s="4" t="n"/>
      <c r="R64" s="2" t="n"/>
      <c r="S64" s="2" t="n"/>
      <c r="T64" s="2" t="n"/>
      <c r="U64" s="2" t="n"/>
    </row>
    <row r="65" ht="48" customHeight="1">
      <c r="A65" s="2" t="n">
        <v>64</v>
      </c>
      <c r="B65" s="2" t="inlineStr">
        <is>
          <t>④ 형주 · 적벽 (201~209)</t>
        </is>
      </c>
      <c r="C65" s="3" t="inlineStr">
        <is>
          <t>삼기주유</t>
        </is>
      </c>
      <c r="D65" s="2" t="inlineStr">
        <is>
          <t>三氣周瑜</t>
        </is>
      </c>
      <c r="E65" s="4">
        <f>INDEX(칸!$I$2:$I$416,MATCH(A65,칸!$A$2:$A$416,1))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COUNTIF(칸!$A$2:$A$416,A65)</f>
        <v/>
      </c>
      <c r="I65" s="2">
        <f>SUMIF(칸!$A$2:$A$416,A65,칸!$H$2:$H$416)</f>
        <v/>
      </c>
      <c r="J65" s="2">
        <f>IF(U65&lt;&gt;"",U65,INDEX(비용표!$A$13:$A$17,MATCH(I65,비용표!$B$13:$B$17,1)))</f>
        <v/>
      </c>
      <c r="K65" s="2">
        <f>INDEX(비용표!$C$13:$C$17,MATCH(J65,비용표!$A$13:$A$17,0))</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c r="U65" s="2" t="n"/>
    </row>
    <row r="66" ht="48" customHeight="1">
      <c r="A66" s="2" t="n">
        <v>65</v>
      </c>
      <c r="B66" s="2" t="inlineStr">
        <is>
          <t>⑤ 삼국 정립 (209~219)</t>
        </is>
      </c>
      <c r="C66" s="3" t="inlineStr">
        <is>
          <t>장사의 노장</t>
        </is>
      </c>
      <c r="D66" s="2" t="inlineStr">
        <is>
          <t>長沙老將</t>
        </is>
      </c>
      <c r="E66" s="4">
        <f>INDEX(칸!$I$2:$I$416,MATCH(A66,칸!$A$2:$A$416,1))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COUNTIF(칸!$A$2:$A$416,A66)</f>
        <v/>
      </c>
      <c r="I66" s="2">
        <f>SUMIF(칸!$A$2:$A$416,A66,칸!$H$2:$H$416)</f>
        <v/>
      </c>
      <c r="J66" s="2">
        <f>IF(U66&lt;&gt;"",U66,INDEX(비용표!$A$13:$A$17,MATCH(I66,비용표!$B$13:$B$17,1)))</f>
        <v/>
      </c>
      <c r="K66" s="2">
        <f>INDEX(비용표!$C$13:$C$17,MATCH(J66,비용표!$A$13:$A$17,0))</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c r="U66" s="2" t="n"/>
    </row>
    <row r="67" ht="32" customHeight="1">
      <c r="A67" s="2" t="n">
        <v>66</v>
      </c>
      <c r="B67" s="2" t="inlineStr">
        <is>
          <t>⑤ 삼국 정립 (209~219)</t>
        </is>
      </c>
      <c r="C67" s="3" t="inlineStr">
        <is>
          <t>감로사</t>
        </is>
      </c>
      <c r="D67" s="2" t="inlineStr">
        <is>
          <t>甘露寺</t>
        </is>
      </c>
      <c r="E67" s="4">
        <f>INDEX(칸!$I$2:$I$416,MATCH(A67,칸!$A$2:$A$416,1))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COUNTIF(칸!$A$2:$A$416,A67)</f>
        <v/>
      </c>
      <c r="I67" s="2">
        <f>SUMIF(칸!$A$2:$A$416,A67,칸!$H$2:$H$416)</f>
        <v/>
      </c>
      <c r="J67" s="2">
        <f>IF(U67&lt;&gt;"",U67,INDEX(비용표!$A$13:$A$17,MATCH(I67,비용표!$B$13:$B$17,1)))</f>
        <v/>
      </c>
      <c r="K67" s="2">
        <f>INDEX(비용표!$C$13:$C$17,MATCH(J67,비용표!$A$13:$A$17,0))</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c r="U67" s="2" t="n"/>
    </row>
    <row r="68" ht="32" customHeight="1">
      <c r="A68" s="2" t="n">
        <v>67</v>
      </c>
      <c r="B68" s="2" t="inlineStr">
        <is>
          <t>⑤ 삼국 정립 (209~219)</t>
        </is>
      </c>
      <c r="C68" s="3" t="inlineStr">
        <is>
          <t>동작대부</t>
        </is>
      </c>
      <c r="D68" s="2" t="inlineStr">
        <is>
          <t>銅雀臺賦</t>
        </is>
      </c>
      <c r="E68" s="4">
        <f>INDEX(칸!$I$2:$I$416,MATCH(A68,칸!$A$2:$A$416,1))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COUNTIF(칸!$A$2:$A$416,A68)</f>
        <v/>
      </c>
      <c r="I68" s="2">
        <f>SUMIF(칸!$A$2:$A$416,A68,칸!$H$2:$H$416)</f>
        <v/>
      </c>
      <c r="J68" s="2">
        <f>IF(U68&lt;&gt;"",U68,INDEX(비용표!$A$13:$A$17,MATCH(I68,비용표!$B$13:$B$17,1)))</f>
        <v/>
      </c>
      <c r="K68" s="2">
        <f>INDEX(비용표!$C$13:$C$17,MATCH(J68,비용표!$A$13:$A$17,0))</f>
        <v/>
      </c>
      <c r="L68" s="4" t="inlineStr">
        <is>
          <t>조식 지력+2</t>
        </is>
      </c>
      <c r="M68" s="2" t="inlineStr">
        <is>
          <t>능력치</t>
        </is>
      </c>
      <c r="N68" s="2" t="inlineStr">
        <is>
          <t>조식</t>
        </is>
      </c>
      <c r="O68" s="2" t="inlineStr">
        <is>
          <t>지력</t>
        </is>
      </c>
      <c r="P68" s="2" t="n">
        <v>2</v>
      </c>
      <c r="Q68" s="4" t="n"/>
      <c r="R68" s="2" t="n"/>
      <c r="S68" s="2" t="n"/>
      <c r="T68" s="2" t="n"/>
      <c r="U68" s="2" t="n"/>
    </row>
    <row r="69" ht="32" customHeight="1">
      <c r="A69" s="2" t="n">
        <v>68</v>
      </c>
      <c r="B69" s="2" t="inlineStr">
        <is>
          <t>⑤ 삼국 정립 (209~219)</t>
        </is>
      </c>
      <c r="C69" s="3" t="inlineStr">
        <is>
          <t>동관의 마초</t>
        </is>
      </c>
      <c r="D69" s="2" t="inlineStr">
        <is>
          <t>潼關馬超</t>
        </is>
      </c>
      <c r="E69" s="4">
        <f>INDEX(칸!$I$2:$I$416,MATCH(A69,칸!$A$2:$A$416,1))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COUNTIF(칸!$A$2:$A$416,A69)</f>
        <v/>
      </c>
      <c r="I69" s="2">
        <f>SUMIF(칸!$A$2:$A$416,A69,칸!$H$2:$H$416)</f>
        <v/>
      </c>
      <c r="J69" s="2">
        <f>IF(U69&lt;&gt;"",U69,INDEX(비용표!$A$13:$A$17,MATCH(I69,비용표!$B$13:$B$17,1)))</f>
        <v/>
      </c>
      <c r="K69" s="2">
        <f>INDEX(비용표!$C$13:$C$17,MATCH(J69,비용표!$A$13:$A$17,0))</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c r="U69" s="2" t="n"/>
    </row>
    <row r="70" ht="32" customHeight="1">
      <c r="A70" s="2" t="n">
        <v>69</v>
      </c>
      <c r="B70" s="2" t="inlineStr">
        <is>
          <t>⑤ 삼국 정립 (209~219)</t>
        </is>
      </c>
      <c r="C70" s="3" t="inlineStr">
        <is>
          <t>서천 지도</t>
        </is>
      </c>
      <c r="D70" s="2" t="inlineStr">
        <is>
          <t>西川地圖</t>
        </is>
      </c>
      <c r="E70" s="4">
        <f>INDEX(칸!$I$2:$I$416,MATCH(A70,칸!$A$2:$A$416,1))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COUNTIF(칸!$A$2:$A$416,A70)</f>
        <v/>
      </c>
      <c r="I70" s="2">
        <f>SUMIF(칸!$A$2:$A$416,A70,칸!$H$2:$H$416)</f>
        <v/>
      </c>
      <c r="J70" s="2">
        <f>IF(U70&lt;&gt;"",U70,INDEX(비용표!$A$13:$A$17,MATCH(I70,비용표!$B$13:$B$17,1)))</f>
        <v/>
      </c>
      <c r="K70" s="2">
        <f>INDEX(비용표!$C$13:$C$17,MATCH(J70,비용표!$A$13:$A$17,0))</f>
        <v/>
      </c>
      <c r="L70" s="4" t="inlineStr">
        <is>
          <t>도적떼 응전 시간 +1분</t>
        </is>
      </c>
      <c r="M70" s="2" t="inlineStr">
        <is>
          <t>도시</t>
        </is>
      </c>
      <c r="N70" s="2" t="n"/>
      <c r="O70" s="2" t="n"/>
      <c r="P70" s="2" t="n">
        <v>1</v>
      </c>
      <c r="Q70" s="4" t="n"/>
      <c r="R70" s="2" t="n"/>
      <c r="S70" s="2" t="n"/>
      <c r="T70" s="2" t="inlineStr">
        <is>
          <t>raidResp</t>
        </is>
      </c>
      <c r="U70" s="2" t="n"/>
    </row>
    <row r="71" ht="32" customHeight="1">
      <c r="A71" s="2" t="n">
        <v>70</v>
      </c>
      <c r="B71" s="2" t="inlineStr">
        <is>
          <t>⑤ 삼국 정립 (209~219)</t>
        </is>
      </c>
      <c r="C71" s="3" t="inlineStr">
        <is>
          <t>낙봉파</t>
        </is>
      </c>
      <c r="D71" s="2" t="inlineStr">
        <is>
          <t>落鳳坡</t>
        </is>
      </c>
      <c r="E71" s="4">
        <f>INDEX(칸!$I$2:$I$416,MATCH(A71,칸!$A$2:$A$416,1))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COUNTIF(칸!$A$2:$A$416,A71)</f>
        <v/>
      </c>
      <c r="I71" s="2">
        <f>SUMIF(칸!$A$2:$A$416,A71,칸!$H$2:$H$416)</f>
        <v/>
      </c>
      <c r="J71" s="2">
        <f>IF(U71&lt;&gt;"",U71,INDEX(비용표!$A$13:$A$17,MATCH(I71,비용표!$B$13:$B$17,1)))</f>
        <v/>
      </c>
      <c r="K71" s="2">
        <f>INDEX(비용표!$C$13:$C$17,MATCH(J71,비용표!$A$13:$A$17,0))</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c r="U71" s="2" t="n"/>
    </row>
    <row r="72" ht="32" customHeight="1">
      <c r="A72" s="2" t="n">
        <v>71</v>
      </c>
      <c r="B72" s="2" t="inlineStr">
        <is>
          <t>⑤ 삼국 정립 (209~219)</t>
        </is>
      </c>
      <c r="C72" s="3" t="inlineStr">
        <is>
          <t>의석 엄안</t>
        </is>
      </c>
      <c r="D72" s="2" t="inlineStr">
        <is>
          <t>義釋嚴顏</t>
        </is>
      </c>
      <c r="E72" s="4">
        <f>INDEX(칸!$I$2:$I$416,MATCH(A72,칸!$A$2:$A$416,1))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COUNTIF(칸!$A$2:$A$416,A72)</f>
        <v/>
      </c>
      <c r="I72" s="2">
        <f>SUMIF(칸!$A$2:$A$416,A72,칸!$H$2:$H$416)</f>
        <v/>
      </c>
      <c r="J72" s="2">
        <f>IF(U72&lt;&gt;"",U72,INDEX(비용표!$A$13:$A$17,MATCH(I72,비용표!$B$13:$B$17,1)))</f>
        <v/>
      </c>
      <c r="K72" s="2">
        <f>INDEX(비용표!$C$13:$C$17,MATCH(J72,비용표!$A$13:$A$17,0))</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c r="U72" s="2" t="n"/>
    </row>
    <row r="73" ht="32" customHeight="1">
      <c r="A73" s="2" t="n">
        <v>72</v>
      </c>
      <c r="B73" s="2" t="inlineStr">
        <is>
          <t>⑤ 삼국 정립 (209~219)</t>
        </is>
      </c>
      <c r="C73" s="3" t="inlineStr">
        <is>
          <t>가맹관 야전</t>
        </is>
      </c>
      <c r="D73" s="2" t="inlineStr">
        <is>
          <t>葭萌關夜戰</t>
        </is>
      </c>
      <c r="E73" s="4">
        <f>INDEX(칸!$I$2:$I$416,MATCH(A73,칸!$A$2:$A$416,1))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COUNTIF(칸!$A$2:$A$416,A73)</f>
        <v/>
      </c>
      <c r="I73" s="2">
        <f>SUMIF(칸!$A$2:$A$416,A73,칸!$H$2:$H$416)</f>
        <v/>
      </c>
      <c r="J73" s="2">
        <f>IF(U73&lt;&gt;"",U73,INDEX(비용표!$A$13:$A$17,MATCH(I73,비용표!$B$13:$B$17,1)))</f>
        <v/>
      </c>
      <c r="K73" s="2">
        <f>INDEX(비용표!$C$13:$C$17,MATCH(J73,비용표!$A$13:$A$17,0))</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c r="U73" s="2" t="n"/>
    </row>
    <row r="74" ht="32" customHeight="1">
      <c r="A74" s="2" t="n">
        <v>73</v>
      </c>
      <c r="B74" s="2" t="inlineStr">
        <is>
          <t>⑤ 삼국 정립 (209~219)</t>
        </is>
      </c>
      <c r="C74" s="3" t="inlineStr">
        <is>
          <t>익주의 유장</t>
        </is>
      </c>
      <c r="D74" s="2" t="inlineStr">
        <is>
          <t>益州劉璋</t>
        </is>
      </c>
      <c r="E74" s="4">
        <f>INDEX(칸!$I$2:$I$416,MATCH(A74,칸!$A$2:$A$416,1))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COUNTIF(칸!$A$2:$A$416,A74)</f>
        <v/>
      </c>
      <c r="I74" s="2">
        <f>SUMIF(칸!$A$2:$A$416,A74,칸!$H$2:$H$416)</f>
        <v/>
      </c>
      <c r="J74" s="2">
        <f>IF(U74&lt;&gt;"",U74,INDEX(비용표!$A$13:$A$17,MATCH(I74,비용표!$B$13:$B$17,1)))</f>
        <v/>
      </c>
      <c r="K74" s="2">
        <f>INDEX(비용표!$C$13:$C$17,MATCH(J74,비용표!$A$13:$A$17,0))</f>
        <v/>
      </c>
      <c r="L74" s="4" t="inlineStr">
        <is>
          <t>황권 통솔+1</t>
        </is>
      </c>
      <c r="M74" s="2" t="inlineStr">
        <is>
          <t>능력치</t>
        </is>
      </c>
      <c r="N74" s="2" t="inlineStr">
        <is>
          <t>황권</t>
        </is>
      </c>
      <c r="O74" s="2" t="inlineStr">
        <is>
          <t>통솔</t>
        </is>
      </c>
      <c r="P74" s="2" t="n">
        <v>1</v>
      </c>
      <c r="Q74" s="4" t="n"/>
      <c r="R74" s="2" t="n"/>
      <c r="S74" s="2" t="n"/>
      <c r="T74" s="2" t="n"/>
      <c r="U74" s="2" t="n"/>
    </row>
    <row r="75" ht="32" customHeight="1">
      <c r="A75" s="2" t="n">
        <v>74</v>
      </c>
      <c r="B75" s="2" t="inlineStr">
        <is>
          <t>⑤ 삼국 정립 (209~219)</t>
        </is>
      </c>
      <c r="C75" s="3" t="inlineStr">
        <is>
          <t>단도부회</t>
        </is>
      </c>
      <c r="D75" s="2" t="inlineStr">
        <is>
          <t>單刀赴會</t>
        </is>
      </c>
      <c r="E75" s="4">
        <f>INDEX(칸!$I$2:$I$416,MATCH(A75,칸!$A$2:$A$416,1))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COUNTIF(칸!$A$2:$A$416,A75)</f>
        <v/>
      </c>
      <c r="I75" s="2">
        <f>SUMIF(칸!$A$2:$A$416,A75,칸!$H$2:$H$416)</f>
        <v/>
      </c>
      <c r="J75" s="2">
        <f>IF(U75&lt;&gt;"",U75,INDEX(비용표!$A$13:$A$17,MATCH(I75,비용표!$B$13:$B$17,1)))</f>
        <v/>
      </c>
      <c r="K75" s="2">
        <f>INDEX(비용표!$C$13:$C$17,MATCH(J75,비용표!$A$13:$A$17,0))</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c r="U75" s="2" t="n"/>
    </row>
    <row r="76" ht="32" customHeight="1">
      <c r="A76" s="2" t="n">
        <v>75</v>
      </c>
      <c r="B76" s="2" t="inlineStr">
        <is>
          <t>⑤ 삼국 정립 (209~219)</t>
        </is>
      </c>
      <c r="C76" s="3" t="inlineStr">
        <is>
          <t>유수구</t>
        </is>
      </c>
      <c r="D76" s="2" t="inlineStr">
        <is>
          <t>濡須口</t>
        </is>
      </c>
      <c r="E76" s="4">
        <f>INDEX(칸!$I$2:$I$416,MATCH(A76,칸!$A$2:$A$416,1))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COUNTIF(칸!$A$2:$A$416,A76)</f>
        <v/>
      </c>
      <c r="I76" s="2">
        <f>SUMIF(칸!$A$2:$A$416,A76,칸!$H$2:$H$416)</f>
        <v/>
      </c>
      <c r="J76" s="2">
        <f>IF(U76&lt;&gt;"",U76,INDEX(비용표!$A$13:$A$17,MATCH(I76,비용표!$B$13:$B$17,1)))</f>
        <v/>
      </c>
      <c r="K76" s="2">
        <f>INDEX(비용표!$C$13:$C$17,MATCH(J76,비용표!$A$13:$A$17,0))</f>
        <v/>
      </c>
      <c r="L76" s="4" t="inlineStr">
        <is>
          <t>손권 통솔+2</t>
        </is>
      </c>
      <c r="M76" s="2" t="inlineStr">
        <is>
          <t>능력치</t>
        </is>
      </c>
      <c r="N76" s="2" t="inlineStr">
        <is>
          <t>손권</t>
        </is>
      </c>
      <c r="O76" s="2" t="inlineStr">
        <is>
          <t>통솔</t>
        </is>
      </c>
      <c r="P76" s="2" t="n">
        <v>2</v>
      </c>
      <c r="Q76" s="4" t="n"/>
      <c r="R76" s="2" t="n"/>
      <c r="S76" s="2" t="n"/>
      <c r="T76" s="2" t="n"/>
      <c r="U76" s="2" t="n"/>
    </row>
    <row r="77" ht="32" customHeight="1">
      <c r="A77" s="2" t="n">
        <v>76</v>
      </c>
      <c r="B77" s="2" t="inlineStr">
        <is>
          <t>⑤ 삼국 정립 (209~219)</t>
        </is>
      </c>
      <c r="C77" s="3" t="inlineStr">
        <is>
          <t>빈 찬합</t>
        </is>
      </c>
      <c r="D77" s="2" t="inlineStr">
        <is>
          <t>空食盒</t>
        </is>
      </c>
      <c r="E77" s="4">
        <f>INDEX(칸!$I$2:$I$416,MATCH(A77,칸!$A$2:$A$416,1))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COUNTIF(칸!$A$2:$A$416,A77)</f>
        <v/>
      </c>
      <c r="I77" s="2">
        <f>SUMIF(칸!$A$2:$A$416,A77,칸!$H$2:$H$416)</f>
        <v/>
      </c>
      <c r="J77" s="2">
        <f>IF(U77&lt;&gt;"",U77,INDEX(비용표!$A$13:$A$17,MATCH(I77,비용표!$B$13:$B$17,1)))</f>
        <v/>
      </c>
      <c r="K77" s="2">
        <f>INDEX(비용표!$C$13:$C$17,MATCH(J77,비용표!$A$13:$A$17,0))</f>
        <v/>
      </c>
      <c r="L77" s="4" t="inlineStr">
        <is>
          <t>순욱 통솔+1</t>
        </is>
      </c>
      <c r="M77" s="2" t="inlineStr">
        <is>
          <t>능력치</t>
        </is>
      </c>
      <c r="N77" s="2" t="inlineStr">
        <is>
          <t>순욱</t>
        </is>
      </c>
      <c r="O77" s="2" t="inlineStr">
        <is>
          <t>통솔</t>
        </is>
      </c>
      <c r="P77" s="2" t="n">
        <v>1</v>
      </c>
      <c r="Q77" s="4" t="n"/>
      <c r="R77" s="2" t="n"/>
      <c r="S77" s="2" t="n"/>
      <c r="T77" s="2" t="n"/>
      <c r="U77" s="2" t="n"/>
    </row>
    <row r="78" ht="32" customHeight="1">
      <c r="A78" s="2" t="n">
        <v>77</v>
      </c>
      <c r="B78" s="2" t="inlineStr">
        <is>
          <t>⑤ 삼국 정립 (209~219)</t>
        </is>
      </c>
      <c r="C78" s="3" t="inlineStr">
        <is>
          <t>백기겁위영</t>
        </is>
      </c>
      <c r="D78" s="2" t="inlineStr">
        <is>
          <t>百騎劫魏營</t>
        </is>
      </c>
      <c r="E78" s="4">
        <f>INDEX(칸!$I$2:$I$416,MATCH(A78,칸!$A$2:$A$416,1))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COUNTIF(칸!$A$2:$A$416,A78)</f>
        <v/>
      </c>
      <c r="I78" s="2">
        <f>SUMIF(칸!$A$2:$A$416,A78,칸!$H$2:$H$416)</f>
        <v/>
      </c>
      <c r="J78" s="2">
        <f>IF(U78&lt;&gt;"",U78,INDEX(비용표!$A$13:$A$17,MATCH(I78,비용표!$B$13:$B$17,1)))</f>
        <v/>
      </c>
      <c r="K78" s="2">
        <f>INDEX(비용표!$C$13:$C$17,MATCH(J78,비용표!$A$13:$A$17,0))</f>
        <v/>
      </c>
      <c r="L78" s="4" t="inlineStr">
        <is>
          <t>감녕 통솔+2</t>
        </is>
      </c>
      <c r="M78" s="2" t="inlineStr">
        <is>
          <t>능력치</t>
        </is>
      </c>
      <c r="N78" s="2" t="inlineStr">
        <is>
          <t>감녕</t>
        </is>
      </c>
      <c r="O78" s="2" t="inlineStr">
        <is>
          <t>통솔</t>
        </is>
      </c>
      <c r="P78" s="2" t="n">
        <v>2</v>
      </c>
      <c r="Q78" s="4" t="n"/>
      <c r="R78" s="2" t="n"/>
      <c r="S78" s="2" t="n"/>
      <c r="T78" s="2" t="n"/>
      <c r="U78" s="2" t="n"/>
    </row>
    <row r="79" ht="32" customHeight="1">
      <c r="A79" s="2" t="n">
        <v>78</v>
      </c>
      <c r="B79" s="2" t="inlineStr">
        <is>
          <t>⑤ 삼국 정립 (209~219)</t>
        </is>
      </c>
      <c r="C79" s="3" t="inlineStr">
        <is>
          <t>합비 소요진</t>
        </is>
      </c>
      <c r="D79" s="2" t="inlineStr">
        <is>
          <t>逍遙津</t>
        </is>
      </c>
      <c r="E79" s="4">
        <f>INDEX(칸!$I$2:$I$416,MATCH(A79,칸!$A$2:$A$416,1))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COUNTIF(칸!$A$2:$A$416,A79)</f>
        <v/>
      </c>
      <c r="I79" s="2">
        <f>SUMIF(칸!$A$2:$A$416,A79,칸!$H$2:$H$416)</f>
        <v/>
      </c>
      <c r="J79" s="2">
        <f>IF(U79&lt;&gt;"",U79,INDEX(비용표!$A$13:$A$17,MATCH(I79,비용표!$B$13:$B$17,1)))</f>
        <v/>
      </c>
      <c r="K79" s="2">
        <f>INDEX(비용표!$C$13:$C$17,MATCH(J79,비용표!$A$13:$A$17,0))</f>
        <v/>
      </c>
      <c r="L79" s="4" t="inlineStr">
        <is>
          <t>장료의 「장료지제」 SP 6 → 5</t>
        </is>
      </c>
      <c r="M79" s="2" t="inlineStr">
        <is>
          <t>고유기술SP</t>
        </is>
      </c>
      <c r="N79" s="2" t="inlineStr">
        <is>
          <t>장료</t>
        </is>
      </c>
      <c r="O79" s="2" t="n"/>
      <c r="P79" s="2" t="n">
        <v>-1</v>
      </c>
      <c r="Q79" s="4" t="n"/>
      <c r="R79" s="2" t="n"/>
      <c r="S79" s="2" t="n"/>
      <c r="T79" s="2" t="n"/>
      <c r="U79" s="2" t="inlineStr">
        <is>
          <t>전설</t>
        </is>
      </c>
    </row>
    <row r="80" ht="32" customHeight="1">
      <c r="A80" s="2" t="n">
        <v>79</v>
      </c>
      <c r="B80" s="2" t="inlineStr">
        <is>
          <t>⑤ 삼국 정립 (209~219)</t>
        </is>
      </c>
      <c r="C80" s="3" t="inlineStr">
        <is>
          <t>괄목상대</t>
        </is>
      </c>
      <c r="D80" s="2" t="inlineStr">
        <is>
          <t>刮目相待</t>
        </is>
      </c>
      <c r="E80" s="4">
        <f>INDEX(칸!$I$2:$I$416,MATCH(A80,칸!$A$2:$A$416,1))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COUNTIF(칸!$A$2:$A$416,A80)</f>
        <v/>
      </c>
      <c r="I80" s="2">
        <f>SUMIF(칸!$A$2:$A$416,A80,칸!$H$2:$H$416)</f>
        <v/>
      </c>
      <c r="J80" s="2">
        <f>IF(U80&lt;&gt;"",U80,INDEX(비용표!$A$13:$A$17,MATCH(I80,비용표!$B$13:$B$17,1)))</f>
        <v/>
      </c>
      <c r="K80" s="2">
        <f>INDEX(비용표!$C$13:$C$17,MATCH(J80,비용표!$A$13:$A$17,0))</f>
        <v/>
      </c>
      <c r="L80" s="4" t="inlineStr">
        <is>
          <t>여몽 지력+1</t>
        </is>
      </c>
      <c r="M80" s="2" t="inlineStr">
        <is>
          <t>능력치</t>
        </is>
      </c>
      <c r="N80" s="2" t="inlineStr">
        <is>
          <t>여몽</t>
        </is>
      </c>
      <c r="O80" s="2" t="inlineStr">
        <is>
          <t>지력</t>
        </is>
      </c>
      <c r="P80" s="2" t="n">
        <v>1</v>
      </c>
      <c r="Q80" s="4" t="n"/>
      <c r="R80" s="2" t="n"/>
      <c r="S80" s="2" t="n"/>
      <c r="T80" s="2" t="n"/>
      <c r="U80" s="2" t="n"/>
    </row>
    <row r="81" ht="32" customHeight="1">
      <c r="A81" s="2" t="n">
        <v>80</v>
      </c>
      <c r="B81" s="2" t="inlineStr">
        <is>
          <t>⑤ 삼국 정립 (209~219)</t>
        </is>
      </c>
      <c r="C81" s="3" t="inlineStr">
        <is>
          <t>정군산</t>
        </is>
      </c>
      <c r="D81" s="2" t="inlineStr">
        <is>
          <t>定軍山</t>
        </is>
      </c>
      <c r="E81" s="4">
        <f>INDEX(칸!$I$2:$I$416,MATCH(A81,칸!$A$2:$A$416,1))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COUNTIF(칸!$A$2:$A$416,A81)</f>
        <v/>
      </c>
      <c r="I81" s="2">
        <f>SUMIF(칸!$A$2:$A$416,A81,칸!$H$2:$H$416)</f>
        <v/>
      </c>
      <c r="J81" s="2">
        <f>IF(U81&lt;&gt;"",U81,INDEX(비용표!$A$13:$A$17,MATCH(I81,비용표!$B$13:$B$17,1)))</f>
        <v/>
      </c>
      <c r="K81" s="2">
        <f>INDEX(비용표!$C$13:$C$17,MATCH(J81,비용표!$A$13:$A$17,0))</f>
        <v/>
      </c>
      <c r="L81" s="4" t="inlineStr">
        <is>
          <t>황충의 「백보천양」 SP 6 → 5</t>
        </is>
      </c>
      <c r="M81" s="2" t="inlineStr">
        <is>
          <t>고유기술SP</t>
        </is>
      </c>
      <c r="N81" s="2" t="inlineStr">
        <is>
          <t>황충</t>
        </is>
      </c>
      <c r="O81" s="2" t="n"/>
      <c r="P81" s="2" t="n">
        <v>-1</v>
      </c>
      <c r="Q81" s="4" t="n"/>
      <c r="R81" s="2" t="n"/>
      <c r="S81" s="2" t="n"/>
      <c r="T81" s="2" t="n"/>
      <c r="U81" s="2" t="inlineStr">
        <is>
          <t>전설</t>
        </is>
      </c>
    </row>
    <row r="82" ht="48" customHeight="1">
      <c r="A82" s="2" t="n">
        <v>81</v>
      </c>
      <c r="B82" s="2" t="inlineStr">
        <is>
          <t>⑤ 삼국 정립 (209~219)</t>
        </is>
      </c>
      <c r="C82" s="3" t="inlineStr">
        <is>
          <t>계륵</t>
        </is>
      </c>
      <c r="D82" s="2" t="inlineStr">
        <is>
          <t>鷄肋</t>
        </is>
      </c>
      <c r="E82" s="4">
        <f>INDEX(칸!$I$2:$I$416,MATCH(A82,칸!$A$2:$A$416,1))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COUNTIF(칸!$A$2:$A$416,A82)</f>
        <v/>
      </c>
      <c r="I82" s="2">
        <f>SUMIF(칸!$A$2:$A$416,A82,칸!$H$2:$H$416)</f>
        <v/>
      </c>
      <c r="J82" s="2">
        <f>IF(U82&lt;&gt;"",U82,INDEX(비용표!$A$13:$A$17,MATCH(I82,비용표!$B$13:$B$17,1)))</f>
        <v/>
      </c>
      <c r="K82" s="2">
        <f>INDEX(비용표!$C$13:$C$17,MATCH(J82,비용표!$A$13:$A$17,0))</f>
        <v/>
      </c>
      <c r="L82" s="4" t="inlineStr">
        <is>
          <t>양수 지력+2</t>
        </is>
      </c>
      <c r="M82" s="2" t="inlineStr">
        <is>
          <t>능력치</t>
        </is>
      </c>
      <c r="N82" s="2" t="inlineStr">
        <is>
          <t>양수</t>
        </is>
      </c>
      <c r="O82" s="2" t="inlineStr">
        <is>
          <t>지력</t>
        </is>
      </c>
      <c r="P82" s="2" t="n">
        <v>2</v>
      </c>
      <c r="Q82" s="4" t="n"/>
      <c r="R82" s="2" t="n"/>
      <c r="S82" s="2" t="n"/>
      <c r="T82" s="2" t="n"/>
      <c r="U82" s="2" t="n"/>
    </row>
    <row r="83" ht="32" customHeight="1">
      <c r="A83" s="2" t="n">
        <v>82</v>
      </c>
      <c r="B83" s="2" t="inlineStr">
        <is>
          <t>⑤ 삼국 정립 (209~219)</t>
        </is>
      </c>
      <c r="C83" s="3" t="inlineStr">
        <is>
          <t>수엄칠군</t>
        </is>
      </c>
      <c r="D83" s="2" t="inlineStr">
        <is>
          <t>水淹七軍</t>
        </is>
      </c>
      <c r="E83" s="4">
        <f>INDEX(칸!$I$2:$I$416,MATCH(A83,칸!$A$2:$A$416,1))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COUNTIF(칸!$A$2:$A$416,A83)</f>
        <v/>
      </c>
      <c r="I83" s="2">
        <f>SUMIF(칸!$A$2:$A$416,A83,칸!$H$2:$H$416)</f>
        <v/>
      </c>
      <c r="J83" s="2">
        <f>IF(U83&lt;&gt;"",U83,INDEX(비용표!$A$13:$A$17,MATCH(I83,비용표!$B$13:$B$17,1)))</f>
        <v/>
      </c>
      <c r="K83" s="2">
        <f>INDEX(비용표!$C$13:$C$17,MATCH(J83,비용표!$A$13:$A$17,0))</f>
        <v/>
      </c>
      <c r="L83" s="4" t="inlineStr">
        <is>
          <t>관우 지력+2</t>
        </is>
      </c>
      <c r="M83" s="2" t="inlineStr">
        <is>
          <t>능력치</t>
        </is>
      </c>
      <c r="N83" s="2" t="inlineStr">
        <is>
          <t>관우</t>
        </is>
      </c>
      <c r="O83" s="2" t="inlineStr">
        <is>
          <t>지력</t>
        </is>
      </c>
      <c r="P83" s="2" t="n">
        <v>2</v>
      </c>
      <c r="Q83" s="4" t="n"/>
      <c r="R83" s="2" t="n"/>
      <c r="S83" s="2" t="n"/>
      <c r="T83" s="2" t="n"/>
      <c r="U83" s="2" t="n"/>
    </row>
    <row r="84" ht="32" customHeight="1">
      <c r="A84" s="2" t="n">
        <v>83</v>
      </c>
      <c r="B84" s="2" t="inlineStr">
        <is>
          <t>⑤ 삼국 정립 (209~219)</t>
        </is>
      </c>
      <c r="C84" s="3" t="inlineStr">
        <is>
          <t>관을 멘 방덕</t>
        </is>
      </c>
      <c r="D84" s="2" t="inlineStr">
        <is>
          <t>抬櫬決戰</t>
        </is>
      </c>
      <c r="E84" s="4">
        <f>INDEX(칸!$I$2:$I$416,MATCH(A84,칸!$A$2:$A$416,1))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COUNTIF(칸!$A$2:$A$416,A84)</f>
        <v/>
      </c>
      <c r="I84" s="2">
        <f>SUMIF(칸!$A$2:$A$416,A84,칸!$H$2:$H$416)</f>
        <v/>
      </c>
      <c r="J84" s="2">
        <f>IF(U84&lt;&gt;"",U84,INDEX(비용표!$A$13:$A$17,MATCH(I84,비용표!$B$13:$B$17,1)))</f>
        <v/>
      </c>
      <c r="K84" s="2">
        <f>INDEX(비용표!$C$13:$C$17,MATCH(J84,비용표!$A$13:$A$17,0))</f>
        <v/>
      </c>
      <c r="L84" s="4" t="inlineStr">
        <is>
          <t>적진에 관우 시 방덕 HP+2</t>
        </is>
      </c>
      <c r="M84" s="2" t="inlineStr">
        <is>
          <t>능력치</t>
        </is>
      </c>
      <c r="N84" s="2" t="inlineStr">
        <is>
          <t>방덕</t>
        </is>
      </c>
      <c r="O84" s="2" t="inlineStr">
        <is>
          <t>HP</t>
        </is>
      </c>
      <c r="P84" s="2" t="n">
        <v>2</v>
      </c>
      <c r="Q84" s="4" t="n"/>
      <c r="R84" s="2" t="n"/>
      <c r="S84" s="2" t="inlineStr">
        <is>
          <t>관우</t>
        </is>
      </c>
      <c r="T84" s="2" t="n"/>
      <c r="U84" s="2" t="n"/>
    </row>
    <row r="85" ht="32" customHeight="1">
      <c r="A85" s="2" t="n">
        <v>84</v>
      </c>
      <c r="B85" s="2" t="inlineStr">
        <is>
          <t>⑤ 삼국 정립 (209~219)</t>
        </is>
      </c>
      <c r="C85" s="3" t="inlineStr">
        <is>
          <t>백의도강</t>
        </is>
      </c>
      <c r="D85" s="2" t="inlineStr">
        <is>
          <t>白衣渡江</t>
        </is>
      </c>
      <c r="E85" s="4">
        <f>INDEX(칸!$I$2:$I$416,MATCH(A85,칸!$A$2:$A$416,1))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COUNTIF(칸!$A$2:$A$416,A85)</f>
        <v/>
      </c>
      <c r="I85" s="2">
        <f>SUMIF(칸!$A$2:$A$416,A85,칸!$H$2:$H$416)</f>
        <v/>
      </c>
      <c r="J85" s="2">
        <f>IF(U85&lt;&gt;"",U85,INDEX(비용표!$A$13:$A$17,MATCH(I85,비용표!$B$13:$B$17,1)))</f>
        <v/>
      </c>
      <c r="K85" s="2">
        <f>INDEX(비용표!$C$13:$C$17,MATCH(J85,비용표!$A$13:$A$17,0))</f>
        <v/>
      </c>
      <c r="L85" s="4" t="inlineStr">
        <is>
          <t>여몽의 「백의도강」 SP 6 → 5</t>
        </is>
      </c>
      <c r="M85" s="2" t="inlineStr">
        <is>
          <t>고유기술SP</t>
        </is>
      </c>
      <c r="N85" s="2" t="inlineStr">
        <is>
          <t>여몽</t>
        </is>
      </c>
      <c r="O85" s="2" t="n"/>
      <c r="P85" s="2" t="n">
        <v>-1</v>
      </c>
      <c r="Q85" s="4" t="n"/>
      <c r="R85" s="2" t="n"/>
      <c r="S85" s="2" t="n"/>
      <c r="T85" s="2" t="n"/>
      <c r="U85" s="2" t="n"/>
    </row>
    <row r="86" ht="32" customHeight="1">
      <c r="A86" s="2" t="n">
        <v>85</v>
      </c>
      <c r="B86" s="2" t="inlineStr">
        <is>
          <t>⑤ 삼국 정립 (209~219)</t>
        </is>
      </c>
      <c r="C86" s="3" t="inlineStr">
        <is>
          <t>맥성</t>
        </is>
      </c>
      <c r="D86" s="2" t="inlineStr">
        <is>
          <t>走麥城</t>
        </is>
      </c>
      <c r="E86" s="4">
        <f>INDEX(칸!$I$2:$I$416,MATCH(A86,칸!$A$2:$A$416,1))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COUNTIF(칸!$A$2:$A$416,A86)</f>
        <v/>
      </c>
      <c r="I86" s="2">
        <f>SUMIF(칸!$A$2:$A$416,A86,칸!$H$2:$H$416)</f>
        <v/>
      </c>
      <c r="J86" s="2">
        <f>IF(U86&lt;&gt;"",U86,INDEX(비용표!$A$13:$A$17,MATCH(I86,비용표!$B$13:$B$17,1)))</f>
        <v/>
      </c>
      <c r="K86" s="2">
        <f>INDEX(비용표!$C$13:$C$17,MATCH(J86,비용표!$A$13:$A$17,0))</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c r="U86" s="2" t="n"/>
    </row>
    <row r="87" ht="32" customHeight="1">
      <c r="A87" s="2" t="n">
        <v>86</v>
      </c>
      <c r="B87" s="2" t="inlineStr">
        <is>
          <t>⑥ 이릉 · 남정 (220~225)</t>
        </is>
      </c>
      <c r="C87" s="3" t="inlineStr">
        <is>
          <t>수선대</t>
        </is>
      </c>
      <c r="D87" s="2" t="inlineStr">
        <is>
          <t>受禪臺</t>
        </is>
      </c>
      <c r="E87" s="4">
        <f>INDEX(칸!$I$2:$I$416,MATCH(A87,칸!$A$2:$A$416,1))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COUNTIF(칸!$A$2:$A$416,A87)</f>
        <v/>
      </c>
      <c r="I87" s="2">
        <f>SUMIF(칸!$A$2:$A$416,A87,칸!$H$2:$H$416)</f>
        <v/>
      </c>
      <c r="J87" s="2">
        <f>IF(U87&lt;&gt;"",U87,INDEX(비용표!$A$13:$A$17,MATCH(I87,비용표!$B$13:$B$17,1)))</f>
        <v/>
      </c>
      <c r="K87" s="2">
        <f>INDEX(비용표!$C$13:$C$17,MATCH(J87,비용표!$A$13:$A$17,0))</f>
        <v/>
      </c>
      <c r="L87" s="4" t="inlineStr">
        <is>
          <t>조비 지력+2</t>
        </is>
      </c>
      <c r="M87" s="2" t="inlineStr">
        <is>
          <t>능력치</t>
        </is>
      </c>
      <c r="N87" s="2" t="inlineStr">
        <is>
          <t>조비</t>
        </is>
      </c>
      <c r="O87" s="2" t="inlineStr">
        <is>
          <t>지력</t>
        </is>
      </c>
      <c r="P87" s="2" t="n">
        <v>2</v>
      </c>
      <c r="Q87" s="4" t="n"/>
      <c r="R87" s="2" t="n"/>
      <c r="S87" s="2" t="n"/>
      <c r="T87" s="2" t="n"/>
      <c r="U87" s="2" t="n"/>
    </row>
    <row r="88" ht="32" customHeight="1">
      <c r="A88" s="2" t="n">
        <v>87</v>
      </c>
      <c r="B88" s="2" t="inlineStr">
        <is>
          <t>⑥ 이릉 · 남정 (220~225)</t>
        </is>
      </c>
      <c r="C88" s="3" t="inlineStr">
        <is>
          <t>칠보시</t>
        </is>
      </c>
      <c r="D88" s="2" t="inlineStr">
        <is>
          <t>七步詩</t>
        </is>
      </c>
      <c r="E88" s="4">
        <f>INDEX(칸!$I$2:$I$416,MATCH(A88,칸!$A$2:$A$416,1))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COUNTIF(칸!$A$2:$A$416,A88)</f>
        <v/>
      </c>
      <c r="I88" s="2">
        <f>SUMIF(칸!$A$2:$A$416,A88,칸!$H$2:$H$416)</f>
        <v/>
      </c>
      <c r="J88" s="2">
        <f>IF(U88&lt;&gt;"",U88,INDEX(비용표!$A$13:$A$17,MATCH(I88,비용표!$B$13:$B$17,1)))</f>
        <v/>
      </c>
      <c r="K88" s="2">
        <f>INDEX(비용표!$C$13:$C$17,MATCH(J88,비용표!$A$13:$A$17,0))</f>
        <v/>
      </c>
      <c r="L88" s="4" t="inlineStr">
        <is>
          <t>적진에 조비 시 조식 HP+2</t>
        </is>
      </c>
      <c r="M88" s="2" t="inlineStr">
        <is>
          <t>능력치</t>
        </is>
      </c>
      <c r="N88" s="2" t="inlineStr">
        <is>
          <t>조식</t>
        </is>
      </c>
      <c r="O88" s="2" t="inlineStr">
        <is>
          <t>HP</t>
        </is>
      </c>
      <c r="P88" s="2" t="n">
        <v>2</v>
      </c>
      <c r="Q88" s="4" t="n"/>
      <c r="R88" s="2" t="n"/>
      <c r="S88" s="2" t="inlineStr">
        <is>
          <t>조비</t>
        </is>
      </c>
      <c r="T88" s="2" t="n"/>
      <c r="U88" s="2" t="n"/>
    </row>
    <row r="89" ht="32" customHeight="1">
      <c r="A89" s="2" t="n">
        <v>88</v>
      </c>
      <c r="B89" s="2" t="inlineStr">
        <is>
          <t>⑥ 이릉 · 남정 (220~225)</t>
        </is>
      </c>
      <c r="C89" s="3" t="inlineStr">
        <is>
          <t>아버지의 원수</t>
        </is>
      </c>
      <c r="D89" s="2" t="inlineStr">
        <is>
          <t>關興張苞</t>
        </is>
      </c>
      <c r="E89" s="4">
        <f>INDEX(칸!$I$2:$I$416,MATCH(A89,칸!$A$2:$A$416,1))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COUNTIF(칸!$A$2:$A$416,A89)</f>
        <v/>
      </c>
      <c r="I89" s="2">
        <f>SUMIF(칸!$A$2:$A$416,A89,칸!$H$2:$H$416)</f>
        <v/>
      </c>
      <c r="J89" s="2">
        <f>IF(U89&lt;&gt;"",U89,INDEX(비용표!$A$13:$A$17,MATCH(I89,비용표!$B$13:$B$17,1)))</f>
        <v/>
      </c>
      <c r="K89" s="2">
        <f>INDEX(비용표!$C$13:$C$17,MATCH(J89,비용표!$A$13:$A$17,0))</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c r="U89" s="2" t="n"/>
    </row>
    <row r="90" ht="32" customHeight="1">
      <c r="A90" s="2" t="n">
        <v>89</v>
      </c>
      <c r="B90" s="2" t="inlineStr">
        <is>
          <t>⑥ 이릉 · 남정 (220~225)</t>
        </is>
      </c>
      <c r="C90" s="3" t="inlineStr">
        <is>
          <t>오계의 만왕</t>
        </is>
      </c>
      <c r="D90" s="2" t="inlineStr">
        <is>
          <t>沙摩柯</t>
        </is>
      </c>
      <c r="E90" s="4">
        <f>INDEX(칸!$I$2:$I$416,MATCH(A90,칸!$A$2:$A$416,1))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COUNTIF(칸!$A$2:$A$416,A90)</f>
        <v/>
      </c>
      <c r="I90" s="2">
        <f>SUMIF(칸!$A$2:$A$416,A90,칸!$H$2:$H$416)</f>
        <v/>
      </c>
      <c r="J90" s="2">
        <f>IF(U90&lt;&gt;"",U90,INDEX(비용표!$A$13:$A$17,MATCH(I90,비용표!$B$13:$B$17,1)))</f>
        <v/>
      </c>
      <c r="K90" s="2">
        <f>INDEX(비용표!$C$13:$C$17,MATCH(J90,비용표!$A$13:$A$17,0))</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c r="U90" s="2" t="n"/>
    </row>
    <row r="91" ht="32" customHeight="1">
      <c r="A91" s="2" t="n">
        <v>90</v>
      </c>
      <c r="B91" s="2" t="inlineStr">
        <is>
          <t>⑥ 이릉 · 남정 (220~225)</t>
        </is>
      </c>
      <c r="C91" s="3" t="inlineStr">
        <is>
          <t>이릉대전</t>
        </is>
      </c>
      <c r="D91" s="2" t="inlineStr">
        <is>
          <t>夷陵之戰</t>
        </is>
      </c>
      <c r="E91" s="4">
        <f>INDEX(칸!$I$2:$I$416,MATCH(A91,칸!$A$2:$A$416,1))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COUNTIF(칸!$A$2:$A$416,A91)</f>
        <v/>
      </c>
      <c r="I91" s="2">
        <f>SUMIF(칸!$A$2:$A$416,A91,칸!$H$2:$H$416)</f>
        <v/>
      </c>
      <c r="J91" s="2">
        <f>IF(U91&lt;&gt;"",U91,INDEX(비용표!$A$13:$A$17,MATCH(I91,비용표!$B$13:$B$17,1)))</f>
        <v/>
      </c>
      <c r="K91" s="2">
        <f>INDEX(비용표!$C$13:$C$17,MATCH(J91,비용표!$A$13:$A$17,0))</f>
        <v/>
      </c>
      <c r="L91" s="4" t="inlineStr">
        <is>
          <t>육손의 「화소연영」 SP 6 → 5</t>
        </is>
      </c>
      <c r="M91" s="2" t="inlineStr">
        <is>
          <t>고유기술SP</t>
        </is>
      </c>
      <c r="N91" s="2" t="inlineStr">
        <is>
          <t>육손</t>
        </is>
      </c>
      <c r="O91" s="2" t="n"/>
      <c r="P91" s="2" t="n">
        <v>-1</v>
      </c>
      <c r="Q91" s="4" t="n"/>
      <c r="R91" s="2" t="n"/>
      <c r="S91" s="2" t="n"/>
      <c r="T91" s="2" t="n"/>
      <c r="U91" s="2" t="inlineStr">
        <is>
          <t>전설</t>
        </is>
      </c>
    </row>
    <row r="92" ht="32" customHeight="1">
      <c r="A92" s="2" t="n">
        <v>91</v>
      </c>
      <c r="B92" s="2" t="inlineStr">
        <is>
          <t>⑥ 이릉 · 남정 (220~225)</t>
        </is>
      </c>
      <c r="C92" s="3" t="inlineStr">
        <is>
          <t>백제성 탁고</t>
        </is>
      </c>
      <c r="D92" s="2" t="inlineStr">
        <is>
          <t>白帝城託孤</t>
        </is>
      </c>
      <c r="E92" s="4">
        <f>INDEX(칸!$I$2:$I$416,MATCH(A92,칸!$A$2:$A$416,1))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COUNTIF(칸!$A$2:$A$416,A92)</f>
        <v/>
      </c>
      <c r="I92" s="2">
        <f>SUMIF(칸!$A$2:$A$416,A92,칸!$H$2:$H$416)</f>
        <v/>
      </c>
      <c r="J92" s="2">
        <f>IF(U92&lt;&gt;"",U92,INDEX(비용표!$A$13:$A$17,MATCH(I92,비용표!$B$13:$B$17,1)))</f>
        <v/>
      </c>
      <c r="K92" s="2">
        <f>INDEX(비용표!$C$13:$C$17,MATCH(J92,비용표!$A$13:$A$17,0))</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c r="U92" s="2" t="n"/>
    </row>
    <row r="93" ht="32" customHeight="1">
      <c r="A93" s="2" t="n">
        <v>92</v>
      </c>
      <c r="B93" s="2" t="inlineStr">
        <is>
          <t>⑥ 이릉 · 남정 (220~225)</t>
        </is>
      </c>
      <c r="C93" s="3" t="inlineStr">
        <is>
          <t>서성의 가짜 성벽</t>
        </is>
      </c>
      <c r="D93" s="2" t="inlineStr">
        <is>
          <t>徐盛疑城</t>
        </is>
      </c>
      <c r="E93" s="4">
        <f>INDEX(칸!$I$2:$I$416,MATCH(A93,칸!$A$2:$A$416,1))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COUNTIF(칸!$A$2:$A$416,A93)</f>
        <v/>
      </c>
      <c r="I93" s="2">
        <f>SUMIF(칸!$A$2:$A$416,A93,칸!$H$2:$H$416)</f>
        <v/>
      </c>
      <c r="J93" s="2">
        <f>IF(U93&lt;&gt;"",U93,INDEX(비용표!$A$13:$A$17,MATCH(I93,비용표!$B$13:$B$17,1)))</f>
        <v/>
      </c>
      <c r="K93" s="2">
        <f>INDEX(비용표!$C$13:$C$17,MATCH(J93,비용표!$A$13:$A$17,0))</f>
        <v/>
      </c>
      <c r="L93" s="4" t="inlineStr">
        <is>
          <t>서성 지력+1</t>
        </is>
      </c>
      <c r="M93" s="2" t="inlineStr">
        <is>
          <t>능력치</t>
        </is>
      </c>
      <c r="N93" s="2" t="inlineStr">
        <is>
          <t>서성</t>
        </is>
      </c>
      <c r="O93" s="2" t="inlineStr">
        <is>
          <t>지력</t>
        </is>
      </c>
      <c r="P93" s="2" t="n">
        <v>1</v>
      </c>
      <c r="Q93" s="4" t="n"/>
      <c r="R93" s="2" t="n"/>
      <c r="S93" s="2" t="n"/>
      <c r="T93" s="2" t="n"/>
      <c r="U93" s="2" t="n"/>
    </row>
    <row r="94" ht="32" customHeight="1">
      <c r="A94" s="2" t="n">
        <v>93</v>
      </c>
      <c r="B94" s="2" t="inlineStr">
        <is>
          <t>⑥ 이릉 · 남정 (220~225)</t>
        </is>
      </c>
      <c r="C94" s="3" t="inlineStr">
        <is>
          <t>칠종칠금</t>
        </is>
      </c>
      <c r="D94" s="2" t="inlineStr">
        <is>
          <t>七縱七擒</t>
        </is>
      </c>
      <c r="E94" s="4">
        <f>INDEX(칸!$I$2:$I$416,MATCH(A94,칸!$A$2:$A$416,1))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COUNTIF(칸!$A$2:$A$416,A94)</f>
        <v/>
      </c>
      <c r="I94" s="2">
        <f>SUMIF(칸!$A$2:$A$416,A94,칸!$H$2:$H$416)</f>
        <v/>
      </c>
      <c r="J94" s="2">
        <f>IF(U94&lt;&gt;"",U94,INDEX(비용표!$A$13:$A$17,MATCH(I94,비용표!$B$13:$B$17,1)))</f>
        <v/>
      </c>
      <c r="K94" s="2">
        <f>INDEX(비용표!$C$13:$C$17,MATCH(J94,비용표!$A$13:$A$17,0))</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c r="U94" s="2" t="n"/>
    </row>
    <row r="95" ht="32" customHeight="1">
      <c r="A95" s="2" t="n">
        <v>94</v>
      </c>
      <c r="B95" s="2" t="inlineStr">
        <is>
          <t>⑥ 이릉 · 남정 (220~225)</t>
        </is>
      </c>
      <c r="C95" s="3" t="inlineStr">
        <is>
          <t>출사표</t>
        </is>
      </c>
      <c r="D95" s="2" t="inlineStr">
        <is>
          <t>出師表</t>
        </is>
      </c>
      <c r="E95" s="4">
        <f>INDEX(칸!$I$2:$I$416,MATCH(A95,칸!$A$2:$A$416,1))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COUNTIF(칸!$A$2:$A$416,A95)</f>
        <v/>
      </c>
      <c r="I95" s="2">
        <f>SUMIF(칸!$A$2:$A$416,A95,칸!$H$2:$H$416)</f>
        <v/>
      </c>
      <c r="J95" s="2">
        <f>IF(U95&lt;&gt;"",U95,INDEX(비용표!$A$13:$A$17,MATCH(I95,비용표!$B$13:$B$17,1)))</f>
        <v/>
      </c>
      <c r="K95" s="2">
        <f>INDEX(비용표!$C$13:$C$17,MATCH(J95,비용표!$A$13:$A$17,0))</f>
        <v/>
      </c>
      <c r="L95" s="4" t="inlineStr">
        <is>
          <t>군량 충전 속도 +5%</t>
        </is>
      </c>
      <c r="M95" s="2" t="inlineStr">
        <is>
          <t>도시</t>
        </is>
      </c>
      <c r="N95" s="2" t="n"/>
      <c r="O95" s="2" t="n"/>
      <c r="P95" s="2" t="n">
        <v>5</v>
      </c>
      <c r="Q95" s="4" t="n"/>
      <c r="R95" s="2" t="n"/>
      <c r="S95" s="2" t="n"/>
      <c r="T95" s="2" t="inlineStr">
        <is>
          <t>grainRate</t>
        </is>
      </c>
      <c r="U95" s="2" t="n"/>
    </row>
    <row r="96" ht="48" customHeight="1">
      <c r="A96" s="2" t="n">
        <v>95</v>
      </c>
      <c r="B96" s="2" t="inlineStr">
        <is>
          <t>⑥ 이릉 · 남정 (220~225)</t>
        </is>
      </c>
      <c r="C96" s="3" t="inlineStr">
        <is>
          <t>오두미도</t>
        </is>
      </c>
      <c r="D96" s="2" t="inlineStr">
        <is>
          <t>五斗米道</t>
        </is>
      </c>
      <c r="E96" s="4">
        <f>INDEX(칸!$I$2:$I$416,MATCH(A96,칸!$A$2:$A$416,1))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COUNTIF(칸!$A$2:$A$416,A96)</f>
        <v/>
      </c>
      <c r="I96" s="2">
        <f>SUMIF(칸!$A$2:$A$416,A96,칸!$H$2:$H$416)</f>
        <v/>
      </c>
      <c r="J96" s="2">
        <f>IF(U96&lt;&gt;"",U96,INDEX(비용표!$A$13:$A$17,MATCH(I96,비용표!$B$13:$B$17,1)))</f>
        <v/>
      </c>
      <c r="K96" s="2">
        <f>INDEX(비용표!$C$13:$C$17,MATCH(J96,비용표!$A$13:$A$17,0))</f>
        <v/>
      </c>
      <c r="L96" s="4" t="inlineStr">
        <is>
          <t>병원 치료 시간 −5%</t>
        </is>
      </c>
      <c r="M96" s="2" t="inlineStr">
        <is>
          <t>도시</t>
        </is>
      </c>
      <c r="N96" s="2" t="n"/>
      <c r="O96" s="2" t="n"/>
      <c r="P96" s="2" t="n">
        <v>5</v>
      </c>
      <c r="Q96" s="4" t="n"/>
      <c r="R96" s="2" t="n"/>
      <c r="S96" s="2" t="n"/>
      <c r="T96" s="2" t="inlineStr">
        <is>
          <t>heal</t>
        </is>
      </c>
      <c r="U96" s="2" t="n"/>
    </row>
    <row r="97" ht="32" customHeight="1">
      <c r="A97" s="2" t="n">
        <v>96</v>
      </c>
      <c r="B97" s="2" t="inlineStr">
        <is>
          <t>⑦ 북벌 (227~234)</t>
        </is>
      </c>
      <c r="C97" s="3" t="inlineStr">
        <is>
          <t>천수의 강유</t>
        </is>
      </c>
      <c r="D97" s="2" t="inlineStr">
        <is>
          <t>天水姜維</t>
        </is>
      </c>
      <c r="E97" s="4">
        <f>INDEX(칸!$I$2:$I$416,MATCH(A97,칸!$A$2:$A$416,1))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COUNTIF(칸!$A$2:$A$416,A97)</f>
        <v/>
      </c>
      <c r="I97" s="2">
        <f>SUMIF(칸!$A$2:$A$416,A97,칸!$H$2:$H$416)</f>
        <v/>
      </c>
      <c r="J97" s="2">
        <f>IF(U97&lt;&gt;"",U97,INDEX(비용표!$A$13:$A$17,MATCH(I97,비용표!$B$13:$B$17,1)))</f>
        <v/>
      </c>
      <c r="K97" s="2">
        <f>INDEX(비용표!$C$13:$C$17,MATCH(J97,비용표!$A$13:$A$17,0))</f>
        <v/>
      </c>
      <c r="L97" s="4" t="inlineStr">
        <is>
          <t>강유 통솔+2</t>
        </is>
      </c>
      <c r="M97" s="2" t="inlineStr">
        <is>
          <t>능력치</t>
        </is>
      </c>
      <c r="N97" s="2" t="inlineStr">
        <is>
          <t>강유</t>
        </is>
      </c>
      <c r="O97" s="2" t="inlineStr">
        <is>
          <t>통솔</t>
        </is>
      </c>
      <c r="P97" s="2" t="n">
        <v>2</v>
      </c>
      <c r="Q97" s="4" t="n"/>
      <c r="R97" s="2" t="n"/>
      <c r="S97" s="2" t="n"/>
      <c r="T97" s="2" t="n"/>
      <c r="U97" s="2" t="n"/>
    </row>
    <row r="98" ht="32" customHeight="1">
      <c r="A98" s="2" t="n">
        <v>97</v>
      </c>
      <c r="B98" s="2" t="inlineStr">
        <is>
          <t>⑦ 북벌 (227~234)</t>
        </is>
      </c>
      <c r="C98" s="3" t="inlineStr">
        <is>
          <t>가정</t>
        </is>
      </c>
      <c r="D98" s="2" t="inlineStr">
        <is>
          <t>街亭</t>
        </is>
      </c>
      <c r="E98" s="4">
        <f>INDEX(칸!$I$2:$I$416,MATCH(A98,칸!$A$2:$A$416,1))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COUNTIF(칸!$A$2:$A$416,A98)</f>
        <v/>
      </c>
      <c r="I98" s="2">
        <f>SUMIF(칸!$A$2:$A$416,A98,칸!$H$2:$H$416)</f>
        <v/>
      </c>
      <c r="J98" s="2">
        <f>IF(U98&lt;&gt;"",U98,INDEX(비용표!$A$13:$A$17,MATCH(I98,비용표!$B$13:$B$17,1)))</f>
        <v/>
      </c>
      <c r="K98" s="2">
        <f>INDEX(비용표!$C$13:$C$17,MATCH(J98,비용표!$A$13:$A$17,0))</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c r="U98" s="2" t="n"/>
    </row>
    <row r="99" ht="32" customHeight="1">
      <c r="A99" s="2" t="n">
        <v>98</v>
      </c>
      <c r="B99" s="2" t="inlineStr">
        <is>
          <t>⑦ 북벌 (227~234)</t>
        </is>
      </c>
      <c r="C99" s="3" t="inlineStr">
        <is>
          <t>공성계</t>
        </is>
      </c>
      <c r="D99" s="2" t="inlineStr">
        <is>
          <t>空城計</t>
        </is>
      </c>
      <c r="E99" s="4">
        <f>INDEX(칸!$I$2:$I$416,MATCH(A99,칸!$A$2:$A$416,1))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COUNTIF(칸!$A$2:$A$416,A99)</f>
        <v/>
      </c>
      <c r="I99" s="2">
        <f>SUMIF(칸!$A$2:$A$416,A99,칸!$H$2:$H$416)</f>
        <v/>
      </c>
      <c r="J99" s="2">
        <f>IF(U99&lt;&gt;"",U99,INDEX(비용표!$A$13:$A$17,MATCH(I99,비용표!$B$13:$B$17,1)))</f>
        <v/>
      </c>
      <c r="K99" s="2">
        <f>INDEX(비용표!$C$13:$C$17,MATCH(J99,비용표!$A$13:$A$17,0))</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c r="U99" s="2" t="n"/>
    </row>
    <row r="100" ht="32" customHeight="1">
      <c r="A100" s="2" t="n">
        <v>99</v>
      </c>
      <c r="B100" s="2" t="inlineStr">
        <is>
          <t>⑦ 북벌 (227~234)</t>
        </is>
      </c>
      <c r="C100" s="3" t="inlineStr">
        <is>
          <t>진창 수성</t>
        </is>
      </c>
      <c r="D100" s="2" t="inlineStr">
        <is>
          <t>陳倉守城</t>
        </is>
      </c>
      <c r="E100" s="4">
        <f>INDEX(칸!$I$2:$I$416,MATCH(A100,칸!$A$2:$A$416,1))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COUNTIF(칸!$A$2:$A$416,A100)</f>
        <v/>
      </c>
      <c r="I100" s="2">
        <f>SUMIF(칸!$A$2:$A$416,A100,칸!$H$2:$H$416)</f>
        <v/>
      </c>
      <c r="J100" s="2">
        <f>IF(U100&lt;&gt;"",U100,INDEX(비용표!$A$13:$A$17,MATCH(I100,비용표!$B$13:$B$17,1)))</f>
        <v/>
      </c>
      <c r="K100" s="2">
        <f>INDEX(비용표!$C$13:$C$17,MATCH(J100,비용표!$A$13:$A$17,0))</f>
        <v/>
      </c>
      <c r="L100" s="4" t="inlineStr">
        <is>
          <t>학소 HP+2</t>
        </is>
      </c>
      <c r="M100" s="2" t="inlineStr">
        <is>
          <t>능력치</t>
        </is>
      </c>
      <c r="N100" s="2" t="inlineStr">
        <is>
          <t>학소</t>
        </is>
      </c>
      <c r="O100" s="2" t="inlineStr">
        <is>
          <t>HP</t>
        </is>
      </c>
      <c r="P100" s="2" t="n">
        <v>2</v>
      </c>
      <c r="Q100" s="4" t="n"/>
      <c r="R100" s="2" t="n"/>
      <c r="S100" s="2" t="n"/>
      <c r="T100" s="2" t="n"/>
      <c r="U100" s="2" t="n"/>
    </row>
    <row r="101" ht="32" customHeight="1">
      <c r="A101" s="2" t="n">
        <v>100</v>
      </c>
      <c r="B101" s="2" t="inlineStr">
        <is>
          <t>⑦ 북벌 (227~234)</t>
        </is>
      </c>
      <c r="C101" s="3" t="inlineStr">
        <is>
          <t>목우유마</t>
        </is>
      </c>
      <c r="D101" s="2" t="inlineStr">
        <is>
          <t>木牛流馬</t>
        </is>
      </c>
      <c r="E101" s="4">
        <f>INDEX(칸!$I$2:$I$416,MATCH(A101,칸!$A$2:$A$416,1))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COUNTIF(칸!$A$2:$A$416,A101)</f>
        <v/>
      </c>
      <c r="I101" s="2">
        <f>SUMIF(칸!$A$2:$A$416,A101,칸!$H$2:$H$416)</f>
        <v/>
      </c>
      <c r="J101" s="2">
        <f>IF(U101&lt;&gt;"",U101,INDEX(비용표!$A$13:$A$17,MATCH(I101,비용표!$B$13:$B$17,1)))</f>
        <v/>
      </c>
      <c r="K101" s="2">
        <f>INDEX(비용표!$C$13:$C$17,MATCH(J101,비용표!$A$13:$A$17,0))</f>
        <v/>
      </c>
      <c r="L101" s="4" t="inlineStr">
        <is>
          <t>군량 충전 속도 +5%</t>
        </is>
      </c>
      <c r="M101" s="2" t="inlineStr">
        <is>
          <t>도시</t>
        </is>
      </c>
      <c r="N101" s="2" t="n"/>
      <c r="O101" s="2" t="n"/>
      <c r="P101" s="2" t="n">
        <v>5</v>
      </c>
      <c r="Q101" s="4" t="n"/>
      <c r="R101" s="2" t="n"/>
      <c r="S101" s="2" t="n"/>
      <c r="T101" s="2" t="inlineStr">
        <is>
          <t>grainRate</t>
        </is>
      </c>
      <c r="U101" s="2" t="n"/>
    </row>
    <row r="102" ht="32" customHeight="1">
      <c r="A102" s="2" t="n">
        <v>101</v>
      </c>
      <c r="B102" s="2" t="inlineStr">
        <is>
          <t>⑦ 북벌 (227~234)</t>
        </is>
      </c>
      <c r="C102" s="3" t="inlineStr">
        <is>
          <t>목문도</t>
        </is>
      </c>
      <c r="D102" s="2" t="inlineStr">
        <is>
          <t>木門道</t>
        </is>
      </c>
      <c r="E102" s="4">
        <f>INDEX(칸!$I$2:$I$416,MATCH(A102,칸!$A$2:$A$416,1))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COUNTIF(칸!$A$2:$A$416,A102)</f>
        <v/>
      </c>
      <c r="I102" s="2">
        <f>SUMIF(칸!$A$2:$A$416,A102,칸!$H$2:$H$416)</f>
        <v/>
      </c>
      <c r="J102" s="2">
        <f>IF(U102&lt;&gt;"",U102,INDEX(비용표!$A$13:$A$17,MATCH(I102,비용표!$B$13:$B$17,1)))</f>
        <v/>
      </c>
      <c r="K102" s="2">
        <f>INDEX(비용표!$C$13:$C$17,MATCH(J102,비용표!$A$13:$A$17,0))</f>
        <v/>
      </c>
      <c r="L102" s="4" t="inlineStr">
        <is>
          <t>장합 HP+1</t>
        </is>
      </c>
      <c r="M102" s="2" t="inlineStr">
        <is>
          <t>능력치</t>
        </is>
      </c>
      <c r="N102" s="2" t="inlineStr">
        <is>
          <t>장합</t>
        </is>
      </c>
      <c r="O102" s="2" t="inlineStr">
        <is>
          <t>HP</t>
        </is>
      </c>
      <c r="P102" s="2" t="n">
        <v>1</v>
      </c>
      <c r="Q102" s="4" t="n"/>
      <c r="R102" s="2" t="n"/>
      <c r="S102" s="2" t="n"/>
      <c r="T102" s="2" t="n"/>
      <c r="U102" s="2" t="n"/>
    </row>
    <row r="103" ht="32" customHeight="1">
      <c r="A103" s="2" t="n">
        <v>102</v>
      </c>
      <c r="B103" s="2" t="inlineStr">
        <is>
          <t>⑦ 북벌 (227~234)</t>
        </is>
      </c>
      <c r="C103" s="3" t="inlineStr">
        <is>
          <t>반골</t>
        </is>
      </c>
      <c r="D103" s="2" t="inlineStr">
        <is>
          <t>反骨</t>
        </is>
      </c>
      <c r="E103" s="4">
        <f>INDEX(칸!$I$2:$I$416,MATCH(A103,칸!$A$2:$A$416,1))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COUNTIF(칸!$A$2:$A$416,A103)</f>
        <v/>
      </c>
      <c r="I103" s="2">
        <f>SUMIF(칸!$A$2:$A$416,A103,칸!$H$2:$H$416)</f>
        <v/>
      </c>
      <c r="J103" s="2">
        <f>IF(U103&lt;&gt;"",U103,INDEX(비용표!$A$13:$A$17,MATCH(I103,비용표!$B$13:$B$17,1)))</f>
        <v/>
      </c>
      <c r="K103" s="2">
        <f>INDEX(비용표!$C$13:$C$17,MATCH(J103,비용표!$A$13:$A$17,0))</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c r="U103" s="2" t="n"/>
    </row>
    <row r="104" ht="32" customHeight="1">
      <c r="A104" s="2" t="n">
        <v>103</v>
      </c>
      <c r="B104" s="2" t="inlineStr">
        <is>
          <t>⑦ 북벌 (227~234)</t>
        </is>
      </c>
      <c r="C104" s="3" t="inlineStr">
        <is>
          <t>상방곡의 비</t>
        </is>
      </c>
      <c r="D104" s="2" t="inlineStr">
        <is>
          <t>上方谷</t>
        </is>
      </c>
      <c r="E104" s="4">
        <f>INDEX(칸!$I$2:$I$416,MATCH(A104,칸!$A$2:$A$416,1))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COUNTIF(칸!$A$2:$A$416,A104)</f>
        <v/>
      </c>
      <c r="I104" s="2">
        <f>SUMIF(칸!$A$2:$A$416,A104,칸!$H$2:$H$416)</f>
        <v/>
      </c>
      <c r="J104" s="2">
        <f>IF(U104&lt;&gt;"",U104,INDEX(비용표!$A$13:$A$17,MATCH(I104,비용표!$B$13:$B$17,1)))</f>
        <v/>
      </c>
      <c r="K104" s="2">
        <f>INDEX(비용표!$C$13:$C$17,MATCH(J104,비용표!$A$13:$A$17,0))</f>
        <v/>
      </c>
      <c r="L104" s="4" t="inlineStr">
        <is>
          <t>사마사 HP+2</t>
        </is>
      </c>
      <c r="M104" s="2" t="inlineStr">
        <is>
          <t>능력치</t>
        </is>
      </c>
      <c r="N104" s="2" t="inlineStr">
        <is>
          <t>사마사</t>
        </is>
      </c>
      <c r="O104" s="2" t="inlineStr">
        <is>
          <t>HP</t>
        </is>
      </c>
      <c r="P104" s="2" t="n">
        <v>2</v>
      </c>
      <c r="Q104" s="4" t="n"/>
      <c r="R104" s="2" t="n"/>
      <c r="S104" s="2" t="n"/>
      <c r="T104" s="2" t="n"/>
      <c r="U104" s="2" t="inlineStr">
        <is>
          <t>전설</t>
        </is>
      </c>
    </row>
    <row r="105" ht="48" customHeight="1">
      <c r="A105" s="2" t="n">
        <v>104</v>
      </c>
      <c r="B105" s="2" t="inlineStr">
        <is>
          <t>⑦ 북벌 (227~234)</t>
        </is>
      </c>
      <c r="C105" s="3" t="inlineStr">
        <is>
          <t>오장원</t>
        </is>
      </c>
      <c r="D105" s="2" t="inlineStr">
        <is>
          <t>五丈原</t>
        </is>
      </c>
      <c r="E105" s="4">
        <f>INDEX(칸!$I$2:$I$416,MATCH(A105,칸!$A$2:$A$416,1))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COUNTIF(칸!$A$2:$A$416,A105)</f>
        <v/>
      </c>
      <c r="I105" s="2">
        <f>SUMIF(칸!$A$2:$A$416,A105,칸!$H$2:$H$416)</f>
        <v/>
      </c>
      <c r="J105" s="2">
        <f>IF(U105&lt;&gt;"",U105,INDEX(비용표!$A$13:$A$17,MATCH(I105,비용표!$B$13:$B$17,1)))</f>
        <v/>
      </c>
      <c r="K105" s="2">
        <f>INDEX(비용표!$C$13:$C$17,MATCH(J105,비용표!$A$13:$A$17,0))</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c r="U105" s="2" t="inlineStr">
        <is>
          <t>전설</t>
        </is>
      </c>
    </row>
    <row r="106" ht="32" customHeight="1">
      <c r="A106" s="2" t="n">
        <v>105</v>
      </c>
      <c r="B106" s="2" t="inlineStr">
        <is>
          <t>⑦ 북벌 (227~234)</t>
        </is>
      </c>
      <c r="C106" s="3" t="inlineStr">
        <is>
          <t>고평릉</t>
        </is>
      </c>
      <c r="D106" s="2" t="inlineStr">
        <is>
          <t>高平陵</t>
        </is>
      </c>
      <c r="E106" s="4">
        <f>INDEX(칸!$I$2:$I$416,MATCH(A106,칸!$A$2:$A$416,1))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COUNTIF(칸!$A$2:$A$416,A106)</f>
        <v/>
      </c>
      <c r="I106" s="2">
        <f>SUMIF(칸!$A$2:$A$416,A106,칸!$H$2:$H$416)</f>
        <v/>
      </c>
      <c r="J106" s="2">
        <f>IF(U106&lt;&gt;"",U106,INDEX(비용표!$A$13:$A$17,MATCH(I106,비용표!$B$13:$B$17,1)))</f>
        <v/>
      </c>
      <c r="K106" s="2">
        <f>INDEX(비용표!$C$13:$C$17,MATCH(J106,비용표!$A$13:$A$17,0))</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c r="U106" s="2" t="n"/>
    </row>
    <row r="107" ht="32" customHeight="1">
      <c r="A107" s="2" t="n">
        <v>106</v>
      </c>
      <c r="B107" s="2" t="inlineStr">
        <is>
          <t>⑦ 북벌 (227~234)</t>
        </is>
      </c>
      <c r="C107" s="3" t="inlineStr">
        <is>
          <t>구벌중원</t>
        </is>
      </c>
      <c r="D107" s="2" t="inlineStr">
        <is>
          <t>九伐中原</t>
        </is>
      </c>
      <c r="E107" s="4">
        <f>INDEX(칸!$I$2:$I$416,MATCH(A107,칸!$A$2:$A$416,1))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COUNTIF(칸!$A$2:$A$416,A107)</f>
        <v/>
      </c>
      <c r="I107" s="2">
        <f>SUMIF(칸!$A$2:$A$416,A107,칸!$H$2:$H$416)</f>
        <v/>
      </c>
      <c r="J107" s="2">
        <f>IF(U107&lt;&gt;"",U107,INDEX(비용표!$A$13:$A$17,MATCH(I107,비용표!$B$13:$B$17,1)))</f>
        <v/>
      </c>
      <c r="K107" s="2">
        <f>INDEX(비용표!$C$13:$C$17,MATCH(J107,비용표!$A$13:$A$17,0))</f>
        <v/>
      </c>
      <c r="L107" s="4" t="inlineStr">
        <is>
          <t>강유 HP+1</t>
        </is>
      </c>
      <c r="M107" s="2" t="inlineStr">
        <is>
          <t>능력치</t>
        </is>
      </c>
      <c r="N107" s="2" t="inlineStr">
        <is>
          <t>강유</t>
        </is>
      </c>
      <c r="O107" s="2" t="inlineStr">
        <is>
          <t>HP</t>
        </is>
      </c>
      <c r="P107" s="2" t="n">
        <v>1</v>
      </c>
      <c r="Q107" s="4" t="n"/>
      <c r="R107" s="2" t="n"/>
      <c r="S107" s="2" t="n"/>
      <c r="T107" s="2" t="n"/>
      <c r="U107" s="2" t="n"/>
    </row>
    <row r="108" ht="32" customHeight="1">
      <c r="A108" s="2" t="n">
        <v>107</v>
      </c>
      <c r="B108" s="2" t="inlineStr">
        <is>
          <t>⑦ 북벌 (227~234)</t>
        </is>
      </c>
      <c r="C108" s="3" t="inlineStr">
        <is>
          <t>촉의 사상</t>
        </is>
      </c>
      <c r="D108" s="2" t="inlineStr">
        <is>
          <t>蜀漢四相</t>
        </is>
      </c>
      <c r="E108" s="4">
        <f>INDEX(칸!$I$2:$I$416,MATCH(A108,칸!$A$2:$A$416,1))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COUNTIF(칸!$A$2:$A$416,A108)</f>
        <v/>
      </c>
      <c r="I108" s="2">
        <f>SUMIF(칸!$A$2:$A$416,A108,칸!$H$2:$H$416)</f>
        <v/>
      </c>
      <c r="J108" s="2">
        <f>IF(U108&lt;&gt;"",U108,INDEX(비용표!$A$13:$A$17,MATCH(I108,비용표!$B$13:$B$17,1)))</f>
        <v/>
      </c>
      <c r="K108" s="2">
        <f>INDEX(비용표!$C$13:$C$17,MATCH(J108,비용표!$A$13:$A$17,0))</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c r="U108" s="2" t="n"/>
    </row>
    <row r="109" ht="32" customHeight="1">
      <c r="A109" s="2" t="n">
        <v>108</v>
      </c>
      <c r="B109" s="2" t="inlineStr">
        <is>
          <t>⑧ 열전</t>
        </is>
      </c>
      <c r="C109" s="3" t="inlineStr">
        <is>
          <t>오호대장군</t>
        </is>
      </c>
      <c r="D109" s="2" t="inlineStr">
        <is>
          <t>五虎大將</t>
        </is>
      </c>
      <c r="E109" s="4">
        <f>INDEX(칸!$I$2:$I$416,MATCH(A109,칸!$A$2:$A$416,1))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COUNTIF(칸!$A$2:$A$416,A109)</f>
        <v/>
      </c>
      <c r="I109" s="2">
        <f>SUMIF(칸!$A$2:$A$416,A109,칸!$H$2:$H$416)</f>
        <v/>
      </c>
      <c r="J109" s="2">
        <f>IF(U109&lt;&gt;"",U109,INDEX(비용표!$A$13:$A$17,MATCH(I109,비용표!$B$13:$B$17,1)))</f>
        <v/>
      </c>
      <c r="K109" s="2">
        <f>INDEX(비용표!$C$13:$C$17,MATCH(J109,비용표!$A$13:$A$17,0))</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c r="U109" s="2" t="inlineStr">
        <is>
          <t>천하</t>
        </is>
      </c>
    </row>
    <row r="110" ht="32" customHeight="1">
      <c r="A110" s="2" t="n">
        <v>109</v>
      </c>
      <c r="B110" s="2" t="inlineStr">
        <is>
          <t>⑧ 열전</t>
        </is>
      </c>
      <c r="C110" s="3" t="inlineStr">
        <is>
          <t>오자양장</t>
        </is>
      </c>
      <c r="D110" s="2" t="inlineStr">
        <is>
          <t>五子良將</t>
        </is>
      </c>
      <c r="E110" s="4">
        <f>INDEX(칸!$I$2:$I$416,MATCH(A110,칸!$A$2:$A$416,1))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COUNTIF(칸!$A$2:$A$416,A110)</f>
        <v/>
      </c>
      <c r="I110" s="2">
        <f>SUMIF(칸!$A$2:$A$416,A110,칸!$H$2:$H$416)</f>
        <v/>
      </c>
      <c r="J110" s="2">
        <f>IF(U110&lt;&gt;"",U110,INDEX(비용표!$A$13:$A$17,MATCH(I110,비용표!$B$13:$B$17,1)))</f>
        <v/>
      </c>
      <c r="K110" s="2">
        <f>INDEX(비용표!$C$13:$C$17,MATCH(J110,비용표!$A$13:$A$17,0))</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c r="U110" s="2" t="inlineStr">
        <is>
          <t>전설</t>
        </is>
      </c>
    </row>
    <row r="111" ht="32" customHeight="1">
      <c r="A111" s="2" t="n">
        <v>110</v>
      </c>
      <c r="B111" s="2" t="inlineStr">
        <is>
          <t>⑧ 열전</t>
        </is>
      </c>
      <c r="C111" s="3" t="inlineStr">
        <is>
          <t>동오 4대 도독</t>
        </is>
      </c>
      <c r="D111" s="2" t="inlineStr">
        <is>
          <t>東吳四都督</t>
        </is>
      </c>
      <c r="E111" s="4">
        <f>INDEX(칸!$I$2:$I$416,MATCH(A111,칸!$A$2:$A$416,1))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COUNTIF(칸!$A$2:$A$416,A111)</f>
        <v/>
      </c>
      <c r="I111" s="2">
        <f>SUMIF(칸!$A$2:$A$416,A111,칸!$H$2:$H$416)</f>
        <v/>
      </c>
      <c r="J111" s="2">
        <f>IF(U111&lt;&gt;"",U111,INDEX(비용표!$A$13:$A$17,MATCH(I111,비용표!$B$13:$B$17,1)))</f>
        <v/>
      </c>
      <c r="K111" s="2">
        <f>INDEX(비용표!$C$13:$C$17,MATCH(J111,비용표!$A$13:$A$17,0))</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c r="U111" s="2" t="n"/>
    </row>
    <row r="112" ht="32" customHeight="1">
      <c r="A112" s="2" t="n">
        <v>111</v>
      </c>
      <c r="B112" s="2" t="inlineStr">
        <is>
          <t>⑧ 열전</t>
        </is>
      </c>
      <c r="C112" s="3" t="inlineStr">
        <is>
          <t>위의 모사들</t>
        </is>
      </c>
      <c r="D112" s="2" t="inlineStr">
        <is>
          <t>魏之謀士</t>
        </is>
      </c>
      <c r="E112" s="4">
        <f>INDEX(칸!$I$2:$I$416,MATCH(A112,칸!$A$2:$A$416,1))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COUNTIF(칸!$A$2:$A$416,A112)</f>
        <v/>
      </c>
      <c r="I112" s="2">
        <f>SUMIF(칸!$A$2:$A$416,A112,칸!$H$2:$H$416)</f>
        <v/>
      </c>
      <c r="J112" s="2">
        <f>IF(U112&lt;&gt;"",U112,INDEX(비용표!$A$13:$A$17,MATCH(I112,비용표!$B$13:$B$17,1)))</f>
        <v/>
      </c>
      <c r="K112" s="2">
        <f>INDEX(비용표!$C$13:$C$17,MATCH(J112,비용표!$A$13:$A$17,0))</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c r="U112" s="2" t="n"/>
    </row>
    <row r="113" ht="32" customHeight="1">
      <c r="A113" s="2" t="n">
        <v>112</v>
      </c>
      <c r="B113" s="2" t="inlineStr">
        <is>
          <t>⑧ 열전</t>
        </is>
      </c>
      <c r="C113" s="3" t="inlineStr">
        <is>
          <t>강동 호신</t>
        </is>
      </c>
      <c r="D113" s="2" t="inlineStr">
        <is>
          <t>江東虎臣</t>
        </is>
      </c>
      <c r="E113" s="4">
        <f>INDEX(칸!$I$2:$I$416,MATCH(A113,칸!$A$2:$A$416,1))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COUNTIF(칸!$A$2:$A$416,A113)</f>
        <v/>
      </c>
      <c r="I113" s="2">
        <f>SUMIF(칸!$A$2:$A$416,A113,칸!$H$2:$H$416)</f>
        <v/>
      </c>
      <c r="J113" s="2">
        <f>IF(U113&lt;&gt;"",U113,INDEX(비용표!$A$13:$A$17,MATCH(I113,비용표!$B$13:$B$17,1)))</f>
        <v/>
      </c>
      <c r="K113" s="2">
        <f>INDEX(비용표!$C$13:$C$17,MATCH(J113,비용표!$A$13:$A$17,0))</f>
        <v/>
      </c>
      <c r="L113" s="4" t="inlineStr">
        <is>
          <t>도적떼 약탈률 −2%p (도적 1명당 10% → 8%)</t>
        </is>
      </c>
      <c r="M113" s="2" t="inlineStr">
        <is>
          <t>도시</t>
        </is>
      </c>
      <c r="N113" s="2" t="n"/>
      <c r="O113" s="2" t="n"/>
      <c r="P113" s="2" t="n">
        <v>2</v>
      </c>
      <c r="Q113" s="4" t="n"/>
      <c r="R113" s="2" t="n"/>
      <c r="S113" s="2" t="n"/>
      <c r="T113" s="2" t="inlineStr">
        <is>
          <t>raidLoot</t>
        </is>
      </c>
      <c r="U113" s="2" t="inlineStr">
        <is>
          <t>전설</t>
        </is>
      </c>
    </row>
    <row r="114" ht="32" customHeight="1">
      <c r="A114" s="2" t="n">
        <v>113</v>
      </c>
      <c r="B114" s="2" t="inlineStr">
        <is>
          <t>⑧ 열전</t>
        </is>
      </c>
      <c r="C114" s="3" t="inlineStr">
        <is>
          <t>주태의 흉터</t>
        </is>
      </c>
      <c r="D114" s="2" t="inlineStr">
        <is>
          <t>周泰之傷</t>
        </is>
      </c>
      <c r="E114" s="4">
        <f>INDEX(칸!$I$2:$I$416,MATCH(A114,칸!$A$2:$A$416,1))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COUNTIF(칸!$A$2:$A$416,A114)</f>
        <v/>
      </c>
      <c r="I114" s="2">
        <f>SUMIF(칸!$A$2:$A$416,A114,칸!$H$2:$H$416)</f>
        <v/>
      </c>
      <c r="J114" s="2">
        <f>IF(U114&lt;&gt;"",U114,INDEX(비용표!$A$13:$A$17,MATCH(I114,비용표!$B$13:$B$17,1)))</f>
        <v/>
      </c>
      <c r="K114" s="2">
        <f>INDEX(비용표!$C$13:$C$17,MATCH(J114,비용표!$A$13:$A$17,0))</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c r="U114" s="2" t="n"/>
    </row>
    <row r="115" ht="32" customHeight="1">
      <c r="A115" s="2" t="n">
        <v>114</v>
      </c>
      <c r="B115" s="2" t="inlineStr">
        <is>
          <t>⑧ 열전</t>
        </is>
      </c>
      <c r="C115" s="3" t="inlineStr">
        <is>
          <t>하후 형제</t>
        </is>
      </c>
      <c r="D115" s="2" t="inlineStr">
        <is>
          <t>夏侯兄弟</t>
        </is>
      </c>
      <c r="E115" s="4">
        <f>INDEX(칸!$I$2:$I$416,MATCH(A115,칸!$A$2:$A$416,1))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COUNTIF(칸!$A$2:$A$416,A115)</f>
        <v/>
      </c>
      <c r="I115" s="2">
        <f>SUMIF(칸!$A$2:$A$416,A115,칸!$H$2:$H$416)</f>
        <v/>
      </c>
      <c r="J115" s="2">
        <f>IF(U115&lt;&gt;"",U115,INDEX(비용표!$A$13:$A$17,MATCH(I115,비용표!$B$13:$B$17,1)))</f>
        <v/>
      </c>
      <c r="K115" s="2">
        <f>INDEX(비용표!$C$13:$C$17,MATCH(J115,비용표!$A$13:$A$17,0))</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c r="U115" s="2" t="n"/>
    </row>
    <row r="116" ht="32" customHeight="1">
      <c r="A116" s="2" t="n">
        <v>115</v>
      </c>
      <c r="B116" s="2" t="inlineStr">
        <is>
          <t>⑧ 열전</t>
        </is>
      </c>
      <c r="C116" s="3" t="inlineStr">
        <is>
          <t>마씨오상 백미최량</t>
        </is>
      </c>
      <c r="D116" s="2" t="inlineStr">
        <is>
          <t>白眉最良</t>
        </is>
      </c>
      <c r="E116" s="4">
        <f>INDEX(칸!$I$2:$I$416,MATCH(A116,칸!$A$2:$A$416,1))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COUNTIF(칸!$A$2:$A$416,A116)</f>
        <v/>
      </c>
      <c r="I116" s="2">
        <f>SUMIF(칸!$A$2:$A$416,A116,칸!$H$2:$H$416)</f>
        <v/>
      </c>
      <c r="J116" s="2">
        <f>IF(U116&lt;&gt;"",U116,INDEX(비용표!$A$13:$A$17,MATCH(I116,비용표!$B$13:$B$17,1)))</f>
        <v/>
      </c>
      <c r="K116" s="2">
        <f>INDEX(비용표!$C$13:$C$17,MATCH(J116,비용표!$A$13:$A$17,0))</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c r="U116" s="2" t="n"/>
    </row>
    <row r="117" ht="32" customHeight="1">
      <c r="A117" s="2" t="n">
        <v>116</v>
      </c>
      <c r="B117" s="2" t="inlineStr">
        <is>
          <t>⑧ 열전</t>
        </is>
      </c>
      <c r="C117" s="3" t="inlineStr">
        <is>
          <t>서량의 마씨</t>
        </is>
      </c>
      <c r="D117" s="2" t="inlineStr">
        <is>
          <t>西涼馬氏</t>
        </is>
      </c>
      <c r="E117" s="4">
        <f>INDEX(칸!$I$2:$I$416,MATCH(A117,칸!$A$2:$A$416,1))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COUNTIF(칸!$A$2:$A$416,A117)</f>
        <v/>
      </c>
      <c r="I117" s="2">
        <f>SUMIF(칸!$A$2:$A$416,A117,칸!$H$2:$H$416)</f>
        <v/>
      </c>
      <c r="J117" s="2">
        <f>IF(U117&lt;&gt;"",U117,INDEX(비용표!$A$13:$A$17,MATCH(I117,비용표!$B$13:$B$17,1)))</f>
        <v/>
      </c>
      <c r="K117" s="2">
        <f>INDEX(비용표!$C$13:$C$17,MATCH(J117,비용표!$A$13:$A$17,0))</f>
        <v/>
      </c>
      <c r="L117" s="4" t="inlineStr">
        <is>
          <t>마등 통솔+1</t>
        </is>
      </c>
      <c r="M117" s="2" t="inlineStr">
        <is>
          <t>능력치</t>
        </is>
      </c>
      <c r="N117" s="2" t="inlineStr">
        <is>
          <t>마등</t>
        </is>
      </c>
      <c r="O117" s="2" t="inlineStr">
        <is>
          <t>통솔</t>
        </is>
      </c>
      <c r="P117" s="2" t="n">
        <v>1</v>
      </c>
      <c r="Q117" s="4" t="n"/>
      <c r="R117" s="2" t="n"/>
      <c r="S117" s="2" t="n"/>
      <c r="T117" s="2" t="n"/>
      <c r="U117" s="2" t="n"/>
    </row>
    <row r="118" ht="32" customHeight="1">
      <c r="A118" s="2" t="n">
        <v>117</v>
      </c>
      <c r="B118" s="2" t="inlineStr">
        <is>
          <t>⑧ 열전</t>
        </is>
      </c>
      <c r="C118" s="3" t="inlineStr">
        <is>
          <t>형주의 유표</t>
        </is>
      </c>
      <c r="D118" s="2" t="inlineStr">
        <is>
          <t>荊州劉表</t>
        </is>
      </c>
      <c r="E118" s="4">
        <f>INDEX(칸!$I$2:$I$416,MATCH(A118,칸!$A$2:$A$416,1))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COUNTIF(칸!$A$2:$A$416,A118)</f>
        <v/>
      </c>
      <c r="I118" s="2">
        <f>SUMIF(칸!$A$2:$A$416,A118,칸!$H$2:$H$416)</f>
        <v/>
      </c>
      <c r="J118" s="2">
        <f>IF(U118&lt;&gt;"",U118,INDEX(비용표!$A$13:$A$17,MATCH(I118,비용표!$B$13:$B$17,1)))</f>
        <v/>
      </c>
      <c r="K118" s="2">
        <f>INDEX(비용표!$C$13:$C$17,MATCH(J118,비용표!$A$13:$A$17,0))</f>
        <v/>
      </c>
      <c r="L118" s="4" t="inlineStr">
        <is>
          <t>최대 군량 +2</t>
        </is>
      </c>
      <c r="M118" s="2" t="inlineStr">
        <is>
          <t>도시</t>
        </is>
      </c>
      <c r="N118" s="2" t="n"/>
      <c r="O118" s="2" t="n"/>
      <c r="P118" s="2" t="n">
        <v>2</v>
      </c>
      <c r="Q118" s="4" t="n"/>
      <c r="R118" s="2" t="n"/>
      <c r="S118" s="2" t="n"/>
      <c r="T118" s="2" t="inlineStr">
        <is>
          <t>grainCap</t>
        </is>
      </c>
      <c r="U118" s="2" t="n"/>
    </row>
  </sheetData>
  <autoFilter ref="A1:U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0"/>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42</v>
      </c>
      <c r="C16" s="6" t="n">
        <v>300</v>
      </c>
      <c r="D16" s="5" t="inlineStr">
        <is>
          <t>고유기술 SP −1 · 진영 SP +1은 전설 이상만</t>
        </is>
      </c>
    </row>
    <row r="17">
      <c r="A17" s="5" t="inlineStr">
        <is>
          <t>천하</t>
        </is>
      </c>
      <c r="B17" s="6" t="n">
        <v>60</v>
      </c>
      <c r="C17" s="6" t="n">
        <v>500</v>
      </c>
      <c r="D17" s="5" t="n"/>
    </row>
    <row r="18"/>
    <row r="19">
      <c r="A19" s="9" t="inlineStr">
        <is>
          <t>노란 칸(파란 글자)만 고치면 「칸」 · 「컬렉션」 시트의 비용 · 등급 · 점수가 다시 계산된다. 값은 2026-10-13 기획 세션 초안이다(3차: 카드는 컬렉션마다 장수당 1장).</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6"/>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4</v>
      </c>
      <c r="B12" s="5" t="n">
        <v>1</v>
      </c>
      <c r="C12" s="5" t="inlineStr">
        <is>
          <t>카드</t>
        </is>
      </c>
      <c r="D12" s="5" t="inlineStr">
        <is>
          <t>여포</t>
        </is>
      </c>
      <c r="E12" s="5" t="n">
        <v>1</v>
      </c>
      <c r="F12" s="5" t="inlineStr">
        <is>
          <t>S</t>
        </is>
      </c>
      <c r="G12" s="5">
        <f>IF(C12="카드",INDEX(비용표!$C$2:$C$7,MATCH(F12,비용표!$B$2:$B$7,0)),F12*INDEX(비용표!$C$8:$C$9,MATCH(C12,비용표!$B$8:$B$9,0)))</f>
        <v/>
      </c>
      <c r="H12" s="5">
        <f>G12*E12</f>
        <v/>
      </c>
      <c r="I12" s="10">
        <f>IF(A12=A11,I11&amp;" · ","")&amp;IF(C12="카드",D12&amp;E12,"["&amp;C12&amp;"] "&amp;D12)</f>
        <v/>
      </c>
    </row>
    <row r="13">
      <c r="A13" s="5" t="n">
        <v>4</v>
      </c>
      <c r="B13" s="5" t="n">
        <v>2</v>
      </c>
      <c r="C13" s="5" t="inlineStr">
        <is>
          <t>카드</t>
        </is>
      </c>
      <c r="D13" s="5" t="inlineStr">
        <is>
          <t>유비</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3</v>
      </c>
      <c r="C14" s="5" t="inlineStr">
        <is>
          <t>카드</t>
        </is>
      </c>
      <c r="D14" s="5" t="inlineStr">
        <is>
          <t>관우</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4</v>
      </c>
      <c r="C15" s="5" t="inlineStr">
        <is>
          <t>카드</t>
        </is>
      </c>
      <c r="D15" s="5" t="inlineStr">
        <is>
          <t>장비</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5</v>
      </c>
      <c r="B16" s="5" t="n">
        <v>1</v>
      </c>
      <c r="C16" s="5" t="inlineStr">
        <is>
          <t>카드</t>
        </is>
      </c>
      <c r="D16" s="5" t="inlineStr">
        <is>
          <t>원소</t>
        </is>
      </c>
      <c r="E16" s="5" t="n">
        <v>1</v>
      </c>
      <c r="F16" s="5" t="inlineStr">
        <is>
          <t>C</t>
        </is>
      </c>
      <c r="G16" s="5">
        <f>IF(C16="카드",INDEX(비용표!$C$2:$C$7,MATCH(F16,비용표!$B$2:$B$7,0)),F16*INDEX(비용표!$C$8:$C$9,MATCH(C16,비용표!$B$8:$B$9,0)))</f>
        <v/>
      </c>
      <c r="H16" s="5">
        <f>G16*E16</f>
        <v/>
      </c>
      <c r="I16" s="10">
        <f>IF(A16=A15,I15&amp;" · ","")&amp;IF(C16="카드",D16&amp;E16,"["&amp;C16&amp;"] "&amp;D16)</f>
        <v/>
      </c>
    </row>
    <row r="17">
      <c r="A17" s="5" t="n">
        <v>5</v>
      </c>
      <c r="B17" s="5" t="n">
        <v>2</v>
      </c>
      <c r="C17" s="5" t="inlineStr">
        <is>
          <t>카드</t>
        </is>
      </c>
      <c r="D17" s="5" t="inlineStr">
        <is>
          <t>조조</t>
        </is>
      </c>
      <c r="E17" s="5" t="n">
        <v>1</v>
      </c>
      <c r="F17" s="5" t="inlineStr">
        <is>
          <t>S</t>
        </is>
      </c>
      <c r="G17" s="5">
        <f>IF(C17="카드",INDEX(비용표!$C$2:$C$7,MATCH(F17,비용표!$B$2:$B$7,0)),F17*INDEX(비용표!$C$8:$C$9,MATCH(C17,비용표!$B$8:$B$9,0)))</f>
        <v/>
      </c>
      <c r="H17" s="5">
        <f>G17*E17</f>
        <v/>
      </c>
      <c r="I17" s="10">
        <f>IF(A17=A16,I16&amp;" · ","")&amp;IF(C17="카드",D17&amp;E17,"["&amp;C17&amp;"] "&amp;D17)</f>
        <v/>
      </c>
    </row>
    <row r="18">
      <c r="A18" s="5" t="n">
        <v>5</v>
      </c>
      <c r="B18" s="5" t="n">
        <v>3</v>
      </c>
      <c r="C18" s="5" t="inlineStr">
        <is>
          <t>카드</t>
        </is>
      </c>
      <c r="D18" s="5" t="inlineStr">
        <is>
          <t>손견</t>
        </is>
      </c>
      <c r="E18" s="5" t="n">
        <v>1</v>
      </c>
      <c r="F18" s="5" t="inlineStr">
        <is>
          <t>S</t>
        </is>
      </c>
      <c r="G18" s="5">
        <f>IF(C18="카드",INDEX(비용표!$C$2:$C$7,MATCH(F18,비용표!$B$2:$B$7,0)),F18*INDEX(비용표!$C$8:$C$9,MATCH(C18,비용표!$B$8:$B$9,0)))</f>
        <v/>
      </c>
      <c r="H18" s="5">
        <f>G18*E18</f>
        <v/>
      </c>
      <c r="I18" s="10">
        <f>IF(A18=A17,I17&amp;" · ","")&amp;IF(C18="카드",D18&amp;E18,"["&amp;C18&amp;"] "&amp;D18)</f>
        <v/>
      </c>
    </row>
    <row r="19">
      <c r="A19" s="5" t="n">
        <v>5</v>
      </c>
      <c r="B19" s="5" t="n">
        <v>4</v>
      </c>
      <c r="C19" s="5" t="inlineStr">
        <is>
          <t>카드</t>
        </is>
      </c>
      <c r="D19" s="5" t="inlineStr">
        <is>
          <t>공손찬</t>
        </is>
      </c>
      <c r="E19" s="5" t="n">
        <v>1</v>
      </c>
      <c r="F19" s="5" t="inlineStr">
        <is>
          <t>C</t>
        </is>
      </c>
      <c r="G19" s="5">
        <f>IF(C19="카드",INDEX(비용표!$C$2:$C$7,MATCH(F19,비용표!$B$2:$B$7,0)),F19*INDEX(비용표!$C$8:$C$9,MATCH(C19,비용표!$B$8:$B$9,0)))</f>
        <v/>
      </c>
      <c r="H19" s="5">
        <f>G19*E19</f>
        <v/>
      </c>
      <c r="I19" s="10">
        <f>IF(A19=A18,I18&amp;" · ","")&amp;IF(C19="카드",D19&amp;E19,"["&amp;C19&amp;"] "&amp;D19)</f>
        <v/>
      </c>
    </row>
    <row r="20">
      <c r="A20" s="5" t="n">
        <v>5</v>
      </c>
      <c r="B20" s="5" t="n">
        <v>5</v>
      </c>
      <c r="C20" s="5" t="inlineStr">
        <is>
          <t>카드</t>
        </is>
      </c>
      <c r="D20" s="5" t="inlineStr">
        <is>
          <t>원술</t>
        </is>
      </c>
      <c r="E20" s="5" t="n">
        <v>1</v>
      </c>
      <c r="F20" s="5" t="inlineStr">
        <is>
          <t>B</t>
        </is>
      </c>
      <c r="G20" s="5">
        <f>IF(C20="카드",INDEX(비용표!$C$2:$C$7,MATCH(F20,비용표!$B$2:$B$7,0)),F20*INDEX(비용표!$C$8:$C$9,MATCH(C20,비용표!$B$8:$B$9,0)))</f>
        <v/>
      </c>
      <c r="H20" s="5">
        <f>G20*E20</f>
        <v/>
      </c>
      <c r="I20" s="10">
        <f>IF(A20=A19,I19&amp;" · ","")&amp;IF(C20="카드",D20&amp;E20,"["&amp;C20&amp;"] "&amp;D20)</f>
        <v/>
      </c>
    </row>
    <row r="21">
      <c r="A21" s="5" t="n">
        <v>6</v>
      </c>
      <c r="B21" s="5" t="n">
        <v>1</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6</v>
      </c>
      <c r="B22" s="5" t="n">
        <v>2</v>
      </c>
      <c r="C22" s="5" t="inlineStr">
        <is>
          <t>카드</t>
        </is>
      </c>
      <c r="D22" s="5" t="inlineStr">
        <is>
          <t>이유</t>
        </is>
      </c>
      <c r="E22" s="5" t="n">
        <v>1</v>
      </c>
      <c r="F22" s="5" t="inlineStr">
        <is>
          <t>A</t>
        </is>
      </c>
      <c r="G22" s="5">
        <f>IF(C22="카드",INDEX(비용표!$C$2:$C$7,MATCH(F22,비용표!$B$2:$B$7,0)),F22*INDEX(비용표!$C$8:$C$9,MATCH(C22,비용표!$B$8:$B$9,0)))</f>
        <v/>
      </c>
      <c r="H22" s="5">
        <f>G22*E22</f>
        <v/>
      </c>
      <c r="I22" s="10">
        <f>IF(A22=A21,I21&amp;" · ","")&amp;IF(C22="카드",D22&amp;E22,"["&amp;C22&amp;"] "&amp;D22)</f>
        <v/>
      </c>
    </row>
    <row r="23">
      <c r="A23" s="5" t="n">
        <v>6</v>
      </c>
      <c r="B23" s="5" t="n">
        <v>3</v>
      </c>
      <c r="C23" s="5" t="inlineStr">
        <is>
          <t>카드</t>
        </is>
      </c>
      <c r="D23" s="5" t="inlineStr">
        <is>
          <t>이각</t>
        </is>
      </c>
      <c r="E23" s="5" t="n">
        <v>1</v>
      </c>
      <c r="F23" s="5" t="inlineStr">
        <is>
          <t>C</t>
        </is>
      </c>
      <c r="G23" s="5">
        <f>IF(C23="카드",INDEX(비용표!$C$2:$C$7,MATCH(F23,비용표!$B$2:$B$7,0)),F23*INDEX(비용표!$C$8:$C$9,MATCH(C23,비용표!$B$8:$B$9,0)))</f>
        <v/>
      </c>
      <c r="H23" s="5">
        <f>G23*E23</f>
        <v/>
      </c>
      <c r="I23" s="10">
        <f>IF(A23=A22,I22&amp;" · ","")&amp;IF(C23="카드",D23&amp;E23,"["&amp;C23&amp;"] "&amp;D23)</f>
        <v/>
      </c>
    </row>
    <row r="24">
      <c r="A24" s="5" t="n">
        <v>6</v>
      </c>
      <c r="B24" s="5" t="n">
        <v>4</v>
      </c>
      <c r="C24" s="5" t="inlineStr">
        <is>
          <t>카드</t>
        </is>
      </c>
      <c r="D24" s="5" t="inlineStr">
        <is>
          <t>곽사</t>
        </is>
      </c>
      <c r="E24" s="5" t="n">
        <v>1</v>
      </c>
      <c r="F24" s="5" t="inlineStr">
        <is>
          <t>C</t>
        </is>
      </c>
      <c r="G24" s="5">
        <f>IF(C24="카드",INDEX(비용표!$C$2:$C$7,MATCH(F24,비용표!$B$2:$B$7,0)),F24*INDEX(비용표!$C$8:$C$9,MATCH(C24,비용표!$B$8:$B$9,0)))</f>
        <v/>
      </c>
      <c r="H24" s="5">
        <f>G24*E24</f>
        <v/>
      </c>
      <c r="I24" s="10">
        <f>IF(A24=A23,I23&amp;" · ","")&amp;IF(C24="카드",D24&amp;E24,"["&amp;C24&amp;"] "&amp;D24)</f>
        <v/>
      </c>
    </row>
    <row r="25">
      <c r="A25" s="5" t="n">
        <v>7</v>
      </c>
      <c r="B25" s="5" t="n">
        <v>1</v>
      </c>
      <c r="C25" s="5" t="inlineStr">
        <is>
          <t>카드</t>
        </is>
      </c>
      <c r="D25" s="5" t="inlineStr">
        <is>
          <t>조조</t>
        </is>
      </c>
      <c r="E25" s="5" t="n">
        <v>1</v>
      </c>
      <c r="F25" s="5" t="inlineStr">
        <is>
          <t>S</t>
        </is>
      </c>
      <c r="G25" s="5">
        <f>IF(C25="카드",INDEX(비용표!$C$2:$C$7,MATCH(F25,비용표!$B$2:$B$7,0)),F25*INDEX(비용표!$C$8:$C$9,MATCH(C25,비용표!$B$8:$B$9,0)))</f>
        <v/>
      </c>
      <c r="H25" s="5">
        <f>G25*E25</f>
        <v/>
      </c>
      <c r="I25" s="10">
        <f>IF(A25=A24,I24&amp;" · ","")&amp;IF(C25="카드",D25&amp;E25,"["&amp;C25&amp;"] "&amp;D25)</f>
        <v/>
      </c>
    </row>
    <row r="26">
      <c r="A26" s="5" t="n">
        <v>7</v>
      </c>
      <c r="B26" s="5" t="n">
        <v>2</v>
      </c>
      <c r="C26" s="5" t="inlineStr">
        <is>
          <t>카드</t>
        </is>
      </c>
      <c r="D26" s="5" t="inlineStr">
        <is>
          <t>동탁</t>
        </is>
      </c>
      <c r="E26" s="5" t="n">
        <v>1</v>
      </c>
      <c r="F26" s="5" t="inlineStr">
        <is>
          <t>A</t>
        </is>
      </c>
      <c r="G26" s="5">
        <f>IF(C26="카드",INDEX(비용표!$C$2:$C$7,MATCH(F26,비용표!$B$2:$B$7,0)),F26*INDEX(비용표!$C$8:$C$9,MATCH(C26,비용표!$B$8:$B$9,0)))</f>
        <v/>
      </c>
      <c r="H26" s="5">
        <f>G26*E26</f>
        <v/>
      </c>
      <c r="I26" s="10">
        <f>IF(A26=A25,I25&amp;" · ","")&amp;IF(C26="카드",D26&amp;E26,"["&amp;C26&amp;"] "&amp;D26)</f>
        <v/>
      </c>
    </row>
    <row r="27">
      <c r="A27" s="5" t="n">
        <v>7</v>
      </c>
      <c r="B27" s="5" t="n">
        <v>3</v>
      </c>
      <c r="C27" s="5" t="inlineStr">
        <is>
          <t>병기</t>
        </is>
      </c>
      <c r="D27" s="5" t="inlineStr">
        <is>
          <t>칠성보도</t>
        </is>
      </c>
      <c r="E27" s="5" t="n">
        <v>1</v>
      </c>
      <c r="F27" s="5" t="n">
        <v>3</v>
      </c>
      <c r="G27" s="5">
        <f>IF(C27="카드",INDEX(비용표!$C$2:$C$7,MATCH(F27,비용표!$B$2:$B$7,0)),F27*INDEX(비용표!$C$8:$C$9,MATCH(C27,비용표!$B$8:$B$9,0)))</f>
        <v/>
      </c>
      <c r="H27" s="5">
        <f>G27*E27</f>
        <v/>
      </c>
      <c r="I27" s="10">
        <f>IF(A27=A26,I26&amp;" · ","")&amp;IF(C27="카드",D27&amp;E27,"["&amp;C27&amp;"] "&amp;D27)</f>
        <v/>
      </c>
    </row>
    <row r="28">
      <c r="A28" s="5" t="n">
        <v>8</v>
      </c>
      <c r="B28" s="5" t="n">
        <v>1</v>
      </c>
      <c r="C28" s="5" t="inlineStr">
        <is>
          <t>카드</t>
        </is>
      </c>
      <c r="D28" s="5" t="inlineStr">
        <is>
          <t>진궁</t>
        </is>
      </c>
      <c r="E28" s="5" t="n">
        <v>1</v>
      </c>
      <c r="F28" s="5" t="inlineStr">
        <is>
          <t>B</t>
        </is>
      </c>
      <c r="G28" s="5">
        <f>IF(C28="카드",INDEX(비용표!$C$2:$C$7,MATCH(F28,비용표!$B$2:$B$7,0)),F28*INDEX(비용표!$C$8:$C$9,MATCH(C28,비용표!$B$8:$B$9,0)))</f>
        <v/>
      </c>
      <c r="H28" s="5">
        <f>G28*E28</f>
        <v/>
      </c>
      <c r="I28" s="10">
        <f>IF(A28=A27,I27&amp;" · ","")&amp;IF(C28="카드",D28&amp;E28,"["&amp;C28&amp;"] "&amp;D28)</f>
        <v/>
      </c>
    </row>
    <row r="29">
      <c r="A29" s="5" t="n">
        <v>8</v>
      </c>
      <c r="B29" s="5" t="n">
        <v>2</v>
      </c>
      <c r="C29" s="5" t="inlineStr">
        <is>
          <t>카드</t>
        </is>
      </c>
      <c r="D29" s="5" t="inlineStr">
        <is>
          <t>조조</t>
        </is>
      </c>
      <c r="E29" s="5" t="n">
        <v>1</v>
      </c>
      <c r="F29" s="5" t="inlineStr">
        <is>
          <t>S</t>
        </is>
      </c>
      <c r="G29" s="5">
        <f>IF(C29="카드",INDEX(비용표!$C$2:$C$7,MATCH(F29,비용표!$B$2:$B$7,0)),F29*INDEX(비용표!$C$8:$C$9,MATCH(C29,비용표!$B$8:$B$9,0)))</f>
        <v/>
      </c>
      <c r="H29" s="5">
        <f>G29*E29</f>
        <v/>
      </c>
      <c r="I29" s="10">
        <f>IF(A29=A28,I28&amp;" · ","")&amp;IF(C29="카드",D29&amp;E29,"["&amp;C29&amp;"] "&amp;D29)</f>
        <v/>
      </c>
    </row>
    <row r="30">
      <c r="A30" s="5" t="n">
        <v>9</v>
      </c>
      <c r="B30" s="5" t="n">
        <v>1</v>
      </c>
      <c r="C30" s="5" t="inlineStr">
        <is>
          <t>카드</t>
        </is>
      </c>
      <c r="D30" s="5" t="inlineStr">
        <is>
          <t>조조</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9</v>
      </c>
      <c r="B31" s="5" t="n">
        <v>2</v>
      </c>
      <c r="C31" s="5" t="inlineStr">
        <is>
          <t>카드</t>
        </is>
      </c>
      <c r="D31" s="5" t="inlineStr">
        <is>
          <t>조홍</t>
        </is>
      </c>
      <c r="E31" s="5" t="n">
        <v>1</v>
      </c>
      <c r="F31" s="5" t="inlineStr">
        <is>
          <t>B</t>
        </is>
      </c>
      <c r="G31" s="5">
        <f>IF(C31="카드",INDEX(비용표!$C$2:$C$7,MATCH(F31,비용표!$B$2:$B$7,0)),F31*INDEX(비용표!$C$8:$C$9,MATCH(C31,비용표!$B$8:$B$9,0)))</f>
        <v/>
      </c>
      <c r="H31" s="5">
        <f>G31*E31</f>
        <v/>
      </c>
      <c r="I31" s="10">
        <f>IF(A31=A30,I30&amp;" · ","")&amp;IF(C31="카드",D31&amp;E31,"["&amp;C31&amp;"] "&amp;D31)</f>
        <v/>
      </c>
    </row>
    <row r="32">
      <c r="A32" s="5" t="n">
        <v>9</v>
      </c>
      <c r="B32" s="5" t="n">
        <v>3</v>
      </c>
      <c r="C32" s="5" t="inlineStr">
        <is>
          <t>카드</t>
        </is>
      </c>
      <c r="D32" s="5" t="inlineStr">
        <is>
          <t>서영</t>
        </is>
      </c>
      <c r="E32" s="5" t="n">
        <v>1</v>
      </c>
      <c r="F32" s="5" t="inlineStr">
        <is>
          <t>D</t>
        </is>
      </c>
      <c r="G32" s="5">
        <f>IF(C32="카드",INDEX(비용표!$C$2:$C$7,MATCH(F32,비용표!$B$2:$B$7,0)),F32*INDEX(비용표!$C$8:$C$9,MATCH(C32,비용표!$B$8:$B$9,0)))</f>
        <v/>
      </c>
      <c r="H32" s="5">
        <f>G32*E32</f>
        <v/>
      </c>
      <c r="I32" s="10">
        <f>IF(A32=A31,I31&amp;" · ","")&amp;IF(C32="카드",D32&amp;E32,"["&amp;C32&amp;"] "&amp;D32)</f>
        <v/>
      </c>
    </row>
    <row r="33">
      <c r="A33" s="5" t="n">
        <v>10</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10</v>
      </c>
      <c r="B34" s="5" t="n">
        <v>2</v>
      </c>
      <c r="C34" s="5" t="inlineStr">
        <is>
          <t>카드</t>
        </is>
      </c>
      <c r="D34" s="5" t="inlineStr">
        <is>
          <t>정보</t>
        </is>
      </c>
      <c r="E34" s="5" t="n">
        <v>1</v>
      </c>
      <c r="F34" s="5" t="inlineStr">
        <is>
          <t>A</t>
        </is>
      </c>
      <c r="G34" s="5">
        <f>IF(C34="카드",INDEX(비용표!$C$2:$C$7,MATCH(F34,비용표!$B$2:$B$7,0)),F34*INDEX(비용표!$C$8:$C$9,MATCH(C34,비용표!$B$8:$B$9,0)))</f>
        <v/>
      </c>
      <c r="H34" s="5">
        <f>G34*E34</f>
        <v/>
      </c>
      <c r="I34" s="10">
        <f>IF(A34=A33,I33&amp;" · ","")&amp;IF(C34="카드",D34&amp;E34,"["&amp;C34&amp;"] "&amp;D34)</f>
        <v/>
      </c>
    </row>
    <row r="35">
      <c r="A35" s="5" t="n">
        <v>10</v>
      </c>
      <c r="B35" s="5" t="n">
        <v>3</v>
      </c>
      <c r="C35" s="5" t="inlineStr">
        <is>
          <t>카드</t>
        </is>
      </c>
      <c r="D35" s="5" t="inlineStr">
        <is>
          <t>황개</t>
        </is>
      </c>
      <c r="E35" s="5" t="n">
        <v>1</v>
      </c>
      <c r="F35" s="5" t="inlineStr">
        <is>
          <t>A</t>
        </is>
      </c>
      <c r="G35" s="5">
        <f>IF(C35="카드",INDEX(비용표!$C$2:$C$7,MATCH(F35,비용표!$B$2:$B$7,0)),F35*INDEX(비용표!$C$8:$C$9,MATCH(C35,비용표!$B$8:$B$9,0)))</f>
        <v/>
      </c>
      <c r="H35" s="5">
        <f>G35*E35</f>
        <v/>
      </c>
      <c r="I35" s="10">
        <f>IF(A35=A34,I34&amp;" · ","")&amp;IF(C35="카드",D35&amp;E35,"["&amp;C35&amp;"] "&amp;D35)</f>
        <v/>
      </c>
    </row>
    <row r="36">
      <c r="A36" s="5" t="n">
        <v>10</v>
      </c>
      <c r="B36" s="5" t="n">
        <v>4</v>
      </c>
      <c r="C36" s="5" t="inlineStr">
        <is>
          <t>카드</t>
        </is>
      </c>
      <c r="D36" s="5" t="inlineStr">
        <is>
          <t>한당</t>
        </is>
      </c>
      <c r="E36" s="5" t="n">
        <v>1</v>
      </c>
      <c r="F36" s="5" t="inlineStr">
        <is>
          <t>C</t>
        </is>
      </c>
      <c r="G36" s="5">
        <f>IF(C36="카드",INDEX(비용표!$C$2:$C$7,MATCH(F36,비용표!$B$2:$B$7,0)),F36*INDEX(비용표!$C$8:$C$9,MATCH(C36,비용표!$B$8:$B$9,0)))</f>
        <v/>
      </c>
      <c r="H36" s="5">
        <f>G36*E36</f>
        <v/>
      </c>
      <c r="I36" s="10">
        <f>IF(A36=A35,I35&amp;" · ","")&amp;IF(C36="카드",D36&amp;E36,"["&amp;C36&amp;"] "&amp;D36)</f>
        <v/>
      </c>
    </row>
    <row r="37">
      <c r="A37" s="5" t="n">
        <v>11</v>
      </c>
      <c r="B37" s="5" t="n">
        <v>1</v>
      </c>
      <c r="C37" s="5" t="inlineStr">
        <is>
          <t>카드</t>
        </is>
      </c>
      <c r="D37" s="5" t="inlineStr">
        <is>
          <t>손견</t>
        </is>
      </c>
      <c r="E37" s="5" t="n">
        <v>1</v>
      </c>
      <c r="F37" s="5" t="inlineStr">
        <is>
          <t>S</t>
        </is>
      </c>
      <c r="G37" s="5">
        <f>IF(C37="카드",INDEX(비용표!$C$2:$C$7,MATCH(F37,비용표!$B$2:$B$7,0)),F37*INDEX(비용표!$C$8:$C$9,MATCH(C37,비용표!$B$8:$B$9,0)))</f>
        <v/>
      </c>
      <c r="H37" s="5">
        <f>G37*E37</f>
        <v/>
      </c>
      <c r="I37" s="10">
        <f>IF(A37=A36,I36&amp;" · ","")&amp;IF(C37="카드",D37&amp;E37,"["&amp;C37&amp;"] "&amp;D37)</f>
        <v/>
      </c>
    </row>
    <row r="38">
      <c r="A38" s="5" t="n">
        <v>11</v>
      </c>
      <c r="B38" s="5" t="n">
        <v>2</v>
      </c>
      <c r="C38" s="5" t="inlineStr">
        <is>
          <t>카드</t>
        </is>
      </c>
      <c r="D38" s="5" t="inlineStr">
        <is>
          <t>유표</t>
        </is>
      </c>
      <c r="E38" s="5" t="n">
        <v>1</v>
      </c>
      <c r="F38" s="5" t="inlineStr">
        <is>
          <t>B</t>
        </is>
      </c>
      <c r="G38" s="5">
        <f>IF(C38="카드",INDEX(비용표!$C$2:$C$7,MATCH(F38,비용표!$B$2:$B$7,0)),F38*INDEX(비용표!$C$8:$C$9,MATCH(C38,비용표!$B$8:$B$9,0)))</f>
        <v/>
      </c>
      <c r="H38" s="5">
        <f>G38*E38</f>
        <v/>
      </c>
      <c r="I38" s="10">
        <f>IF(A38=A37,I37&amp;" · ","")&amp;IF(C38="카드",D38&amp;E38,"["&amp;C38&amp;"] "&amp;D38)</f>
        <v/>
      </c>
    </row>
    <row r="39">
      <c r="A39" s="5" t="n">
        <v>11</v>
      </c>
      <c r="B39" s="5" t="n">
        <v>3</v>
      </c>
      <c r="C39" s="5" t="inlineStr">
        <is>
          <t>카드</t>
        </is>
      </c>
      <c r="D39" s="5" t="inlineStr">
        <is>
          <t>괴월</t>
        </is>
      </c>
      <c r="E39" s="5" t="n">
        <v>1</v>
      </c>
      <c r="F39" s="5" t="inlineStr">
        <is>
          <t>B</t>
        </is>
      </c>
      <c r="G39" s="5">
        <f>IF(C39="카드",INDEX(비용표!$C$2:$C$7,MATCH(F39,비용표!$B$2:$B$7,0)),F39*INDEX(비용표!$C$8:$C$9,MATCH(C39,비용표!$B$8:$B$9,0)))</f>
        <v/>
      </c>
      <c r="H39" s="5">
        <f>G39*E39</f>
        <v/>
      </c>
      <c r="I39" s="10">
        <f>IF(A39=A38,I38&amp;" · ","")&amp;IF(C39="카드",D39&amp;E39,"["&amp;C39&amp;"] "&amp;D39)</f>
        <v/>
      </c>
    </row>
    <row r="40">
      <c r="A40" s="5" t="n">
        <v>11</v>
      </c>
      <c r="B40" s="5" t="n">
        <v>4</v>
      </c>
      <c r="C40" s="5" t="inlineStr">
        <is>
          <t>카드</t>
        </is>
      </c>
      <c r="D40" s="5" t="inlineStr">
        <is>
          <t>채모</t>
        </is>
      </c>
      <c r="E40" s="5" t="n">
        <v>1</v>
      </c>
      <c r="F40" s="5" t="inlineStr">
        <is>
          <t>B</t>
        </is>
      </c>
      <c r="G40" s="5">
        <f>IF(C40="카드",INDEX(비용표!$C$2:$C$7,MATCH(F40,비용표!$B$2:$B$7,0)),F40*INDEX(비용표!$C$8:$C$9,MATCH(C40,비용표!$B$8:$B$9,0)))</f>
        <v/>
      </c>
      <c r="H40" s="5">
        <f>G40*E40</f>
        <v/>
      </c>
      <c r="I40" s="10">
        <f>IF(A40=A39,I39&amp;" · ","")&amp;IF(C40="카드",D40&amp;E40,"["&amp;C40&amp;"] "&amp;D40)</f>
        <v/>
      </c>
    </row>
    <row r="41">
      <c r="A41" s="5" t="n">
        <v>12</v>
      </c>
      <c r="B41" s="5" t="n">
        <v>1</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12</v>
      </c>
      <c r="B42" s="5" t="n">
        <v>2</v>
      </c>
      <c r="C42" s="5" t="inlineStr">
        <is>
          <t>카드</t>
        </is>
      </c>
      <c r="D42" s="5" t="inlineStr">
        <is>
          <t>조운</t>
        </is>
      </c>
      <c r="E42" s="5" t="n">
        <v>1</v>
      </c>
      <c r="F42" s="5" t="inlineStr">
        <is>
          <t>S</t>
        </is>
      </c>
      <c r="G42" s="5">
        <f>IF(C42="카드",INDEX(비용표!$C$2:$C$7,MATCH(F42,비용표!$B$2:$B$7,0)),F42*INDEX(비용표!$C$8:$C$9,MATCH(C42,비용표!$B$8:$B$9,0)))</f>
        <v/>
      </c>
      <c r="H42" s="5">
        <f>G42*E42</f>
        <v/>
      </c>
      <c r="I42" s="10">
        <f>IF(A42=A41,I41&amp;" · ","")&amp;IF(C42="카드",D42&amp;E42,"["&amp;C42&amp;"] "&amp;D42)</f>
        <v/>
      </c>
    </row>
    <row r="43">
      <c r="A43" s="5" t="n">
        <v>12</v>
      </c>
      <c r="B43" s="5" t="n">
        <v>3</v>
      </c>
      <c r="C43" s="5" t="inlineStr">
        <is>
          <t>카드</t>
        </is>
      </c>
      <c r="D43" s="5" t="inlineStr">
        <is>
          <t>엄강</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12</v>
      </c>
      <c r="B44" s="5" t="n">
        <v>4</v>
      </c>
      <c r="C44" s="5" t="inlineStr">
        <is>
          <t>아이템</t>
        </is>
      </c>
      <c r="D44" s="5" t="inlineStr">
        <is>
          <t>대완마</t>
        </is>
      </c>
      <c r="E44" s="5" t="n">
        <v>1</v>
      </c>
      <c r="F44" s="5" t="n">
        <v>2</v>
      </c>
      <c r="G44" s="5">
        <f>IF(C44="카드",INDEX(비용표!$C$2:$C$7,MATCH(F44,비용표!$B$2:$B$7,0)),F44*INDEX(비용표!$C$8:$C$9,MATCH(C44,비용표!$B$8:$B$9,0)))</f>
        <v/>
      </c>
      <c r="H44" s="5">
        <f>G44*E44</f>
        <v/>
      </c>
      <c r="I44" s="10">
        <f>IF(A44=A43,I43&amp;" · ","")&amp;IF(C44="카드",D44&amp;E44,"["&amp;C44&amp;"] "&amp;D44)</f>
        <v/>
      </c>
    </row>
    <row r="45">
      <c r="A45" s="5" t="n">
        <v>13</v>
      </c>
      <c r="B45" s="5" t="n">
        <v>1</v>
      </c>
      <c r="C45" s="5" t="inlineStr">
        <is>
          <t>카드</t>
        </is>
      </c>
      <c r="D45" s="5" t="inlineStr">
        <is>
          <t>국의</t>
        </is>
      </c>
      <c r="E45" s="5" t="n">
        <v>1</v>
      </c>
      <c r="F45" s="5" t="inlineStr">
        <is>
          <t>C</t>
        </is>
      </c>
      <c r="G45" s="5">
        <f>IF(C45="카드",INDEX(비용표!$C$2:$C$7,MATCH(F45,비용표!$B$2:$B$7,0)),F45*INDEX(비용표!$C$8:$C$9,MATCH(C45,비용표!$B$8:$B$9,0)))</f>
        <v/>
      </c>
      <c r="H45" s="5">
        <f>G45*E45</f>
        <v/>
      </c>
      <c r="I45" s="10">
        <f>IF(A45=A44,I44&amp;" · ","")&amp;IF(C45="카드",D45&amp;E45,"["&amp;C45&amp;"] "&amp;D45)</f>
        <v/>
      </c>
    </row>
    <row r="46">
      <c r="A46" s="5" t="n">
        <v>13</v>
      </c>
      <c r="B46" s="5" t="n">
        <v>2</v>
      </c>
      <c r="C46" s="5" t="inlineStr">
        <is>
          <t>카드</t>
        </is>
      </c>
      <c r="D46" s="5" t="inlineStr">
        <is>
          <t>원소</t>
        </is>
      </c>
      <c r="E46" s="5" t="n">
        <v>1</v>
      </c>
      <c r="F46" s="5" t="inlineStr">
        <is>
          <t>C</t>
        </is>
      </c>
      <c r="G46" s="5">
        <f>IF(C46="카드",INDEX(비용표!$C$2:$C$7,MATCH(F46,비용표!$B$2:$B$7,0)),F46*INDEX(비용표!$C$8:$C$9,MATCH(C46,비용표!$B$8:$B$9,0)))</f>
        <v/>
      </c>
      <c r="H46" s="5">
        <f>G46*E46</f>
        <v/>
      </c>
      <c r="I46" s="10">
        <f>IF(A46=A45,I45&amp;" · ","")&amp;IF(C46="카드",D46&amp;E46,"["&amp;C46&amp;"] "&amp;D46)</f>
        <v/>
      </c>
    </row>
    <row r="47">
      <c r="A47" s="5" t="n">
        <v>13</v>
      </c>
      <c r="B47" s="5" t="n">
        <v>3</v>
      </c>
      <c r="C47" s="5" t="inlineStr">
        <is>
          <t>카드</t>
        </is>
      </c>
      <c r="D47" s="5" t="inlineStr">
        <is>
          <t>공손찬</t>
        </is>
      </c>
      <c r="E47" s="5" t="n">
        <v>1</v>
      </c>
      <c r="F47" s="5" t="inlineStr">
        <is>
          <t>C</t>
        </is>
      </c>
      <c r="G47" s="5">
        <f>IF(C47="카드",INDEX(비용표!$C$2:$C$7,MATCH(F47,비용표!$B$2:$B$7,0)),F47*INDEX(비용표!$C$8:$C$9,MATCH(C47,비용표!$B$8:$B$9,0)))</f>
        <v/>
      </c>
      <c r="H47" s="5">
        <f>G47*E47</f>
        <v/>
      </c>
      <c r="I47" s="10">
        <f>IF(A47=A46,I46&amp;" · ","")&amp;IF(C47="카드",D47&amp;E47,"["&amp;C47&amp;"] "&amp;D47)</f>
        <v/>
      </c>
    </row>
    <row r="48">
      <c r="A48" s="5" t="n">
        <v>14</v>
      </c>
      <c r="B48" s="5" t="n">
        <v>1</v>
      </c>
      <c r="C48" s="5" t="inlineStr">
        <is>
          <t>카드</t>
        </is>
      </c>
      <c r="D48" s="5" t="inlineStr">
        <is>
          <t>이각</t>
        </is>
      </c>
      <c r="E48" s="5" t="n">
        <v>1</v>
      </c>
      <c r="F48" s="5" t="inlineStr">
        <is>
          <t>C</t>
        </is>
      </c>
      <c r="G48" s="5">
        <f>IF(C48="카드",INDEX(비용표!$C$2:$C$7,MATCH(F48,비용표!$B$2:$B$7,0)),F48*INDEX(비용표!$C$8:$C$9,MATCH(C48,비용표!$B$8:$B$9,0)))</f>
        <v/>
      </c>
      <c r="H48" s="5">
        <f>G48*E48</f>
        <v/>
      </c>
      <c r="I48" s="10">
        <f>IF(A48=A47,I47&amp;" · ","")&amp;IF(C48="카드",D48&amp;E48,"["&amp;C48&amp;"] "&amp;D48)</f>
        <v/>
      </c>
    </row>
    <row r="49">
      <c r="A49" s="5" t="n">
        <v>14</v>
      </c>
      <c r="B49" s="5" t="n">
        <v>2</v>
      </c>
      <c r="C49" s="5" t="inlineStr">
        <is>
          <t>카드</t>
        </is>
      </c>
      <c r="D49" s="5" t="inlineStr">
        <is>
          <t>곽사</t>
        </is>
      </c>
      <c r="E49" s="5" t="n">
        <v>1</v>
      </c>
      <c r="F49" s="5" t="inlineStr">
        <is>
          <t>C</t>
        </is>
      </c>
      <c r="G49" s="5">
        <f>IF(C49="카드",INDEX(비용표!$C$2:$C$7,MATCH(F49,비용표!$B$2:$B$7,0)),F49*INDEX(비용표!$C$8:$C$9,MATCH(C49,비용표!$B$8:$B$9,0)))</f>
        <v/>
      </c>
      <c r="H49" s="5">
        <f>G49*E49</f>
        <v/>
      </c>
      <c r="I49" s="10">
        <f>IF(A49=A48,I48&amp;" · ","")&amp;IF(C49="카드",D49&amp;E49,"["&amp;C49&amp;"] "&amp;D49)</f>
        <v/>
      </c>
    </row>
    <row r="50">
      <c r="A50" s="5" t="n">
        <v>15</v>
      </c>
      <c r="B50" s="5" t="n">
        <v>1</v>
      </c>
      <c r="C50" s="5" t="inlineStr">
        <is>
          <t>카드</t>
        </is>
      </c>
      <c r="D50" s="5" t="inlineStr">
        <is>
          <t>헌제</t>
        </is>
      </c>
      <c r="E50" s="5" t="n">
        <v>1</v>
      </c>
      <c r="F50" s="5" t="inlineStr">
        <is>
          <t>E</t>
        </is>
      </c>
      <c r="G50" s="5">
        <f>IF(C50="카드",INDEX(비용표!$C$2:$C$7,MATCH(F50,비용표!$B$2:$B$7,0)),F50*INDEX(비용표!$C$8:$C$9,MATCH(C50,비용표!$B$8:$B$9,0)))</f>
        <v/>
      </c>
      <c r="H50" s="5">
        <f>G50*E50</f>
        <v/>
      </c>
      <c r="I50" s="10">
        <f>IF(A50=A49,I49&amp;" · ","")&amp;IF(C50="카드",D50&amp;E50,"["&amp;C50&amp;"] "&amp;D50)</f>
        <v/>
      </c>
    </row>
    <row r="51">
      <c r="A51" s="5" t="n">
        <v>15</v>
      </c>
      <c r="B51" s="5" t="n">
        <v>2</v>
      </c>
      <c r="C51" s="5" t="inlineStr">
        <is>
          <t>카드</t>
        </is>
      </c>
      <c r="D51" s="5" t="inlineStr">
        <is>
          <t>조조</t>
        </is>
      </c>
      <c r="E51" s="5" t="n">
        <v>1</v>
      </c>
      <c r="F51" s="5" t="inlineStr">
        <is>
          <t>S</t>
        </is>
      </c>
      <c r="G51" s="5">
        <f>IF(C51="카드",INDEX(비용표!$C$2:$C$7,MATCH(F51,비용표!$B$2:$B$7,0)),F51*INDEX(비용표!$C$8:$C$9,MATCH(C51,비용표!$B$8:$B$9,0)))</f>
        <v/>
      </c>
      <c r="H51" s="5">
        <f>G51*E51</f>
        <v/>
      </c>
      <c r="I51" s="10">
        <f>IF(A51=A50,I50&amp;" · ","")&amp;IF(C51="카드",D51&amp;E51,"["&amp;C51&amp;"] "&amp;D51)</f>
        <v/>
      </c>
    </row>
    <row r="52">
      <c r="A52" s="5" t="n">
        <v>15</v>
      </c>
      <c r="B52" s="5" t="n">
        <v>3</v>
      </c>
      <c r="C52" s="5" t="inlineStr">
        <is>
          <t>카드</t>
        </is>
      </c>
      <c r="D52" s="5" t="inlineStr">
        <is>
          <t>서황</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15</v>
      </c>
      <c r="B53" s="5" t="n">
        <v>4</v>
      </c>
      <c r="C53" s="5" t="inlineStr">
        <is>
          <t>카드</t>
        </is>
      </c>
      <c r="D53" s="5" t="inlineStr">
        <is>
          <t>한섬</t>
        </is>
      </c>
      <c r="E53" s="5" t="n">
        <v>1</v>
      </c>
      <c r="F53" s="5" t="inlineStr">
        <is>
          <t>D</t>
        </is>
      </c>
      <c r="G53" s="5">
        <f>IF(C53="카드",INDEX(비용표!$C$2:$C$7,MATCH(F53,비용표!$B$2:$B$7,0)),F53*INDEX(비용표!$C$8:$C$9,MATCH(C53,비용표!$B$8:$B$9,0)))</f>
        <v/>
      </c>
      <c r="H53" s="5">
        <f>G53*E53</f>
        <v/>
      </c>
      <c r="I53" s="10">
        <f>IF(A53=A52,I52&amp;" · ","")&amp;IF(C53="카드",D53&amp;E53,"["&amp;C53&amp;"] "&amp;D53)</f>
        <v/>
      </c>
    </row>
    <row r="54">
      <c r="A54" s="5" t="n">
        <v>15</v>
      </c>
      <c r="B54" s="5" t="n">
        <v>5</v>
      </c>
      <c r="C54" s="5" t="inlineStr">
        <is>
          <t>카드</t>
        </is>
      </c>
      <c r="D54" s="5" t="inlineStr">
        <is>
          <t>순욱</t>
        </is>
      </c>
      <c r="E54" s="5" t="n">
        <v>1</v>
      </c>
      <c r="F54" s="5" t="inlineStr">
        <is>
          <t>S</t>
        </is>
      </c>
      <c r="G54" s="5">
        <f>IF(C54="카드",INDEX(비용표!$C$2:$C$7,MATCH(F54,비용표!$B$2:$B$7,0)),F54*INDEX(비용표!$C$8:$C$9,MATCH(C54,비용표!$B$8:$B$9,0)))</f>
        <v/>
      </c>
      <c r="H54" s="5">
        <f>G54*E54</f>
        <v/>
      </c>
      <c r="I54" s="10">
        <f>IF(A54=A53,I53&amp;" · ","")&amp;IF(C54="카드",D54&amp;E54,"["&amp;C54&amp;"] "&amp;D54)</f>
        <v/>
      </c>
    </row>
    <row r="55">
      <c r="A55" s="5" t="n">
        <v>16</v>
      </c>
      <c r="B55" s="5" t="n">
        <v>1</v>
      </c>
      <c r="C55" s="5" t="inlineStr">
        <is>
          <t>카드</t>
        </is>
      </c>
      <c r="D55" s="5" t="inlineStr">
        <is>
          <t>한호</t>
        </is>
      </c>
      <c r="E55" s="5" t="n">
        <v>1</v>
      </c>
      <c r="F55" s="5" t="inlineStr">
        <is>
          <t>C</t>
        </is>
      </c>
      <c r="G55" s="5">
        <f>IF(C55="카드",INDEX(비용표!$C$2:$C$7,MATCH(F55,비용표!$B$2:$B$7,0)),F55*INDEX(비용표!$C$8:$C$9,MATCH(C55,비용표!$B$8:$B$9,0)))</f>
        <v/>
      </c>
      <c r="H55" s="5">
        <f>G55*E55</f>
        <v/>
      </c>
      <c r="I55" s="10">
        <f>IF(A55=A54,I54&amp;" · ","")&amp;IF(C55="카드",D55&amp;E55,"["&amp;C55&amp;"] "&amp;D55)</f>
        <v/>
      </c>
    </row>
    <row r="56">
      <c r="A56" s="5" t="n">
        <v>16</v>
      </c>
      <c r="B56" s="5" t="n">
        <v>2</v>
      </c>
      <c r="C56" s="5" t="inlineStr">
        <is>
          <t>카드</t>
        </is>
      </c>
      <c r="D56" s="5" t="inlineStr">
        <is>
          <t>모개</t>
        </is>
      </c>
      <c r="E56" s="5" t="n">
        <v>1</v>
      </c>
      <c r="F56" s="5" t="inlineStr">
        <is>
          <t>C</t>
        </is>
      </c>
      <c r="G56" s="5">
        <f>IF(C56="카드",INDEX(비용표!$C$2:$C$7,MATCH(F56,비용표!$B$2:$B$7,0)),F56*INDEX(비용표!$C$8:$C$9,MATCH(C56,비용표!$B$8:$B$9,0)))</f>
        <v/>
      </c>
      <c r="H56" s="5">
        <f>G56*E56</f>
        <v/>
      </c>
      <c r="I56" s="10">
        <f>IF(A56=A55,I55&amp;" · ","")&amp;IF(C56="카드",D56&amp;E56,"["&amp;C56&amp;"] "&amp;D56)</f>
        <v/>
      </c>
    </row>
    <row r="57">
      <c r="A57" s="5" t="n">
        <v>16</v>
      </c>
      <c r="B57" s="5" t="n">
        <v>3</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17</v>
      </c>
      <c r="B58" s="5" t="n">
        <v>1</v>
      </c>
      <c r="C58" s="5" t="inlineStr">
        <is>
          <t>카드</t>
        </is>
      </c>
      <c r="D58" s="5" t="inlineStr">
        <is>
          <t>도겸</t>
        </is>
      </c>
      <c r="E58" s="5" t="n">
        <v>1</v>
      </c>
      <c r="F58" s="5" t="inlineStr">
        <is>
          <t>C</t>
        </is>
      </c>
      <c r="G58" s="5">
        <f>IF(C58="카드",INDEX(비용표!$C$2:$C$7,MATCH(F58,비용표!$B$2:$B$7,0)),F58*INDEX(비용표!$C$8:$C$9,MATCH(C58,비용표!$B$8:$B$9,0)))</f>
        <v/>
      </c>
      <c r="H58" s="5">
        <f>G58*E58</f>
        <v/>
      </c>
      <c r="I58" s="10">
        <f>IF(A58=A57,I57&amp;" · ","")&amp;IF(C58="카드",D58&amp;E58,"["&amp;C58&amp;"] "&amp;D58)</f>
        <v/>
      </c>
    </row>
    <row r="59">
      <c r="A59" s="5" t="n">
        <v>17</v>
      </c>
      <c r="B59" s="5" t="n">
        <v>2</v>
      </c>
      <c r="C59" s="5" t="inlineStr">
        <is>
          <t>카드</t>
        </is>
      </c>
      <c r="D59" s="5" t="inlineStr">
        <is>
          <t>미축</t>
        </is>
      </c>
      <c r="E59" s="5" t="n">
        <v>1</v>
      </c>
      <c r="F59" s="5" t="inlineStr">
        <is>
          <t>D</t>
        </is>
      </c>
      <c r="G59" s="5">
        <f>IF(C59="카드",INDEX(비용표!$C$2:$C$7,MATCH(F59,비용표!$B$2:$B$7,0)),F59*INDEX(비용표!$C$8:$C$9,MATCH(C59,비용표!$B$8:$B$9,0)))</f>
        <v/>
      </c>
      <c r="H59" s="5">
        <f>G59*E59</f>
        <v/>
      </c>
      <c r="I59" s="10">
        <f>IF(A59=A58,I58&amp;" · ","")&amp;IF(C59="카드",D59&amp;E59,"["&amp;C59&amp;"] "&amp;D59)</f>
        <v/>
      </c>
    </row>
    <row r="60">
      <c r="A60" s="5" t="n">
        <v>17</v>
      </c>
      <c r="B60" s="5" t="n">
        <v>3</v>
      </c>
      <c r="C60" s="5" t="inlineStr">
        <is>
          <t>카드</t>
        </is>
      </c>
      <c r="D60" s="5" t="inlineStr">
        <is>
          <t>손건</t>
        </is>
      </c>
      <c r="E60" s="5" t="n">
        <v>1</v>
      </c>
      <c r="F60" s="5" t="inlineStr">
        <is>
          <t>B</t>
        </is>
      </c>
      <c r="G60" s="5">
        <f>IF(C60="카드",INDEX(비용표!$C$2:$C$7,MATCH(F60,비용표!$B$2:$B$7,0)),F60*INDEX(비용표!$C$8:$C$9,MATCH(C60,비용표!$B$8:$B$9,0)))</f>
        <v/>
      </c>
      <c r="H60" s="5">
        <f>G60*E60</f>
        <v/>
      </c>
      <c r="I60" s="10">
        <f>IF(A60=A59,I59&amp;" · ","")&amp;IF(C60="카드",D60&amp;E60,"["&amp;C60&amp;"] "&amp;D60)</f>
        <v/>
      </c>
    </row>
    <row r="61">
      <c r="A61" s="5" t="n">
        <v>17</v>
      </c>
      <c r="B61" s="5" t="n">
        <v>4</v>
      </c>
      <c r="C61" s="5" t="inlineStr">
        <is>
          <t>카드</t>
        </is>
      </c>
      <c r="D61" s="5" t="inlineStr">
        <is>
          <t>유비</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18</v>
      </c>
      <c r="B62" s="5" t="n">
        <v>1</v>
      </c>
      <c r="C62" s="5" t="inlineStr">
        <is>
          <t>카드</t>
        </is>
      </c>
      <c r="D62" s="5" t="inlineStr">
        <is>
          <t>조표</t>
        </is>
      </c>
      <c r="E62" s="5" t="n">
        <v>1</v>
      </c>
      <c r="F62" s="5" t="inlineStr">
        <is>
          <t>D</t>
        </is>
      </c>
      <c r="G62" s="5">
        <f>IF(C62="카드",INDEX(비용표!$C$2:$C$7,MATCH(F62,비용표!$B$2:$B$7,0)),F62*INDEX(비용표!$C$8:$C$9,MATCH(C62,비용표!$B$8:$B$9,0)))</f>
        <v/>
      </c>
      <c r="H62" s="5">
        <f>G62*E62</f>
        <v/>
      </c>
      <c r="I62" s="10">
        <f>IF(A62=A61,I61&amp;" · ","")&amp;IF(C62="카드",D62&amp;E62,"["&amp;C62&amp;"] "&amp;D62)</f>
        <v/>
      </c>
    </row>
    <row r="63">
      <c r="A63" s="5" t="n">
        <v>18</v>
      </c>
      <c r="B63" s="5" t="n">
        <v>2</v>
      </c>
      <c r="C63" s="5" t="inlineStr">
        <is>
          <t>카드</t>
        </is>
      </c>
      <c r="D63" s="5" t="inlineStr">
        <is>
          <t>장비</t>
        </is>
      </c>
      <c r="E63" s="5" t="n">
        <v>1</v>
      </c>
      <c r="F63" s="5" t="inlineStr">
        <is>
          <t>S</t>
        </is>
      </c>
      <c r="G63" s="5">
        <f>IF(C63="카드",INDEX(비용표!$C$2:$C$7,MATCH(F63,비용표!$B$2:$B$7,0)),F63*INDEX(비용표!$C$8:$C$9,MATCH(C63,비용표!$B$8:$B$9,0)))</f>
        <v/>
      </c>
      <c r="H63" s="5">
        <f>G63*E63</f>
        <v/>
      </c>
      <c r="I63" s="10">
        <f>IF(A63=A62,I62&amp;" · ","")&amp;IF(C63="카드",D63&amp;E63,"["&amp;C63&amp;"] "&amp;D63)</f>
        <v/>
      </c>
    </row>
    <row r="64">
      <c r="A64" s="5" t="n">
        <v>18</v>
      </c>
      <c r="B64" s="5" t="n">
        <v>3</v>
      </c>
      <c r="C64" s="5" t="inlineStr">
        <is>
          <t>카드</t>
        </is>
      </c>
      <c r="D64" s="5" t="inlineStr">
        <is>
          <t>여포</t>
        </is>
      </c>
      <c r="E64" s="5" t="n">
        <v>1</v>
      </c>
      <c r="F64" s="5" t="inlineStr">
        <is>
          <t>S</t>
        </is>
      </c>
      <c r="G64" s="5">
        <f>IF(C64="카드",INDEX(비용표!$C$2:$C$7,MATCH(F64,비용표!$B$2:$B$7,0)),F64*INDEX(비용표!$C$8:$C$9,MATCH(C64,비용표!$B$8:$B$9,0)))</f>
        <v/>
      </c>
      <c r="H64" s="5">
        <f>G64*E64</f>
        <v/>
      </c>
      <c r="I64" s="10">
        <f>IF(A64=A63,I63&amp;" · ","")&amp;IF(C64="카드",D64&amp;E64,"["&amp;C64&amp;"] "&amp;D64)</f>
        <v/>
      </c>
    </row>
    <row r="65">
      <c r="A65" s="5" t="n">
        <v>19</v>
      </c>
      <c r="B65" s="5" t="n">
        <v>1</v>
      </c>
      <c r="C65" s="5" t="inlineStr">
        <is>
          <t>카드</t>
        </is>
      </c>
      <c r="D65" s="5" t="inlineStr">
        <is>
          <t>여포</t>
        </is>
      </c>
      <c r="E65" s="5" t="n">
        <v>1</v>
      </c>
      <c r="F65" s="5" t="inlineStr">
        <is>
          <t>S</t>
        </is>
      </c>
      <c r="G65" s="5">
        <f>IF(C65="카드",INDEX(비용표!$C$2:$C$7,MATCH(F65,비용표!$B$2:$B$7,0)),F65*INDEX(비용표!$C$8:$C$9,MATCH(C65,비용표!$B$8:$B$9,0)))</f>
        <v/>
      </c>
      <c r="H65" s="5">
        <f>G65*E65</f>
        <v/>
      </c>
      <c r="I65" s="10">
        <f>IF(A65=A64,I64&amp;" · ","")&amp;IF(C65="카드",D65&amp;E65,"["&amp;C65&amp;"] "&amp;D65)</f>
        <v/>
      </c>
    </row>
    <row r="66">
      <c r="A66" s="5" t="n">
        <v>19</v>
      </c>
      <c r="B66" s="5" t="n">
        <v>2</v>
      </c>
      <c r="C66" s="5" t="inlineStr">
        <is>
          <t>카드</t>
        </is>
      </c>
      <c r="D66" s="5" t="inlineStr">
        <is>
          <t>유비</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19</v>
      </c>
      <c r="B67" s="5" t="n">
        <v>3</v>
      </c>
      <c r="C67" s="5" t="inlineStr">
        <is>
          <t>카드</t>
        </is>
      </c>
      <c r="D67" s="5" t="inlineStr">
        <is>
          <t>기령</t>
        </is>
      </c>
      <c r="E67" s="5" t="n">
        <v>1</v>
      </c>
      <c r="F67" s="5" t="inlineStr">
        <is>
          <t>C</t>
        </is>
      </c>
      <c r="G67" s="5">
        <f>IF(C67="카드",INDEX(비용표!$C$2:$C$7,MATCH(F67,비용표!$B$2:$B$7,0)),F67*INDEX(비용표!$C$8:$C$9,MATCH(C67,비용표!$B$8:$B$9,0)))</f>
        <v/>
      </c>
      <c r="H67" s="5">
        <f>G67*E67</f>
        <v/>
      </c>
      <c r="I67" s="10">
        <f>IF(A67=A66,I66&amp;" · ","")&amp;IF(C67="카드",D67&amp;E67,"["&amp;C67&amp;"] "&amp;D67)</f>
        <v/>
      </c>
    </row>
    <row r="68">
      <c r="A68" s="5" t="n">
        <v>19</v>
      </c>
      <c r="B68" s="5" t="n">
        <v>4</v>
      </c>
      <c r="C68" s="5" t="inlineStr">
        <is>
          <t>카드</t>
        </is>
      </c>
      <c r="D68" s="5" t="inlineStr">
        <is>
          <t>원술</t>
        </is>
      </c>
      <c r="E68" s="5" t="n">
        <v>1</v>
      </c>
      <c r="F68" s="5" t="inlineStr">
        <is>
          <t>B</t>
        </is>
      </c>
      <c r="G68" s="5">
        <f>IF(C68="카드",INDEX(비용표!$C$2:$C$7,MATCH(F68,비용표!$B$2:$B$7,0)),F68*INDEX(비용표!$C$8:$C$9,MATCH(C68,비용표!$B$8:$B$9,0)))</f>
        <v/>
      </c>
      <c r="H68" s="5">
        <f>G68*E68</f>
        <v/>
      </c>
      <c r="I68" s="10">
        <f>IF(A68=A67,I67&amp;" · ","")&amp;IF(C68="카드",D68&amp;E68,"["&amp;C68&amp;"] "&amp;D68)</f>
        <v/>
      </c>
    </row>
    <row r="69">
      <c r="A69" s="5" t="n">
        <v>20</v>
      </c>
      <c r="B69" s="5" t="n">
        <v>1</v>
      </c>
      <c r="C69" s="5" t="inlineStr">
        <is>
          <t>카드</t>
        </is>
      </c>
      <c r="D69" s="5" t="inlineStr">
        <is>
          <t>공융</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20</v>
      </c>
      <c r="B70" s="5" t="n">
        <v>2</v>
      </c>
      <c r="C70" s="5" t="inlineStr">
        <is>
          <t>카드</t>
        </is>
      </c>
      <c r="D70" s="5" t="inlineStr">
        <is>
          <t>태사자</t>
        </is>
      </c>
      <c r="E70" s="5" t="n">
        <v>1</v>
      </c>
      <c r="F70" s="5" t="inlineStr">
        <is>
          <t>S</t>
        </is>
      </c>
      <c r="G70" s="5">
        <f>IF(C70="카드",INDEX(비용표!$C$2:$C$7,MATCH(F70,비용표!$B$2:$B$7,0)),F70*INDEX(비용표!$C$8:$C$9,MATCH(C70,비용표!$B$8:$B$9,0)))</f>
        <v/>
      </c>
      <c r="H70" s="5">
        <f>G70*E70</f>
        <v/>
      </c>
      <c r="I70" s="10">
        <f>IF(A70=A69,I69&amp;" · ","")&amp;IF(C70="카드",D70&amp;E70,"["&amp;C70&amp;"] "&amp;D70)</f>
        <v/>
      </c>
    </row>
    <row r="71">
      <c r="A71" s="5" t="n">
        <v>21</v>
      </c>
      <c r="B71" s="5" t="n">
        <v>1</v>
      </c>
      <c r="C71" s="5" t="inlineStr">
        <is>
          <t>카드</t>
        </is>
      </c>
      <c r="D71" s="5" t="inlineStr">
        <is>
          <t>여포</t>
        </is>
      </c>
      <c r="E71" s="5" t="n">
        <v>1</v>
      </c>
      <c r="F71" s="5" t="inlineStr">
        <is>
          <t>S</t>
        </is>
      </c>
      <c r="G71" s="5">
        <f>IF(C71="카드",INDEX(비용표!$C$2:$C$7,MATCH(F71,비용표!$B$2:$B$7,0)),F71*INDEX(비용표!$C$8:$C$9,MATCH(C71,비용표!$B$8:$B$9,0)))</f>
        <v/>
      </c>
      <c r="H71" s="5">
        <f>G71*E71</f>
        <v/>
      </c>
      <c r="I71" s="10">
        <f>IF(A71=A70,I70&amp;" · ","")&amp;IF(C71="카드",D71&amp;E71,"["&amp;C71&amp;"] "&amp;D71)</f>
        <v/>
      </c>
    </row>
    <row r="72">
      <c r="A72" s="5" t="n">
        <v>21</v>
      </c>
      <c r="B72" s="5" t="n">
        <v>2</v>
      </c>
      <c r="C72" s="5" t="inlineStr">
        <is>
          <t>병기</t>
        </is>
      </c>
      <c r="D72" s="5" t="inlineStr">
        <is>
          <t>방천화극</t>
        </is>
      </c>
      <c r="E72" s="5" t="n">
        <v>1</v>
      </c>
      <c r="F72" s="5" t="n">
        <v>5</v>
      </c>
      <c r="G72" s="5">
        <f>IF(C72="카드",INDEX(비용표!$C$2:$C$7,MATCH(F72,비용표!$B$2:$B$7,0)),F72*INDEX(비용표!$C$8:$C$9,MATCH(C72,비용표!$B$8:$B$9,0)))</f>
        <v/>
      </c>
      <c r="H72" s="5">
        <f>G72*E72</f>
        <v/>
      </c>
      <c r="I72" s="10">
        <f>IF(A72=A71,I71&amp;" · ","")&amp;IF(C72="카드",D72&amp;E72,"["&amp;C72&amp;"] "&amp;D72)</f>
        <v/>
      </c>
    </row>
    <row r="73">
      <c r="A73" s="5" t="n">
        <v>21</v>
      </c>
      <c r="B73" s="5" t="n">
        <v>3</v>
      </c>
      <c r="C73" s="5" t="inlineStr">
        <is>
          <t>아이템</t>
        </is>
      </c>
      <c r="D73" s="5" t="inlineStr">
        <is>
          <t>적토마</t>
        </is>
      </c>
      <c r="E73" s="5" t="n">
        <v>1</v>
      </c>
      <c r="F73" s="5" t="n">
        <v>5</v>
      </c>
      <c r="G73" s="5">
        <f>IF(C73="카드",INDEX(비용표!$C$2:$C$7,MATCH(F73,비용표!$B$2:$B$7,0)),F73*INDEX(비용표!$C$8:$C$9,MATCH(C73,비용표!$B$8:$B$9,0)))</f>
        <v/>
      </c>
      <c r="H73" s="5">
        <f>G73*E73</f>
        <v/>
      </c>
      <c r="I73" s="10">
        <f>IF(A73=A72,I72&amp;" · ","")&amp;IF(C73="카드",D73&amp;E73,"["&amp;C73&amp;"] "&amp;D73)</f>
        <v/>
      </c>
    </row>
    <row r="74">
      <c r="A74" s="5" t="n">
        <v>21</v>
      </c>
      <c r="B74" s="5" t="n">
        <v>4</v>
      </c>
      <c r="C74" s="5" t="inlineStr">
        <is>
          <t>카드</t>
        </is>
      </c>
      <c r="D74" s="5" t="inlineStr">
        <is>
          <t>진궁</t>
        </is>
      </c>
      <c r="E74" s="5" t="n">
        <v>1</v>
      </c>
      <c r="F74" s="5" t="inlineStr">
        <is>
          <t>B</t>
        </is>
      </c>
      <c r="G74" s="5">
        <f>IF(C74="카드",INDEX(비용표!$C$2:$C$7,MATCH(F74,비용표!$B$2:$B$7,0)),F74*INDEX(비용표!$C$8:$C$9,MATCH(C74,비용표!$B$8:$B$9,0)))</f>
        <v/>
      </c>
      <c r="H74" s="5">
        <f>G74*E74</f>
        <v/>
      </c>
      <c r="I74" s="10">
        <f>IF(A74=A73,I73&amp;" · ","")&amp;IF(C74="카드",D74&amp;E74,"["&amp;C74&amp;"] "&amp;D74)</f>
        <v/>
      </c>
    </row>
    <row r="75">
      <c r="A75" s="5" t="n">
        <v>21</v>
      </c>
      <c r="B75" s="5" t="n">
        <v>5</v>
      </c>
      <c r="C75" s="5" t="inlineStr">
        <is>
          <t>카드</t>
        </is>
      </c>
      <c r="D75" s="5" t="inlineStr">
        <is>
          <t>고순</t>
        </is>
      </c>
      <c r="E75" s="5" t="n">
        <v>1</v>
      </c>
      <c r="F75" s="5" t="inlineStr">
        <is>
          <t>C</t>
        </is>
      </c>
      <c r="G75" s="5">
        <f>IF(C75="카드",INDEX(비용표!$C$2:$C$7,MATCH(F75,비용표!$B$2:$B$7,0)),F75*INDEX(비용표!$C$8:$C$9,MATCH(C75,비용표!$B$8:$B$9,0)))</f>
        <v/>
      </c>
      <c r="H75" s="5">
        <f>G75*E75</f>
        <v/>
      </c>
      <c r="I75" s="10">
        <f>IF(A75=A74,I74&amp;" · ","")&amp;IF(C75="카드",D75&amp;E75,"["&amp;C75&amp;"] "&amp;D75)</f>
        <v/>
      </c>
    </row>
    <row r="76">
      <c r="A76" s="5" t="n">
        <v>22</v>
      </c>
      <c r="B76" s="5" t="n">
        <v>1</v>
      </c>
      <c r="C76" s="5" t="inlineStr">
        <is>
          <t>카드</t>
        </is>
      </c>
      <c r="D76" s="5" t="inlineStr">
        <is>
          <t>고순</t>
        </is>
      </c>
      <c r="E76" s="5" t="n">
        <v>1</v>
      </c>
      <c r="F76" s="5" t="inlineStr">
        <is>
          <t>C</t>
        </is>
      </c>
      <c r="G76" s="5">
        <f>IF(C76="카드",INDEX(비용표!$C$2:$C$7,MATCH(F76,비용표!$B$2:$B$7,0)),F76*INDEX(비용표!$C$8:$C$9,MATCH(C76,비용표!$B$8:$B$9,0)))</f>
        <v/>
      </c>
      <c r="H76" s="5">
        <f>G76*E76</f>
        <v/>
      </c>
      <c r="I76" s="10">
        <f>IF(A76=A75,I75&amp;" · ","")&amp;IF(C76="카드",D76&amp;E76,"["&amp;C76&amp;"] "&amp;D76)</f>
        <v/>
      </c>
    </row>
    <row r="77">
      <c r="A77" s="5" t="n">
        <v>22</v>
      </c>
      <c r="B77" s="5" t="n">
        <v>2</v>
      </c>
      <c r="C77" s="5" t="inlineStr">
        <is>
          <t>카드</t>
        </is>
      </c>
      <c r="D77" s="5" t="inlineStr">
        <is>
          <t>여포</t>
        </is>
      </c>
      <c r="E77" s="5" t="n">
        <v>1</v>
      </c>
      <c r="F77" s="5" t="inlineStr">
        <is>
          <t>S</t>
        </is>
      </c>
      <c r="G77" s="5">
        <f>IF(C77="카드",INDEX(비용표!$C$2:$C$7,MATCH(F77,비용표!$B$2:$B$7,0)),F77*INDEX(비용표!$C$8:$C$9,MATCH(C77,비용표!$B$8:$B$9,0)))</f>
        <v/>
      </c>
      <c r="H77" s="5">
        <f>G77*E77</f>
        <v/>
      </c>
      <c r="I77" s="10">
        <f>IF(A77=A76,I76&amp;" · ","")&amp;IF(C77="카드",D77&amp;E77,"["&amp;C77&amp;"] "&amp;D77)</f>
        <v/>
      </c>
    </row>
    <row r="78">
      <c r="A78" s="5" t="n">
        <v>23</v>
      </c>
      <c r="B78" s="5" t="n">
        <v>1</v>
      </c>
      <c r="C78" s="5" t="inlineStr">
        <is>
          <t>카드</t>
        </is>
      </c>
      <c r="D78" s="5" t="inlineStr">
        <is>
          <t>여포</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2</v>
      </c>
      <c r="C79" s="5" t="inlineStr">
        <is>
          <t>카드</t>
        </is>
      </c>
      <c r="D79" s="5" t="inlineStr">
        <is>
          <t>진궁</t>
        </is>
      </c>
      <c r="E79" s="5" t="n">
        <v>1</v>
      </c>
      <c r="F79" s="5" t="inlineStr">
        <is>
          <t>B</t>
        </is>
      </c>
      <c r="G79" s="5">
        <f>IF(C79="카드",INDEX(비용표!$C$2:$C$7,MATCH(F79,비용표!$B$2:$B$7,0)),F79*INDEX(비용표!$C$8:$C$9,MATCH(C79,비용표!$B$8:$B$9,0)))</f>
        <v/>
      </c>
      <c r="H79" s="5">
        <f>G79*E79</f>
        <v/>
      </c>
      <c r="I79" s="10">
        <f>IF(A79=A78,I78&amp;" · ","")&amp;IF(C79="카드",D79&amp;E79,"["&amp;C79&amp;"] "&amp;D79)</f>
        <v/>
      </c>
    </row>
    <row r="80">
      <c r="A80" s="5" t="n">
        <v>23</v>
      </c>
      <c r="B80" s="5" t="n">
        <v>3</v>
      </c>
      <c r="C80" s="5" t="inlineStr">
        <is>
          <t>카드</t>
        </is>
      </c>
      <c r="D80" s="5" t="inlineStr">
        <is>
          <t>고순</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23</v>
      </c>
      <c r="B81" s="5" t="n">
        <v>4</v>
      </c>
      <c r="C81" s="5" t="inlineStr">
        <is>
          <t>카드</t>
        </is>
      </c>
      <c r="D81" s="5" t="inlineStr">
        <is>
          <t>장료</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23</v>
      </c>
      <c r="B82" s="5" t="n">
        <v>5</v>
      </c>
      <c r="C82" s="5" t="inlineStr">
        <is>
          <t>카드</t>
        </is>
      </c>
      <c r="D82" s="5" t="inlineStr">
        <is>
          <t>후성</t>
        </is>
      </c>
      <c r="E82" s="5" t="n">
        <v>1</v>
      </c>
      <c r="F82" s="5" t="inlineStr">
        <is>
          <t>C</t>
        </is>
      </c>
      <c r="G82" s="5">
        <f>IF(C82="카드",INDEX(비용표!$C$2:$C$7,MATCH(F82,비용표!$B$2:$B$7,0)),F82*INDEX(비용표!$C$8:$C$9,MATCH(C82,비용표!$B$8:$B$9,0)))</f>
        <v/>
      </c>
      <c r="H82" s="5">
        <f>G82*E82</f>
        <v/>
      </c>
      <c r="I82" s="10">
        <f>IF(A82=A81,I81&amp;" · ","")&amp;IF(C82="카드",D82&amp;E82,"["&amp;C82&amp;"] "&amp;D82)</f>
        <v/>
      </c>
    </row>
    <row r="83">
      <c r="A83" s="5" t="n">
        <v>24</v>
      </c>
      <c r="B83" s="5" t="n">
        <v>1</v>
      </c>
      <c r="C83" s="5" t="inlineStr">
        <is>
          <t>카드</t>
        </is>
      </c>
      <c r="D83" s="5" t="inlineStr">
        <is>
          <t>진등</t>
        </is>
      </c>
      <c r="E83" s="5" t="n">
        <v>1</v>
      </c>
      <c r="F83" s="5" t="inlineStr">
        <is>
          <t>C</t>
        </is>
      </c>
      <c r="G83" s="5">
        <f>IF(C83="카드",INDEX(비용표!$C$2:$C$7,MATCH(F83,비용표!$B$2:$B$7,0)),F83*INDEX(비용표!$C$8:$C$9,MATCH(C83,비용표!$B$8:$B$9,0)))</f>
        <v/>
      </c>
      <c r="H83" s="5">
        <f>G83*E83</f>
        <v/>
      </c>
      <c r="I83" s="10">
        <f>IF(A83=A82,I82&amp;" · ","")&amp;IF(C83="카드",D83&amp;E83,"["&amp;C83&amp;"] "&amp;D83)</f>
        <v/>
      </c>
    </row>
    <row r="84">
      <c r="A84" s="5" t="n">
        <v>24</v>
      </c>
      <c r="B84" s="5" t="n">
        <v>2</v>
      </c>
      <c r="C84" s="5" t="inlineStr">
        <is>
          <t>카드</t>
        </is>
      </c>
      <c r="D84" s="5" t="inlineStr">
        <is>
          <t>여포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24</v>
      </c>
      <c r="B85" s="5" t="n">
        <v>3</v>
      </c>
      <c r="C85" s="5" t="inlineStr">
        <is>
          <t>카드</t>
        </is>
      </c>
      <c r="D85" s="5" t="inlineStr">
        <is>
          <t>유비</t>
        </is>
      </c>
      <c r="E85" s="5" t="n">
        <v>1</v>
      </c>
      <c r="F85" s="5" t="inlineStr">
        <is>
          <t>S</t>
        </is>
      </c>
      <c r="G85" s="5">
        <f>IF(C85="카드",INDEX(비용표!$C$2:$C$7,MATCH(F85,비용표!$B$2:$B$7,0)),F85*INDEX(비용표!$C$8:$C$9,MATCH(C85,비용표!$B$8:$B$9,0)))</f>
        <v/>
      </c>
      <c r="H85" s="5">
        <f>G85*E85</f>
        <v/>
      </c>
      <c r="I85" s="10">
        <f>IF(A85=A84,I84&amp;" · ","")&amp;IF(C85="카드",D85&amp;E85,"["&amp;C85&amp;"] "&amp;D85)</f>
        <v/>
      </c>
    </row>
    <row r="86">
      <c r="A86" s="5" t="n">
        <v>25</v>
      </c>
      <c r="B86" s="5" t="n">
        <v>1</v>
      </c>
      <c r="C86" s="5" t="inlineStr">
        <is>
          <t>카드</t>
        </is>
      </c>
      <c r="D86" s="5" t="inlineStr">
        <is>
          <t>원술</t>
        </is>
      </c>
      <c r="E86" s="5" t="n">
        <v>1</v>
      </c>
      <c r="F86" s="5" t="inlineStr">
        <is>
          <t>B</t>
        </is>
      </c>
      <c r="G86" s="5">
        <f>IF(C86="카드",INDEX(비용표!$C$2:$C$7,MATCH(F86,비용표!$B$2:$B$7,0)),F86*INDEX(비용표!$C$8:$C$9,MATCH(C86,비용표!$B$8:$B$9,0)))</f>
        <v/>
      </c>
      <c r="H86" s="5">
        <f>G86*E86</f>
        <v/>
      </c>
      <c r="I86" s="10">
        <f>IF(A86=A85,I85&amp;" · ","")&amp;IF(C86="카드",D86&amp;E86,"["&amp;C86&amp;"] "&amp;D86)</f>
        <v/>
      </c>
    </row>
    <row r="87">
      <c r="A87" s="5" t="n">
        <v>25</v>
      </c>
      <c r="B87" s="5" t="n">
        <v>2</v>
      </c>
      <c r="C87" s="5" t="inlineStr">
        <is>
          <t>카드</t>
        </is>
      </c>
      <c r="D87" s="5" t="inlineStr">
        <is>
          <t>기령</t>
        </is>
      </c>
      <c r="E87" s="5" t="n">
        <v>1</v>
      </c>
      <c r="F87" s="5" t="inlineStr">
        <is>
          <t>C</t>
        </is>
      </c>
      <c r="G87" s="5">
        <f>IF(C87="카드",INDEX(비용표!$C$2:$C$7,MATCH(F87,비용표!$B$2:$B$7,0)),F87*INDEX(비용표!$C$8:$C$9,MATCH(C87,비용표!$B$8:$B$9,0)))</f>
        <v/>
      </c>
      <c r="H87" s="5">
        <f>G87*E87</f>
        <v/>
      </c>
      <c r="I87" s="10">
        <f>IF(A87=A86,I86&amp;" · ","")&amp;IF(C87="카드",D87&amp;E87,"["&amp;C87&amp;"] "&amp;D87)</f>
        <v/>
      </c>
    </row>
    <row r="88">
      <c r="A88" s="5" t="n">
        <v>25</v>
      </c>
      <c r="B88" s="5" t="n">
        <v>3</v>
      </c>
      <c r="C88" s="5" t="inlineStr">
        <is>
          <t>카드</t>
        </is>
      </c>
      <c r="D88" s="5" t="inlineStr">
        <is>
          <t>원윤</t>
        </is>
      </c>
      <c r="E88" s="5" t="n">
        <v>1</v>
      </c>
      <c r="F88" s="5" t="inlineStr">
        <is>
          <t>D</t>
        </is>
      </c>
      <c r="G88" s="5">
        <f>IF(C88="카드",INDEX(비용표!$C$2:$C$7,MATCH(F88,비용표!$B$2:$B$7,0)),F88*INDEX(비용표!$C$8:$C$9,MATCH(C88,비용표!$B$8:$B$9,0)))</f>
        <v/>
      </c>
      <c r="H88" s="5">
        <f>G88*E88</f>
        <v/>
      </c>
      <c r="I88" s="10">
        <f>IF(A88=A87,I87&amp;" · ","")&amp;IF(C88="카드",D88&amp;E88,"["&amp;C88&amp;"] "&amp;D88)</f>
        <v/>
      </c>
    </row>
    <row r="89">
      <c r="A89" s="5" t="n">
        <v>25</v>
      </c>
      <c r="B89" s="5" t="n">
        <v>4</v>
      </c>
      <c r="C89" s="5" t="inlineStr">
        <is>
          <t>카드</t>
        </is>
      </c>
      <c r="D89" s="5" t="inlineStr">
        <is>
          <t>이풍</t>
        </is>
      </c>
      <c r="E89" s="5" t="n">
        <v>1</v>
      </c>
      <c r="F89" s="5" t="inlineStr">
        <is>
          <t>C</t>
        </is>
      </c>
      <c r="G89" s="5">
        <f>IF(C89="카드",INDEX(비용표!$C$2:$C$7,MATCH(F89,비용표!$B$2:$B$7,0)),F89*INDEX(비용표!$C$8:$C$9,MATCH(C89,비용표!$B$8:$B$9,0)))</f>
        <v/>
      </c>
      <c r="H89" s="5">
        <f>G89*E89</f>
        <v/>
      </c>
      <c r="I89" s="10">
        <f>IF(A89=A88,I88&amp;" · ","")&amp;IF(C89="카드",D89&amp;E89,"["&amp;C89&amp;"] "&amp;D89)</f>
        <v/>
      </c>
    </row>
    <row r="90">
      <c r="A90" s="5" t="n">
        <v>25</v>
      </c>
      <c r="B90" s="5" t="n">
        <v>5</v>
      </c>
      <c r="C90" s="5" t="inlineStr">
        <is>
          <t>카드</t>
        </is>
      </c>
      <c r="D90" s="5" t="inlineStr">
        <is>
          <t>진기</t>
        </is>
      </c>
      <c r="E90" s="5" t="n">
        <v>1</v>
      </c>
      <c r="F90" s="5" t="inlineStr">
        <is>
          <t>C</t>
        </is>
      </c>
      <c r="G90" s="5">
        <f>IF(C90="카드",INDEX(비용표!$C$2:$C$7,MATCH(F90,비용표!$B$2:$B$7,0)),F90*INDEX(비용표!$C$8:$C$9,MATCH(C90,비용표!$B$8:$B$9,0)))</f>
        <v/>
      </c>
      <c r="H90" s="5">
        <f>G90*E90</f>
        <v/>
      </c>
      <c r="I90" s="10">
        <f>IF(A90=A89,I89&amp;" · ","")&amp;IF(C90="카드",D90&amp;E90,"["&amp;C90&amp;"] "&amp;D90)</f>
        <v/>
      </c>
    </row>
    <row r="91">
      <c r="A91" s="5" t="n">
        <v>26</v>
      </c>
      <c r="B91" s="5" t="n">
        <v>1</v>
      </c>
      <c r="C91" s="5" t="inlineStr">
        <is>
          <t>카드</t>
        </is>
      </c>
      <c r="D91" s="5" t="inlineStr">
        <is>
          <t>원소</t>
        </is>
      </c>
      <c r="E91" s="5" t="n">
        <v>1</v>
      </c>
      <c r="F91" s="5" t="inlineStr">
        <is>
          <t>C</t>
        </is>
      </c>
      <c r="G91" s="5">
        <f>IF(C91="카드",INDEX(비용표!$C$2:$C$7,MATCH(F91,비용표!$B$2:$B$7,0)),F91*INDEX(비용표!$C$8:$C$9,MATCH(C91,비용표!$B$8:$B$9,0)))</f>
        <v/>
      </c>
      <c r="H91" s="5">
        <f>G91*E91</f>
        <v/>
      </c>
      <c r="I91" s="10">
        <f>IF(A91=A90,I90&amp;" · ","")&amp;IF(C91="카드",D91&amp;E91,"["&amp;C91&amp;"] "&amp;D91)</f>
        <v/>
      </c>
    </row>
    <row r="92">
      <c r="A92" s="5" t="n">
        <v>26</v>
      </c>
      <c r="B92" s="5" t="n">
        <v>2</v>
      </c>
      <c r="C92" s="5" t="inlineStr">
        <is>
          <t>카드</t>
        </is>
      </c>
      <c r="D92" s="5" t="inlineStr">
        <is>
          <t>공손찬</t>
        </is>
      </c>
      <c r="E92" s="5" t="n">
        <v>1</v>
      </c>
      <c r="F92" s="5" t="inlineStr">
        <is>
          <t>C</t>
        </is>
      </c>
      <c r="G92" s="5">
        <f>IF(C92="카드",INDEX(비용표!$C$2:$C$7,MATCH(F92,비용표!$B$2:$B$7,0)),F92*INDEX(비용표!$C$8:$C$9,MATCH(C92,비용표!$B$8:$B$9,0)))</f>
        <v/>
      </c>
      <c r="H92" s="5">
        <f>G92*E92</f>
        <v/>
      </c>
      <c r="I92" s="10">
        <f>IF(A92=A91,I91&amp;" · ","")&amp;IF(C92="카드",D92&amp;E92,"["&amp;C92&amp;"] "&amp;D92)</f>
        <v/>
      </c>
    </row>
    <row r="93">
      <c r="A93" s="5" t="n">
        <v>26</v>
      </c>
      <c r="B93" s="5" t="n">
        <v>3</v>
      </c>
      <c r="C93" s="5" t="inlineStr">
        <is>
          <t>카드</t>
        </is>
      </c>
      <c r="D93" s="5" t="inlineStr">
        <is>
          <t>국의</t>
        </is>
      </c>
      <c r="E93" s="5" t="n">
        <v>1</v>
      </c>
      <c r="F93" s="5" t="inlineStr">
        <is>
          <t>C</t>
        </is>
      </c>
      <c r="G93" s="5">
        <f>IF(C93="카드",INDEX(비용표!$C$2:$C$7,MATCH(F93,비용표!$B$2:$B$7,0)),F93*INDEX(비용표!$C$8:$C$9,MATCH(C93,비용표!$B$8:$B$9,0)))</f>
        <v/>
      </c>
      <c r="H93" s="5">
        <f>G93*E93</f>
        <v/>
      </c>
      <c r="I93" s="10">
        <f>IF(A93=A92,I92&amp;" · ","")&amp;IF(C93="카드",D93&amp;E93,"["&amp;C93&amp;"] "&amp;D93)</f>
        <v/>
      </c>
    </row>
    <row r="94">
      <c r="A94" s="5" t="n">
        <v>27</v>
      </c>
      <c r="B94" s="5" t="n">
        <v>1</v>
      </c>
      <c r="C94" s="5" t="inlineStr">
        <is>
          <t>카드</t>
        </is>
      </c>
      <c r="D94" s="5" t="inlineStr">
        <is>
          <t>태사자</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27</v>
      </c>
      <c r="B95" s="5" t="n">
        <v>2</v>
      </c>
      <c r="C95" s="5" t="inlineStr">
        <is>
          <t>병기</t>
        </is>
      </c>
      <c r="D95" s="5" t="inlineStr">
        <is>
          <t>수극</t>
        </is>
      </c>
      <c r="E95" s="5" t="n">
        <v>1</v>
      </c>
      <c r="F95" s="5" t="n">
        <v>1</v>
      </c>
      <c r="G95" s="5">
        <f>IF(C95="카드",INDEX(비용표!$C$2:$C$7,MATCH(F95,비용표!$B$2:$B$7,0)),F95*INDEX(비용표!$C$8:$C$9,MATCH(C95,비용표!$B$8:$B$9,0)))</f>
        <v/>
      </c>
      <c r="H95" s="5">
        <f>G95*E95</f>
        <v/>
      </c>
      <c r="I95" s="10">
        <f>IF(A95=A94,I94&amp;" · ","")&amp;IF(C95="카드",D95&amp;E95,"["&amp;C95&amp;"] "&amp;D95)</f>
        <v/>
      </c>
    </row>
    <row r="96">
      <c r="A96" s="5" t="n">
        <v>28</v>
      </c>
      <c r="B96" s="5" t="n">
        <v>1</v>
      </c>
      <c r="C96" s="5" t="inlineStr">
        <is>
          <t>카드</t>
        </is>
      </c>
      <c r="D96" s="5" t="inlineStr">
        <is>
          <t>손권</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28</v>
      </c>
      <c r="B97" s="5" t="n">
        <v>2</v>
      </c>
      <c r="C97" s="5" t="inlineStr">
        <is>
          <t>카드</t>
        </is>
      </c>
      <c r="D97" s="5" t="inlineStr">
        <is>
          <t>장소</t>
        </is>
      </c>
      <c r="E97" s="5" t="n">
        <v>1</v>
      </c>
      <c r="F97" s="5" t="inlineStr">
        <is>
          <t>A</t>
        </is>
      </c>
      <c r="G97" s="5">
        <f>IF(C97="카드",INDEX(비용표!$C$2:$C$7,MATCH(F97,비용표!$B$2:$B$7,0)),F97*INDEX(비용표!$C$8:$C$9,MATCH(C97,비용표!$B$8:$B$9,0)))</f>
        <v/>
      </c>
      <c r="H97" s="5">
        <f>G97*E97</f>
        <v/>
      </c>
      <c r="I97" s="10">
        <f>IF(A97=A96,I96&amp;" · ","")&amp;IF(C97="카드",D97&amp;E97,"["&amp;C97&amp;"] "&amp;D97)</f>
        <v/>
      </c>
    </row>
    <row r="98">
      <c r="A98" s="5" t="n">
        <v>28</v>
      </c>
      <c r="B98" s="5" t="n">
        <v>3</v>
      </c>
      <c r="C98" s="5" t="inlineStr">
        <is>
          <t>카드</t>
        </is>
      </c>
      <c r="D98" s="5" t="inlineStr">
        <is>
          <t>주유</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29</v>
      </c>
      <c r="B99" s="5" t="n">
        <v>1</v>
      </c>
      <c r="C99" s="5" t="inlineStr">
        <is>
          <t>카드</t>
        </is>
      </c>
      <c r="D99" s="5" t="inlineStr">
        <is>
          <t>장수</t>
        </is>
      </c>
      <c r="E99" s="5" t="n">
        <v>1</v>
      </c>
      <c r="F99" s="5" t="inlineStr">
        <is>
          <t>B</t>
        </is>
      </c>
      <c r="G99" s="5">
        <f>IF(C99="카드",INDEX(비용표!$C$2:$C$7,MATCH(F99,비용표!$B$2:$B$7,0)),F99*INDEX(비용표!$C$8:$C$9,MATCH(C99,비용표!$B$8:$B$9,0)))</f>
        <v/>
      </c>
      <c r="H99" s="5">
        <f>G99*E99</f>
        <v/>
      </c>
      <c r="I99" s="10">
        <f>IF(A99=A98,I98&amp;" · ","")&amp;IF(C99="카드",D99&amp;E99,"["&amp;C99&amp;"] "&amp;D99)</f>
        <v/>
      </c>
    </row>
    <row r="100">
      <c r="A100" s="5" t="n">
        <v>29</v>
      </c>
      <c r="B100" s="5" t="n">
        <v>2</v>
      </c>
      <c r="C100" s="5" t="inlineStr">
        <is>
          <t>카드</t>
        </is>
      </c>
      <c r="D100" s="5" t="inlineStr">
        <is>
          <t>가후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29</v>
      </c>
      <c r="B101" s="5" t="n">
        <v>3</v>
      </c>
      <c r="C101" s="5" t="inlineStr">
        <is>
          <t>카드</t>
        </is>
      </c>
      <c r="D101" s="5" t="inlineStr">
        <is>
          <t>조조</t>
        </is>
      </c>
      <c r="E101" s="5" t="n">
        <v>1</v>
      </c>
      <c r="F101" s="5" t="inlineStr">
        <is>
          <t>S</t>
        </is>
      </c>
      <c r="G101" s="5">
        <f>IF(C101="카드",INDEX(비용표!$C$2:$C$7,MATCH(F101,비용표!$B$2:$B$7,0)),F101*INDEX(비용표!$C$8:$C$9,MATCH(C101,비용표!$B$8:$B$9,0)))</f>
        <v/>
      </c>
      <c r="H101" s="5">
        <f>G101*E101</f>
        <v/>
      </c>
      <c r="I101" s="10">
        <f>IF(A101=A100,I100&amp;" · ","")&amp;IF(C101="카드",D101&amp;E101,"["&amp;C101&amp;"] "&amp;D101)</f>
        <v/>
      </c>
    </row>
    <row r="102">
      <c r="A102" s="5" t="n">
        <v>29</v>
      </c>
      <c r="B102" s="5" t="n">
        <v>4</v>
      </c>
      <c r="C102" s="5" t="inlineStr">
        <is>
          <t>아이템</t>
        </is>
      </c>
      <c r="D102" s="5" t="inlineStr">
        <is>
          <t>절영</t>
        </is>
      </c>
      <c r="E102" s="5" t="n">
        <v>1</v>
      </c>
      <c r="F102" s="5" t="n">
        <v>4</v>
      </c>
      <c r="G102" s="5">
        <f>IF(C102="카드",INDEX(비용표!$C$2:$C$7,MATCH(F102,비용표!$B$2:$B$7,0)),F102*INDEX(비용표!$C$8:$C$9,MATCH(C102,비용표!$B$8:$B$9,0)))</f>
        <v/>
      </c>
      <c r="H102" s="5">
        <f>G102*E102</f>
        <v/>
      </c>
      <c r="I102" s="10">
        <f>IF(A102=A101,I101&amp;" · ","")&amp;IF(C102="카드",D102&amp;E102,"["&amp;C102&amp;"] "&amp;D102)</f>
        <v/>
      </c>
    </row>
    <row r="103">
      <c r="A103" s="5" t="n">
        <v>30</v>
      </c>
      <c r="B103" s="5" t="n">
        <v>1</v>
      </c>
      <c r="C103" s="5" t="inlineStr">
        <is>
          <t>카드</t>
        </is>
      </c>
      <c r="D103" s="5" t="inlineStr">
        <is>
          <t>가후</t>
        </is>
      </c>
      <c r="E103" s="5" t="n">
        <v>1</v>
      </c>
      <c r="F103" s="5" t="inlineStr">
        <is>
          <t>S</t>
        </is>
      </c>
      <c r="G103" s="5">
        <f>IF(C103="카드",INDEX(비용표!$C$2:$C$7,MATCH(F103,비용표!$B$2:$B$7,0)),F103*INDEX(비용표!$C$8:$C$9,MATCH(C103,비용표!$B$8:$B$9,0)))</f>
        <v/>
      </c>
      <c r="H103" s="5">
        <f>G103*E103</f>
        <v/>
      </c>
      <c r="I103" s="10">
        <f>IF(A103=A102,I102&amp;" · ","")&amp;IF(C103="카드",D103&amp;E103,"["&amp;C103&amp;"] "&amp;D103)</f>
        <v/>
      </c>
    </row>
    <row r="104">
      <c r="A104" s="5" t="n">
        <v>30</v>
      </c>
      <c r="B104" s="5" t="n">
        <v>2</v>
      </c>
      <c r="C104" s="5" t="inlineStr">
        <is>
          <t>카드</t>
        </is>
      </c>
      <c r="D104" s="5" t="inlineStr">
        <is>
          <t>장수</t>
        </is>
      </c>
      <c r="E104" s="5" t="n">
        <v>1</v>
      </c>
      <c r="F104" s="5" t="inlineStr">
        <is>
          <t>B</t>
        </is>
      </c>
      <c r="G104" s="5">
        <f>IF(C104="카드",INDEX(비용표!$C$2:$C$7,MATCH(F104,비용표!$B$2:$B$7,0)),F104*INDEX(비용표!$C$8:$C$9,MATCH(C104,비용표!$B$8:$B$9,0)))</f>
        <v/>
      </c>
      <c r="H104" s="5">
        <f>G104*E104</f>
        <v/>
      </c>
      <c r="I104" s="10">
        <f>IF(A104=A103,I103&amp;" · ","")&amp;IF(C104="카드",D104&amp;E104,"["&amp;C104&amp;"] "&amp;D104)</f>
        <v/>
      </c>
    </row>
    <row r="105">
      <c r="A105" s="5" t="n">
        <v>31</v>
      </c>
      <c r="B105" s="5" t="n">
        <v>1</v>
      </c>
      <c r="C105" s="5" t="inlineStr">
        <is>
          <t>카드</t>
        </is>
      </c>
      <c r="D105" s="5" t="inlineStr">
        <is>
          <t>조조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31</v>
      </c>
      <c r="B106" s="5" t="n">
        <v>2</v>
      </c>
      <c r="C106" s="5" t="inlineStr">
        <is>
          <t>카드</t>
        </is>
      </c>
      <c r="D106" s="5" t="inlineStr">
        <is>
          <t>유비</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32</v>
      </c>
      <c r="B107" s="5" t="n">
        <v>1</v>
      </c>
      <c r="C107" s="5" t="inlineStr">
        <is>
          <t>카드</t>
        </is>
      </c>
      <c r="D107" s="5" t="inlineStr">
        <is>
          <t>헌제</t>
        </is>
      </c>
      <c r="E107" s="5" t="n">
        <v>1</v>
      </c>
      <c r="F107" s="5" t="inlineStr">
        <is>
          <t>E</t>
        </is>
      </c>
      <c r="G107" s="5">
        <f>IF(C107="카드",INDEX(비용표!$C$2:$C$7,MATCH(F107,비용표!$B$2:$B$7,0)),F107*INDEX(비용표!$C$8:$C$9,MATCH(C107,비용표!$B$8:$B$9,0)))</f>
        <v/>
      </c>
      <c r="H107" s="5">
        <f>G107*E107</f>
        <v/>
      </c>
      <c r="I107" s="10">
        <f>IF(A107=A106,I106&amp;" · ","")&amp;IF(C107="카드",D107&amp;E107,"["&amp;C107&amp;"] "&amp;D107)</f>
        <v/>
      </c>
    </row>
    <row r="108">
      <c r="A108" s="5" t="n">
        <v>32</v>
      </c>
      <c r="B108" s="5" t="n">
        <v>2</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32</v>
      </c>
      <c r="B109" s="5" t="n">
        <v>3</v>
      </c>
      <c r="C109" s="5" t="inlineStr">
        <is>
          <t>카드</t>
        </is>
      </c>
      <c r="D109" s="5" t="inlineStr">
        <is>
          <t>마등</t>
        </is>
      </c>
      <c r="E109" s="5" t="n">
        <v>1</v>
      </c>
      <c r="F109" s="5" t="inlineStr">
        <is>
          <t>A</t>
        </is>
      </c>
      <c r="G109" s="5">
        <f>IF(C109="카드",INDEX(비용표!$C$2:$C$7,MATCH(F109,비용표!$B$2:$B$7,0)),F109*INDEX(비용표!$C$8:$C$9,MATCH(C109,비용표!$B$8:$B$9,0)))</f>
        <v/>
      </c>
      <c r="H109" s="5">
        <f>G109*E109</f>
        <v/>
      </c>
      <c r="I109" s="10">
        <f>IF(A109=A108,I108&amp;" · ","")&amp;IF(C109="카드",D109&amp;E109,"["&amp;C109&amp;"] "&amp;D109)</f>
        <v/>
      </c>
    </row>
    <row r="110">
      <c r="A110" s="5" t="n">
        <v>33</v>
      </c>
      <c r="B110" s="5" t="n">
        <v>1</v>
      </c>
      <c r="C110" s="5" t="inlineStr">
        <is>
          <t>카드</t>
        </is>
      </c>
      <c r="D110" s="5" t="inlineStr">
        <is>
          <t>관우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33</v>
      </c>
      <c r="B111" s="5" t="n">
        <v>2</v>
      </c>
      <c r="C111" s="5" t="inlineStr">
        <is>
          <t>카드</t>
        </is>
      </c>
      <c r="D111" s="5" t="inlineStr">
        <is>
          <t>장료</t>
        </is>
      </c>
      <c r="E111" s="5" t="n">
        <v>1</v>
      </c>
      <c r="F111" s="5" t="inlineStr">
        <is>
          <t>S</t>
        </is>
      </c>
      <c r="G111" s="5">
        <f>IF(C111="카드",INDEX(비용표!$C$2:$C$7,MATCH(F111,비용표!$B$2:$B$7,0)),F111*INDEX(비용표!$C$8:$C$9,MATCH(C111,비용표!$B$8:$B$9,0)))</f>
        <v/>
      </c>
      <c r="H111" s="5">
        <f>G111*E111</f>
        <v/>
      </c>
      <c r="I111" s="10">
        <f>IF(A111=A110,I110&amp;" · ","")&amp;IF(C111="카드",D111&amp;E111,"["&amp;C111&amp;"] "&amp;D111)</f>
        <v/>
      </c>
    </row>
    <row r="112">
      <c r="A112" s="5" t="n">
        <v>33</v>
      </c>
      <c r="B112" s="5" t="n">
        <v>3</v>
      </c>
      <c r="C112" s="5" t="inlineStr">
        <is>
          <t>카드</t>
        </is>
      </c>
      <c r="D112" s="5" t="inlineStr">
        <is>
          <t>조조</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34</v>
      </c>
      <c r="B113" s="5" t="n">
        <v>1</v>
      </c>
      <c r="C113" s="5" t="inlineStr">
        <is>
          <t>카드</t>
        </is>
      </c>
      <c r="D113" s="5" t="inlineStr">
        <is>
          <t>곽가</t>
        </is>
      </c>
      <c r="E113" s="5" t="n">
        <v>1</v>
      </c>
      <c r="F113" s="5" t="inlineStr">
        <is>
          <t>S</t>
        </is>
      </c>
      <c r="G113" s="5">
        <f>IF(C113="카드",INDEX(비용표!$C$2:$C$7,MATCH(F113,비용표!$B$2:$B$7,0)),F113*INDEX(비용표!$C$8:$C$9,MATCH(C113,비용표!$B$8:$B$9,0)))</f>
        <v/>
      </c>
      <c r="H113" s="5">
        <f>G113*E113</f>
        <v/>
      </c>
      <c r="I113" s="10">
        <f>IF(A113=A112,I112&amp;" · ","")&amp;IF(C113="카드",D113&amp;E113,"["&amp;C113&amp;"] "&amp;D113)</f>
        <v/>
      </c>
    </row>
    <row r="114">
      <c r="A114" s="5" t="n">
        <v>34</v>
      </c>
      <c r="B114" s="5" t="n">
        <v>2</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34</v>
      </c>
      <c r="B115" s="5" t="n">
        <v>3</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35</v>
      </c>
      <c r="B116" s="5" t="n">
        <v>1</v>
      </c>
      <c r="C116" s="5" t="inlineStr">
        <is>
          <t>카드</t>
        </is>
      </c>
      <c r="D116" s="5" t="inlineStr">
        <is>
          <t>순욱</t>
        </is>
      </c>
      <c r="E116" s="5" t="n">
        <v>1</v>
      </c>
      <c r="F116" s="5" t="inlineStr">
        <is>
          <t>S</t>
        </is>
      </c>
      <c r="G116" s="5">
        <f>IF(C116="카드",INDEX(비용표!$C$2:$C$7,MATCH(F116,비용표!$B$2:$B$7,0)),F116*INDEX(비용표!$C$8:$C$9,MATCH(C116,비용표!$B$8:$B$9,0)))</f>
        <v/>
      </c>
      <c r="H116" s="5">
        <f>G116*E116</f>
        <v/>
      </c>
      <c r="I116" s="10">
        <f>IF(A116=A115,I115&amp;" · ","")&amp;IF(C116="카드",D116&amp;E116,"["&amp;C116&amp;"] "&amp;D116)</f>
        <v/>
      </c>
    </row>
    <row r="117">
      <c r="A117" s="5" t="n">
        <v>35</v>
      </c>
      <c r="B117" s="5" t="n">
        <v>2</v>
      </c>
      <c r="C117" s="5" t="inlineStr">
        <is>
          <t>카드</t>
        </is>
      </c>
      <c r="D117" s="5" t="inlineStr">
        <is>
          <t>순유</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35</v>
      </c>
      <c r="B118" s="5" t="n">
        <v>3</v>
      </c>
      <c r="C118" s="5" t="inlineStr">
        <is>
          <t>카드</t>
        </is>
      </c>
      <c r="D118" s="5" t="inlineStr">
        <is>
          <t>조조</t>
        </is>
      </c>
      <c r="E118" s="5" t="n">
        <v>1</v>
      </c>
      <c r="F118" s="5" t="inlineStr">
        <is>
          <t>S</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1</v>
      </c>
      <c r="C119" s="5" t="inlineStr">
        <is>
          <t>카드</t>
        </is>
      </c>
      <c r="D119" s="5" t="inlineStr">
        <is>
          <t>전풍</t>
        </is>
      </c>
      <c r="E119" s="5" t="n">
        <v>1</v>
      </c>
      <c r="F119" s="5" t="inlineStr">
        <is>
          <t>A</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2</v>
      </c>
      <c r="C120" s="5" t="inlineStr">
        <is>
          <t>카드</t>
        </is>
      </c>
      <c r="D120" s="5" t="inlineStr">
        <is>
          <t>저수</t>
        </is>
      </c>
      <c r="E120" s="5" t="n">
        <v>1</v>
      </c>
      <c r="F120" s="5" t="inlineStr">
        <is>
          <t>A</t>
        </is>
      </c>
      <c r="G120" s="5">
        <f>IF(C120="카드",INDEX(비용표!$C$2:$C$7,MATCH(F120,비용표!$B$2:$B$7,0)),F120*INDEX(비용표!$C$8:$C$9,MATCH(C120,비용표!$B$8:$B$9,0)))</f>
        <v/>
      </c>
      <c r="H120" s="5">
        <f>G120*E120</f>
        <v/>
      </c>
      <c r="I120" s="10">
        <f>IF(A120=A119,I119&amp;" · ","")&amp;IF(C120="카드",D120&amp;E120,"["&amp;C120&amp;"] "&amp;D120)</f>
        <v/>
      </c>
    </row>
    <row r="121">
      <c r="A121" s="5" t="n">
        <v>36</v>
      </c>
      <c r="B121" s="5" t="n">
        <v>3</v>
      </c>
      <c r="C121" s="5" t="inlineStr">
        <is>
          <t>카드</t>
        </is>
      </c>
      <c r="D121" s="5" t="inlineStr">
        <is>
          <t>심배</t>
        </is>
      </c>
      <c r="E121" s="5" t="n">
        <v>1</v>
      </c>
      <c r="F121" s="5" t="inlineStr">
        <is>
          <t>B</t>
        </is>
      </c>
      <c r="G121" s="5">
        <f>IF(C121="카드",INDEX(비용표!$C$2:$C$7,MATCH(F121,비용표!$B$2:$B$7,0)),F121*INDEX(비용표!$C$8:$C$9,MATCH(C121,비용표!$B$8:$B$9,0)))</f>
        <v/>
      </c>
      <c r="H121" s="5">
        <f>G121*E121</f>
        <v/>
      </c>
      <c r="I121" s="10">
        <f>IF(A121=A120,I120&amp;" · ","")&amp;IF(C121="카드",D121&amp;E121,"["&amp;C121&amp;"] "&amp;D121)</f>
        <v/>
      </c>
    </row>
    <row r="122">
      <c r="A122" s="5" t="n">
        <v>36</v>
      </c>
      <c r="B122" s="5" t="n">
        <v>4</v>
      </c>
      <c r="C122" s="5" t="inlineStr">
        <is>
          <t>카드</t>
        </is>
      </c>
      <c r="D122" s="5" t="inlineStr">
        <is>
          <t>곽도</t>
        </is>
      </c>
      <c r="E122" s="5" t="n">
        <v>1</v>
      </c>
      <c r="F122" s="5" t="inlineStr">
        <is>
          <t>B</t>
        </is>
      </c>
      <c r="G122" s="5">
        <f>IF(C122="카드",INDEX(비용표!$C$2:$C$7,MATCH(F122,비용표!$B$2:$B$7,0)),F122*INDEX(비용표!$C$8:$C$9,MATCH(C122,비용표!$B$8:$B$9,0)))</f>
        <v/>
      </c>
      <c r="H122" s="5">
        <f>G122*E122</f>
        <v/>
      </c>
      <c r="I122" s="10">
        <f>IF(A122=A121,I121&amp;" · ","")&amp;IF(C122="카드",D122&amp;E122,"["&amp;C122&amp;"] "&amp;D122)</f>
        <v/>
      </c>
    </row>
    <row r="123">
      <c r="A123" s="5" t="n">
        <v>36</v>
      </c>
      <c r="B123" s="5" t="n">
        <v>5</v>
      </c>
      <c r="C123" s="5" t="inlineStr">
        <is>
          <t>카드</t>
        </is>
      </c>
      <c r="D123" s="5" t="inlineStr">
        <is>
          <t>허유</t>
        </is>
      </c>
      <c r="E123" s="5" t="n">
        <v>1</v>
      </c>
      <c r="F123" s="5" t="inlineStr">
        <is>
          <t>D</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1</v>
      </c>
      <c r="C124" s="5" t="inlineStr">
        <is>
          <t>카드</t>
        </is>
      </c>
      <c r="D124" s="5" t="inlineStr">
        <is>
          <t>안량</t>
        </is>
      </c>
      <c r="E124" s="5" t="n">
        <v>1</v>
      </c>
      <c r="F124" s="5" t="inlineStr">
        <is>
          <t>A</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2</v>
      </c>
      <c r="C125" s="5" t="inlineStr">
        <is>
          <t>카드</t>
        </is>
      </c>
      <c r="D125" s="5" t="inlineStr">
        <is>
          <t>문추</t>
        </is>
      </c>
      <c r="E125" s="5" t="n">
        <v>1</v>
      </c>
      <c r="F125" s="5" t="inlineStr">
        <is>
          <t>A</t>
        </is>
      </c>
      <c r="G125" s="5">
        <f>IF(C125="카드",INDEX(비용표!$C$2:$C$7,MATCH(F125,비용표!$B$2:$B$7,0)),F125*INDEX(비용표!$C$8:$C$9,MATCH(C125,비용표!$B$8:$B$9,0)))</f>
        <v/>
      </c>
      <c r="H125" s="5">
        <f>G125*E125</f>
        <v/>
      </c>
      <c r="I125" s="10">
        <f>IF(A125=A124,I124&amp;" · ","")&amp;IF(C125="카드",D125&amp;E125,"["&amp;C125&amp;"] "&amp;D125)</f>
        <v/>
      </c>
    </row>
    <row r="126">
      <c r="A126" s="5" t="n">
        <v>37</v>
      </c>
      <c r="B126" s="5" t="n">
        <v>3</v>
      </c>
      <c r="C126" s="5" t="inlineStr">
        <is>
          <t>카드</t>
        </is>
      </c>
      <c r="D126" s="5" t="inlineStr">
        <is>
          <t>원소</t>
        </is>
      </c>
      <c r="E126" s="5" t="n">
        <v>1</v>
      </c>
      <c r="F126" s="5" t="inlineStr">
        <is>
          <t>C</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1</v>
      </c>
      <c r="C127" s="5" t="inlineStr">
        <is>
          <t>카드</t>
        </is>
      </c>
      <c r="D127" s="5" t="inlineStr">
        <is>
          <t>조조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2</v>
      </c>
      <c r="C128" s="5" t="inlineStr">
        <is>
          <t>카드</t>
        </is>
      </c>
      <c r="D128" s="5" t="inlineStr">
        <is>
          <t>관우</t>
        </is>
      </c>
      <c r="E128" s="5" t="n">
        <v>1</v>
      </c>
      <c r="F128" s="5" t="inlineStr">
        <is>
          <t>S</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3</v>
      </c>
      <c r="C129" s="5" t="inlineStr">
        <is>
          <t>카드</t>
        </is>
      </c>
      <c r="D129" s="5" t="inlineStr">
        <is>
          <t>원소</t>
        </is>
      </c>
      <c r="E129" s="5" t="n">
        <v>1</v>
      </c>
      <c r="F129" s="5" t="inlineStr">
        <is>
          <t>C</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4</v>
      </c>
      <c r="C130" s="5" t="inlineStr">
        <is>
          <t>카드</t>
        </is>
      </c>
      <c r="D130" s="5" t="inlineStr">
        <is>
          <t>안량</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38</v>
      </c>
      <c r="B131" s="5" t="n">
        <v>5</v>
      </c>
      <c r="C131" s="5" t="inlineStr">
        <is>
          <t>카드</t>
        </is>
      </c>
      <c r="D131" s="5" t="inlineStr">
        <is>
          <t>문추</t>
        </is>
      </c>
      <c r="E131" s="5" t="n">
        <v>1</v>
      </c>
      <c r="F131" s="5" t="inlineStr">
        <is>
          <t>A</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1</v>
      </c>
      <c r="C132" s="5" t="inlineStr">
        <is>
          <t>카드</t>
        </is>
      </c>
      <c r="D132" s="5" t="inlineStr">
        <is>
          <t>허유</t>
        </is>
      </c>
      <c r="E132" s="5" t="n">
        <v>1</v>
      </c>
      <c r="F132" s="5" t="inlineStr">
        <is>
          <t>D</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2</v>
      </c>
      <c r="C133" s="5" t="inlineStr">
        <is>
          <t>카드</t>
        </is>
      </c>
      <c r="D133" s="5" t="inlineStr">
        <is>
          <t>조조</t>
        </is>
      </c>
      <c r="E133" s="5" t="n">
        <v>1</v>
      </c>
      <c r="F133" s="5" t="inlineStr">
        <is>
          <t>S</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3</v>
      </c>
      <c r="C134" s="5" t="inlineStr">
        <is>
          <t>카드</t>
        </is>
      </c>
      <c r="D134" s="5" t="inlineStr">
        <is>
          <t>순우경</t>
        </is>
      </c>
      <c r="E134" s="5" t="n">
        <v>1</v>
      </c>
      <c r="F134" s="5" t="inlineStr">
        <is>
          <t>B</t>
        </is>
      </c>
      <c r="G134" s="5">
        <f>IF(C134="카드",INDEX(비용표!$C$2:$C$7,MATCH(F134,비용표!$B$2:$B$7,0)),F134*INDEX(비용표!$C$8:$C$9,MATCH(C134,비용표!$B$8:$B$9,0)))</f>
        <v/>
      </c>
      <c r="H134" s="5">
        <f>G134*E134</f>
        <v/>
      </c>
      <c r="I134" s="10">
        <f>IF(A134=A133,I133&amp;" · ","")&amp;IF(C134="카드",D134&amp;E134,"["&amp;C134&amp;"] "&amp;D134)</f>
        <v/>
      </c>
    </row>
    <row r="135">
      <c r="A135" s="5" t="n">
        <v>39</v>
      </c>
      <c r="B135" s="5" t="n">
        <v>4</v>
      </c>
      <c r="C135" s="5" t="inlineStr">
        <is>
          <t>카드</t>
        </is>
      </c>
      <c r="D135" s="5" t="inlineStr">
        <is>
          <t>저수</t>
        </is>
      </c>
      <c r="E135" s="5" t="n">
        <v>1</v>
      </c>
      <c r="F135" s="5" t="inlineStr">
        <is>
          <t>A</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1</v>
      </c>
      <c r="C136" s="5" t="inlineStr">
        <is>
          <t>카드</t>
        </is>
      </c>
      <c r="D136" s="5" t="inlineStr">
        <is>
          <t>관우</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2</v>
      </c>
      <c r="C137" s="5" t="inlineStr">
        <is>
          <t>카드</t>
        </is>
      </c>
      <c r="D137" s="5" t="inlineStr">
        <is>
          <t>진기</t>
        </is>
      </c>
      <c r="E137" s="5" t="n">
        <v>1</v>
      </c>
      <c r="F137" s="5" t="inlineStr">
        <is>
          <t>C</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3</v>
      </c>
      <c r="C138" s="5" t="inlineStr">
        <is>
          <t>카드</t>
        </is>
      </c>
      <c r="D138" s="5" t="inlineStr">
        <is>
          <t>손건</t>
        </is>
      </c>
      <c r="E138" s="5" t="n">
        <v>1</v>
      </c>
      <c r="F138" s="5" t="inlineStr">
        <is>
          <t>B</t>
        </is>
      </c>
      <c r="G138" s="5">
        <f>IF(C138="카드",INDEX(비용표!$C$2:$C$7,MATCH(F138,비용표!$B$2:$B$7,0)),F138*INDEX(비용표!$C$8:$C$9,MATCH(C138,비용표!$B$8:$B$9,0)))</f>
        <v/>
      </c>
      <c r="H138" s="5">
        <f>G138*E138</f>
        <v/>
      </c>
      <c r="I138" s="10">
        <f>IF(A138=A137,I137&amp;" · ","")&amp;IF(C138="카드",D138&amp;E138,"["&amp;C138&amp;"] "&amp;D138)</f>
        <v/>
      </c>
    </row>
    <row r="139">
      <c r="A139" s="5" t="n">
        <v>40</v>
      </c>
      <c r="B139" s="5" t="n">
        <v>4</v>
      </c>
      <c r="C139" s="5" t="inlineStr">
        <is>
          <t>카드</t>
        </is>
      </c>
      <c r="D139" s="5" t="inlineStr">
        <is>
          <t>하후돈</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40</v>
      </c>
      <c r="B140" s="5" t="n">
        <v>5</v>
      </c>
      <c r="C140" s="5" t="inlineStr">
        <is>
          <t>병기</t>
        </is>
      </c>
      <c r="D140" s="5" t="inlineStr">
        <is>
          <t>청룡언월도</t>
        </is>
      </c>
      <c r="E140" s="5" t="n">
        <v>1</v>
      </c>
      <c r="F140" s="5" t="n">
        <v>5</v>
      </c>
      <c r="G140" s="5">
        <f>IF(C140="카드",INDEX(비용표!$C$2:$C$7,MATCH(F140,비용표!$B$2:$B$7,0)),F140*INDEX(비용표!$C$8:$C$9,MATCH(C140,비용표!$B$8:$B$9,0)))</f>
        <v/>
      </c>
      <c r="H140" s="5">
        <f>G140*E140</f>
        <v/>
      </c>
      <c r="I140" s="10">
        <f>IF(A140=A139,I139&amp;" · ","")&amp;IF(C140="카드",D140&amp;E140,"["&amp;C140&amp;"] "&amp;D140)</f>
        <v/>
      </c>
    </row>
    <row r="141">
      <c r="A141" s="5" t="n">
        <v>41</v>
      </c>
      <c r="B141" s="5" t="n">
        <v>1</v>
      </c>
      <c r="C141" s="5" t="inlineStr">
        <is>
          <t>카드</t>
        </is>
      </c>
      <c r="D141" s="5" t="inlineStr">
        <is>
          <t>관우</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2</v>
      </c>
      <c r="C142" s="5" t="inlineStr">
        <is>
          <t>카드</t>
        </is>
      </c>
      <c r="D142" s="5" t="inlineStr">
        <is>
          <t>장비</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3</v>
      </c>
      <c r="C143" s="5" t="inlineStr">
        <is>
          <t>카드</t>
        </is>
      </c>
      <c r="D143" s="5" t="inlineStr">
        <is>
          <t>유비</t>
        </is>
      </c>
      <c r="E143" s="5" t="n">
        <v>1</v>
      </c>
      <c r="F143" s="5" t="inlineStr">
        <is>
          <t>S</t>
        </is>
      </c>
      <c r="G143" s="5">
        <f>IF(C143="카드",INDEX(비용표!$C$2:$C$7,MATCH(F143,비용표!$B$2:$B$7,0)),F143*INDEX(비용표!$C$8:$C$9,MATCH(C143,비용표!$B$8:$B$9,0)))</f>
        <v/>
      </c>
      <c r="H143" s="5">
        <f>G143*E143</f>
        <v/>
      </c>
      <c r="I143" s="10">
        <f>IF(A143=A142,I142&amp;" · ","")&amp;IF(C143="카드",D143&amp;E143,"["&amp;C143&amp;"] "&amp;D143)</f>
        <v/>
      </c>
    </row>
    <row r="144">
      <c r="A144" s="5" t="n">
        <v>41</v>
      </c>
      <c r="B144" s="5" t="n">
        <v>4</v>
      </c>
      <c r="C144" s="5" t="inlineStr">
        <is>
          <t>카드</t>
        </is>
      </c>
      <c r="D144" s="5" t="inlineStr">
        <is>
          <t>조운</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41</v>
      </c>
      <c r="B145" s="5" t="n">
        <v>5</v>
      </c>
      <c r="C145" s="5" t="inlineStr">
        <is>
          <t>카드</t>
        </is>
      </c>
      <c r="D145" s="5" t="inlineStr">
        <is>
          <t>주창</t>
        </is>
      </c>
      <c r="E145" s="5" t="n">
        <v>1</v>
      </c>
      <c r="F145" s="5" t="inlineStr">
        <is>
          <t>A</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1</v>
      </c>
      <c r="C146" s="5" t="inlineStr">
        <is>
          <t>카드</t>
        </is>
      </c>
      <c r="D146" s="5" t="inlineStr">
        <is>
          <t>하후돈</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42</v>
      </c>
      <c r="B147" s="5" t="n">
        <v>2</v>
      </c>
      <c r="C147" s="5" t="inlineStr">
        <is>
          <t>카드</t>
        </is>
      </c>
      <c r="D147" s="5" t="inlineStr">
        <is>
          <t>조성</t>
        </is>
      </c>
      <c r="E147" s="5" t="n">
        <v>1</v>
      </c>
      <c r="F147" s="5" t="inlineStr">
        <is>
          <t>C</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1</v>
      </c>
      <c r="C148" s="5" t="inlineStr">
        <is>
          <t>카드</t>
        </is>
      </c>
      <c r="D148" s="5" t="inlineStr">
        <is>
          <t>장료</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2</v>
      </c>
      <c r="C149" s="5" t="inlineStr">
        <is>
          <t>카드</t>
        </is>
      </c>
      <c r="D149" s="5" t="inlineStr">
        <is>
          <t>허저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3</v>
      </c>
      <c r="C150" s="5" t="inlineStr">
        <is>
          <t>카드</t>
        </is>
      </c>
      <c r="D150" s="5" t="inlineStr">
        <is>
          <t>서황</t>
        </is>
      </c>
      <c r="E150" s="5" t="n">
        <v>1</v>
      </c>
      <c r="F150" s="5" t="inlineStr">
        <is>
          <t>S</t>
        </is>
      </c>
      <c r="G150" s="5">
        <f>IF(C150="카드",INDEX(비용표!$C$2:$C$7,MATCH(F150,비용표!$B$2:$B$7,0)),F150*INDEX(비용표!$C$8:$C$9,MATCH(C150,비용표!$B$8:$B$9,0)))</f>
        <v/>
      </c>
      <c r="H150" s="5">
        <f>G150*E150</f>
        <v/>
      </c>
      <c r="I150" s="10">
        <f>IF(A150=A149,I149&amp;" · ","")&amp;IF(C150="카드",D150&amp;E150,"["&amp;C150&amp;"] "&amp;D150)</f>
        <v/>
      </c>
    </row>
    <row r="151">
      <c r="A151" s="5" t="n">
        <v>43</v>
      </c>
      <c r="B151" s="5" t="n">
        <v>4</v>
      </c>
      <c r="C151" s="5" t="inlineStr">
        <is>
          <t>아이템</t>
        </is>
      </c>
      <c r="D151" s="5" t="inlineStr">
        <is>
          <t>대완마</t>
        </is>
      </c>
      <c r="E151" s="5" t="n">
        <v>1</v>
      </c>
      <c r="F151" s="5" t="n">
        <v>2</v>
      </c>
      <c r="G151" s="5">
        <f>IF(C151="카드",INDEX(비용표!$C$2:$C$7,MATCH(F151,비용표!$B$2:$B$7,0)),F151*INDEX(비용표!$C$8:$C$9,MATCH(C151,비용표!$B$8:$B$9,0)))</f>
        <v/>
      </c>
      <c r="H151" s="5">
        <f>G151*E151</f>
        <v/>
      </c>
      <c r="I151" s="10">
        <f>IF(A151=A150,I150&amp;" · ","")&amp;IF(C151="카드",D151&amp;E151,"["&amp;C151&amp;"] "&amp;D151)</f>
        <v/>
      </c>
    </row>
    <row r="152">
      <c r="A152" s="5" t="n">
        <v>44</v>
      </c>
      <c r="B152" s="5" t="n">
        <v>1</v>
      </c>
      <c r="C152" s="5" t="inlineStr">
        <is>
          <t>카드</t>
        </is>
      </c>
      <c r="D152" s="5" t="inlineStr">
        <is>
          <t>유비</t>
        </is>
      </c>
      <c r="E152" s="5" t="n">
        <v>1</v>
      </c>
      <c r="F152" s="5" t="inlineStr">
        <is>
          <t>S</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2</v>
      </c>
      <c r="C153" s="5" t="inlineStr">
        <is>
          <t>카드</t>
        </is>
      </c>
      <c r="D153" s="5" t="inlineStr">
        <is>
          <t>채모</t>
        </is>
      </c>
      <c r="E153" s="5" t="n">
        <v>1</v>
      </c>
      <c r="F153" s="5" t="inlineStr">
        <is>
          <t>B</t>
        </is>
      </c>
      <c r="G153" s="5">
        <f>IF(C153="카드",INDEX(비용표!$C$2:$C$7,MATCH(F153,비용표!$B$2:$B$7,0)),F153*INDEX(비용표!$C$8:$C$9,MATCH(C153,비용표!$B$8:$B$9,0)))</f>
        <v/>
      </c>
      <c r="H153" s="5">
        <f>G153*E153</f>
        <v/>
      </c>
      <c r="I153" s="10">
        <f>IF(A153=A152,I152&amp;" · ","")&amp;IF(C153="카드",D153&amp;E153,"["&amp;C153&amp;"] "&amp;D153)</f>
        <v/>
      </c>
    </row>
    <row r="154">
      <c r="A154" s="5" t="n">
        <v>44</v>
      </c>
      <c r="B154" s="5" t="n">
        <v>3</v>
      </c>
      <c r="C154" s="5" t="inlineStr">
        <is>
          <t>카드</t>
        </is>
      </c>
      <c r="D154" s="5" t="inlineStr">
        <is>
          <t>괴월</t>
        </is>
      </c>
      <c r="E154" s="5" t="n">
        <v>1</v>
      </c>
      <c r="F154" s="5" t="inlineStr">
        <is>
          <t>B</t>
        </is>
      </c>
      <c r="G154" s="5">
        <f>IF(C154="카드",INDEX(비용표!$C$2:$C$7,MATCH(F154,비용표!$B$2:$B$7,0)),F154*INDEX(비용표!$C$8:$C$9,MATCH(C154,비용표!$B$8:$B$9,0)))</f>
        <v/>
      </c>
      <c r="H154" s="5">
        <f>G154*E154</f>
        <v/>
      </c>
      <c r="I154" s="10">
        <f>IF(A154=A153,I153&amp;" · ","")&amp;IF(C154="카드",D154&amp;E154,"["&amp;C154&amp;"] "&amp;D154)</f>
        <v/>
      </c>
    </row>
    <row r="155">
      <c r="A155" s="5" t="n">
        <v>44</v>
      </c>
      <c r="B155" s="5" t="n">
        <v>4</v>
      </c>
      <c r="C155" s="5" t="inlineStr">
        <is>
          <t>아이템</t>
        </is>
      </c>
      <c r="D155" s="5" t="inlineStr">
        <is>
          <t>적로</t>
        </is>
      </c>
      <c r="E155" s="5" t="n">
        <v>1</v>
      </c>
      <c r="F155" s="5" t="n">
        <v>3</v>
      </c>
      <c r="G155" s="5">
        <f>IF(C155="카드",INDEX(비용표!$C$2:$C$7,MATCH(F155,비용표!$B$2:$B$7,0)),F155*INDEX(비용표!$C$8:$C$9,MATCH(C155,비용표!$B$8:$B$9,0)))</f>
        <v/>
      </c>
      <c r="H155" s="5">
        <f>G155*E155</f>
        <v/>
      </c>
      <c r="I155" s="10">
        <f>IF(A155=A154,I154&amp;" · ","")&amp;IF(C155="카드",D155&amp;E155,"["&amp;C155&amp;"] "&amp;D155)</f>
        <v/>
      </c>
    </row>
    <row r="156">
      <c r="A156" s="5" t="n">
        <v>45</v>
      </c>
      <c r="B156" s="5" t="n">
        <v>1</v>
      </c>
      <c r="C156" s="5" t="inlineStr">
        <is>
          <t>카드</t>
        </is>
      </c>
      <c r="D156" s="5" t="inlineStr">
        <is>
          <t>서서</t>
        </is>
      </c>
      <c r="E156" s="5" t="n">
        <v>1</v>
      </c>
      <c r="F156" s="5" t="inlineStr">
        <is>
          <t>S</t>
        </is>
      </c>
      <c r="G156" s="5">
        <f>IF(C156="카드",INDEX(비용표!$C$2:$C$7,MATCH(F156,비용표!$B$2:$B$7,0)),F156*INDEX(비용표!$C$8:$C$9,MATCH(C156,비용표!$B$8:$B$9,0)))</f>
        <v/>
      </c>
      <c r="H156" s="5">
        <f>G156*E156</f>
        <v/>
      </c>
      <c r="I156" s="10">
        <f>IF(A156=A155,I155&amp;" · ","")&amp;IF(C156="카드",D156&amp;E156,"["&amp;C156&amp;"] "&amp;D156)</f>
        <v/>
      </c>
    </row>
    <row r="157">
      <c r="A157" s="5" t="n">
        <v>45</v>
      </c>
      <c r="B157" s="5" t="n">
        <v>2</v>
      </c>
      <c r="C157" s="5" t="inlineStr">
        <is>
          <t>카드</t>
        </is>
      </c>
      <c r="D157" s="5" t="inlineStr">
        <is>
          <t>유비</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45</v>
      </c>
      <c r="B158" s="5" t="n">
        <v>3</v>
      </c>
      <c r="C158" s="5" t="inlineStr">
        <is>
          <t>카드</t>
        </is>
      </c>
      <c r="D158" s="5" t="inlineStr">
        <is>
          <t>조인</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1</v>
      </c>
      <c r="C159" s="5" t="inlineStr">
        <is>
          <t>카드</t>
        </is>
      </c>
      <c r="D159" s="5" t="inlineStr">
        <is>
          <t>서서</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2</v>
      </c>
      <c r="C160" s="5" t="inlineStr">
        <is>
          <t>카드</t>
        </is>
      </c>
      <c r="D160" s="5" t="inlineStr">
        <is>
          <t>정욱</t>
        </is>
      </c>
      <c r="E160" s="5" t="n">
        <v>1</v>
      </c>
      <c r="F160" s="5" t="inlineStr">
        <is>
          <t>A</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3</v>
      </c>
      <c r="C161" s="5" t="inlineStr">
        <is>
          <t>카드</t>
        </is>
      </c>
      <c r="D161" s="5" t="inlineStr">
        <is>
          <t>조조</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50</v>
      </c>
      <c r="B176" s="5" t="n">
        <v>1</v>
      </c>
      <c r="C176" s="5" t="inlineStr">
        <is>
          <t>카드</t>
        </is>
      </c>
      <c r="D176" s="5" t="inlineStr">
        <is>
          <t>조운</t>
        </is>
      </c>
      <c r="E176" s="5" t="n">
        <v>1</v>
      </c>
      <c r="F176" s="5" t="inlineStr">
        <is>
          <t>S</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2</v>
      </c>
      <c r="C177" s="5" t="inlineStr">
        <is>
          <t>카드</t>
        </is>
      </c>
      <c r="D177" s="5" t="inlineStr">
        <is>
          <t>하후은</t>
        </is>
      </c>
      <c r="E177" s="5" t="n">
        <v>1</v>
      </c>
      <c r="F177" s="5" t="inlineStr">
        <is>
          <t>C</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3</v>
      </c>
      <c r="C178" s="5" t="inlineStr">
        <is>
          <t>카드</t>
        </is>
      </c>
      <c r="D178" s="5" t="inlineStr">
        <is>
          <t>유선</t>
        </is>
      </c>
      <c r="E178" s="5" t="n">
        <v>1</v>
      </c>
      <c r="F178" s="5" t="inlineStr">
        <is>
          <t>D</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4</v>
      </c>
      <c r="C179" s="5" t="inlineStr">
        <is>
          <t>병기</t>
        </is>
      </c>
      <c r="D179" s="5" t="inlineStr">
        <is>
          <t>청강검</t>
        </is>
      </c>
      <c r="E179" s="5" t="n">
        <v>1</v>
      </c>
      <c r="F179" s="5" t="n">
        <v>4</v>
      </c>
      <c r="G179" s="5">
        <f>IF(C179="카드",INDEX(비용표!$C$2:$C$7,MATCH(F179,비용표!$B$2:$B$7,0)),F179*INDEX(비용표!$C$8:$C$9,MATCH(C179,비용표!$B$8:$B$9,0)))</f>
        <v/>
      </c>
      <c r="H179" s="5">
        <f>G179*E179</f>
        <v/>
      </c>
      <c r="I179" s="10">
        <f>IF(A179=A178,I178&amp;" · ","")&amp;IF(C179="카드",D179&amp;E179,"["&amp;C179&amp;"] "&amp;D179)</f>
        <v/>
      </c>
    </row>
    <row r="180">
      <c r="A180" s="5" t="n">
        <v>51</v>
      </c>
      <c r="B180" s="5" t="n">
        <v>1</v>
      </c>
      <c r="C180" s="5" t="inlineStr">
        <is>
          <t>카드</t>
        </is>
      </c>
      <c r="D180" s="5" t="inlineStr">
        <is>
          <t>장비</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51</v>
      </c>
      <c r="B181" s="5" t="n">
        <v>2</v>
      </c>
      <c r="C181" s="5" t="inlineStr">
        <is>
          <t>카드</t>
        </is>
      </c>
      <c r="D181" s="5" t="inlineStr">
        <is>
          <t>하후걸</t>
        </is>
      </c>
      <c r="E181" s="5" t="n">
        <v>1</v>
      </c>
      <c r="F181" s="5" t="inlineStr">
        <is>
          <t>C</t>
        </is>
      </c>
      <c r="G181" s="5">
        <f>IF(C181="카드",INDEX(비용표!$C$2:$C$7,MATCH(F181,비용표!$B$2:$B$7,0)),F181*INDEX(비용표!$C$8:$C$9,MATCH(C181,비용표!$B$8:$B$9,0)))</f>
        <v/>
      </c>
      <c r="H181" s="5">
        <f>G181*E181</f>
        <v/>
      </c>
      <c r="I181" s="10">
        <f>IF(A181=A180,I180&amp;" · ","")&amp;IF(C181="카드",D181&amp;E181,"["&amp;C181&amp;"] "&amp;D181)</f>
        <v/>
      </c>
    </row>
    <row r="182">
      <c r="A182" s="5" t="n">
        <v>51</v>
      </c>
      <c r="B182" s="5" t="n">
        <v>3</v>
      </c>
      <c r="C182" s="5" t="inlineStr">
        <is>
          <t>병기</t>
        </is>
      </c>
      <c r="D182" s="5" t="inlineStr">
        <is>
          <t>장팔사모</t>
        </is>
      </c>
      <c r="E182" s="5" t="n">
        <v>1</v>
      </c>
      <c r="F182" s="5" t="n">
        <v>5</v>
      </c>
      <c r="G182" s="5">
        <f>IF(C182="카드",INDEX(비용표!$C$2:$C$7,MATCH(F182,비용표!$B$2:$B$7,0)),F182*INDEX(비용표!$C$8:$C$9,MATCH(C182,비용표!$B$8:$B$9,0)))</f>
        <v/>
      </c>
      <c r="H182" s="5">
        <f>G182*E182</f>
        <v/>
      </c>
      <c r="I182" s="10">
        <f>IF(A182=A181,I181&amp;" · ","")&amp;IF(C182="카드",D182&amp;E182,"["&amp;C182&amp;"] "&amp;D182)</f>
        <v/>
      </c>
    </row>
    <row r="183">
      <c r="A183" s="5" t="n">
        <v>51</v>
      </c>
      <c r="B183" s="5" t="n">
        <v>4</v>
      </c>
      <c r="C183" s="5" t="inlineStr">
        <is>
          <t>카드</t>
        </is>
      </c>
      <c r="D183" s="5" t="inlineStr">
        <is>
          <t>조조</t>
        </is>
      </c>
      <c r="E183" s="5" t="n">
        <v>1</v>
      </c>
      <c r="F183" s="5" t="inlineStr">
        <is>
          <t>S</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5</v>
      </c>
      <c r="C184" s="5" t="inlineStr">
        <is>
          <t>카드</t>
        </is>
      </c>
      <c r="D184" s="5" t="inlineStr">
        <is>
          <t>장료</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52</v>
      </c>
      <c r="B185" s="5" t="n">
        <v>1</v>
      </c>
      <c r="C185" s="5" t="inlineStr">
        <is>
          <t>카드</t>
        </is>
      </c>
      <c r="D185" s="5" t="inlineStr">
        <is>
          <t>유기</t>
        </is>
      </c>
      <c r="E185" s="5" t="n">
        <v>1</v>
      </c>
      <c r="F185" s="5" t="inlineStr">
        <is>
          <t>D</t>
        </is>
      </c>
      <c r="G185" s="5">
        <f>IF(C185="카드",INDEX(비용표!$C$2:$C$7,MATCH(F185,비용표!$B$2:$B$7,0)),F185*INDEX(비용표!$C$8:$C$9,MATCH(C185,비용표!$B$8:$B$9,0)))</f>
        <v/>
      </c>
      <c r="H185" s="5">
        <f>G185*E185</f>
        <v/>
      </c>
      <c r="I185" s="10">
        <f>IF(A185=A184,I184&amp;" · ","")&amp;IF(C185="카드",D185&amp;E185,"["&amp;C185&amp;"] "&amp;D185)</f>
        <v/>
      </c>
    </row>
    <row r="186">
      <c r="A186" s="5" t="n">
        <v>52</v>
      </c>
      <c r="B186" s="5" t="n">
        <v>2</v>
      </c>
      <c r="C186" s="5" t="inlineStr">
        <is>
          <t>카드</t>
        </is>
      </c>
      <c r="D186" s="5" t="inlineStr">
        <is>
          <t>유비</t>
        </is>
      </c>
      <c r="E186" s="5" t="n">
        <v>1</v>
      </c>
      <c r="F186" s="5" t="inlineStr">
        <is>
          <t>S</t>
        </is>
      </c>
      <c r="G186" s="5">
        <f>IF(C186="카드",INDEX(비용표!$C$2:$C$7,MATCH(F186,비용표!$B$2:$B$7,0)),F186*INDEX(비용표!$C$8:$C$9,MATCH(C186,비용표!$B$8:$B$9,0)))</f>
        <v/>
      </c>
      <c r="H186" s="5">
        <f>G186*E186</f>
        <v/>
      </c>
      <c r="I186" s="10">
        <f>IF(A186=A185,I185&amp;" · ","")&amp;IF(C186="카드",D186&amp;E186,"["&amp;C186&amp;"] "&amp;D186)</f>
        <v/>
      </c>
    </row>
    <row r="187">
      <c r="A187" s="5" t="n">
        <v>52</v>
      </c>
      <c r="B187" s="5" t="n">
        <v>3</v>
      </c>
      <c r="C187" s="5" t="inlineStr">
        <is>
          <t>카드</t>
        </is>
      </c>
      <c r="D187" s="5" t="inlineStr">
        <is>
          <t>제갈량</t>
        </is>
      </c>
      <c r="E187" s="5" t="n">
        <v>1</v>
      </c>
      <c r="F187" s="5" t="inlineStr">
        <is>
          <t>S</t>
        </is>
      </c>
      <c r="G187" s="5">
        <f>IF(C187="카드",INDEX(비용표!$C$2:$C$7,MATCH(F187,비용표!$B$2:$B$7,0)),F187*INDEX(비용표!$C$8:$C$9,MATCH(C187,비용표!$B$8:$B$9,0)))</f>
        <v/>
      </c>
      <c r="H187" s="5">
        <f>G187*E187</f>
        <v/>
      </c>
      <c r="I187" s="10">
        <f>IF(A187=A186,I186&amp;" · ","")&amp;IF(C187="카드",D187&amp;E187,"["&amp;C187&amp;"] "&amp;D187)</f>
        <v/>
      </c>
    </row>
    <row r="188">
      <c r="A188" s="5" t="n">
        <v>53</v>
      </c>
      <c r="B188" s="5" t="n">
        <v>1</v>
      </c>
      <c r="C188" s="5" t="inlineStr">
        <is>
          <t>카드</t>
        </is>
      </c>
      <c r="D188" s="5" t="inlineStr">
        <is>
          <t>노숙</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53</v>
      </c>
      <c r="B189" s="5" t="n">
        <v>2</v>
      </c>
      <c r="C189" s="5" t="inlineStr">
        <is>
          <t>카드</t>
        </is>
      </c>
      <c r="D189" s="5" t="inlineStr">
        <is>
          <t>제갈량</t>
        </is>
      </c>
      <c r="E189" s="5" t="n">
        <v>1</v>
      </c>
      <c r="F189" s="5" t="inlineStr">
        <is>
          <t>S</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3</v>
      </c>
      <c r="C190" s="5" t="inlineStr">
        <is>
          <t>카드</t>
        </is>
      </c>
      <c r="D190" s="5" t="inlineStr">
        <is>
          <t>손권</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54</v>
      </c>
      <c r="B191" s="5" t="n">
        <v>1</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54</v>
      </c>
      <c r="B192" s="5" t="n">
        <v>2</v>
      </c>
      <c r="C192" s="5" t="inlineStr">
        <is>
          <t>카드</t>
        </is>
      </c>
      <c r="D192" s="5" t="inlineStr">
        <is>
          <t>장소</t>
        </is>
      </c>
      <c r="E192" s="5" t="n">
        <v>1</v>
      </c>
      <c r="F192" s="5" t="inlineStr">
        <is>
          <t>A</t>
        </is>
      </c>
      <c r="G192" s="5">
        <f>IF(C192="카드",INDEX(비용표!$C$2:$C$7,MATCH(F192,비용표!$B$2:$B$7,0)),F192*INDEX(비용표!$C$8:$C$9,MATCH(C192,비용표!$B$8:$B$9,0)))</f>
        <v/>
      </c>
      <c r="H192" s="5">
        <f>G192*E192</f>
        <v/>
      </c>
      <c r="I192" s="10">
        <f>IF(A192=A191,I191&amp;" · ","")&amp;IF(C192="카드",D192&amp;E192,"["&amp;C192&amp;"] "&amp;D192)</f>
        <v/>
      </c>
    </row>
    <row r="193">
      <c r="A193" s="5" t="n">
        <v>54</v>
      </c>
      <c r="B193" s="5" t="n">
        <v>3</v>
      </c>
      <c r="C193" s="5" t="inlineStr">
        <is>
          <t>카드</t>
        </is>
      </c>
      <c r="D193" s="5" t="inlineStr">
        <is>
          <t>우번</t>
        </is>
      </c>
      <c r="E193" s="5" t="n">
        <v>1</v>
      </c>
      <c r="F193" s="5" t="inlineStr">
        <is>
          <t>B</t>
        </is>
      </c>
      <c r="G193" s="5">
        <f>IF(C193="카드",INDEX(비용표!$C$2:$C$7,MATCH(F193,비용표!$B$2:$B$7,0)),F193*INDEX(비용표!$C$8:$C$9,MATCH(C193,비용표!$B$8:$B$9,0)))</f>
        <v/>
      </c>
      <c r="H193" s="5">
        <f>G193*E193</f>
        <v/>
      </c>
      <c r="I193" s="10">
        <f>IF(A193=A192,I192&amp;" · ","")&amp;IF(C193="카드",D193&amp;E193,"["&amp;C193&amp;"] "&amp;D193)</f>
        <v/>
      </c>
    </row>
    <row r="194">
      <c r="A194" s="5" t="n">
        <v>54</v>
      </c>
      <c r="B194" s="5" t="n">
        <v>4</v>
      </c>
      <c r="C194" s="5" t="inlineStr">
        <is>
          <t>카드</t>
        </is>
      </c>
      <c r="D194" s="5" t="inlineStr">
        <is>
          <t>보즐</t>
        </is>
      </c>
      <c r="E194" s="5" t="n">
        <v>1</v>
      </c>
      <c r="F194" s="5" t="inlineStr">
        <is>
          <t>D</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5</v>
      </c>
      <c r="C195" s="5" t="inlineStr">
        <is>
          <t>카드</t>
        </is>
      </c>
      <c r="D195" s="5" t="inlineStr">
        <is>
          <t>설종</t>
        </is>
      </c>
      <c r="E195" s="5" t="n">
        <v>1</v>
      </c>
      <c r="F195" s="5" t="inlineStr">
        <is>
          <t>D</t>
        </is>
      </c>
      <c r="G195" s="5">
        <f>IF(C195="카드",INDEX(비용표!$C$2:$C$7,MATCH(F195,비용표!$B$2:$B$7,0)),F195*INDEX(비용표!$C$8:$C$9,MATCH(C195,비용표!$B$8:$B$9,0)))</f>
        <v/>
      </c>
      <c r="H195" s="5">
        <f>G195*E195</f>
        <v/>
      </c>
      <c r="I195" s="10">
        <f>IF(A195=A194,I194&amp;" · ","")&amp;IF(C195="카드",D195&amp;E195,"["&amp;C195&amp;"] "&amp;D195)</f>
        <v/>
      </c>
    </row>
    <row r="196">
      <c r="A196" s="5" t="n">
        <v>55</v>
      </c>
      <c r="B196" s="5" t="n">
        <v>1</v>
      </c>
      <c r="C196" s="5" t="inlineStr">
        <is>
          <t>카드</t>
        </is>
      </c>
      <c r="D196" s="5" t="inlineStr">
        <is>
          <t>손권</t>
        </is>
      </c>
      <c r="E196" s="5" t="n">
        <v>1</v>
      </c>
      <c r="F196" s="5" t="inlineStr">
        <is>
          <t>S</t>
        </is>
      </c>
      <c r="G196" s="5">
        <f>IF(C196="카드",INDEX(비용표!$C$2:$C$7,MATCH(F196,비용표!$B$2:$B$7,0)),F196*INDEX(비용표!$C$8:$C$9,MATCH(C196,비용표!$B$8:$B$9,0)))</f>
        <v/>
      </c>
      <c r="H196" s="5">
        <f>G196*E196</f>
        <v/>
      </c>
      <c r="I196" s="10">
        <f>IF(A196=A195,I195&amp;" · ","")&amp;IF(C196="카드",D196&amp;E196,"["&amp;C196&amp;"] "&amp;D196)</f>
        <v/>
      </c>
    </row>
    <row r="197">
      <c r="A197" s="5" t="n">
        <v>55</v>
      </c>
      <c r="B197" s="5" t="n">
        <v>2</v>
      </c>
      <c r="C197" s="5" t="inlineStr">
        <is>
          <t>카드</t>
        </is>
      </c>
      <c r="D197" s="5" t="inlineStr">
        <is>
          <t>주유</t>
        </is>
      </c>
      <c r="E197" s="5" t="n">
        <v>1</v>
      </c>
      <c r="F197" s="5" t="inlineStr">
        <is>
          <t>S</t>
        </is>
      </c>
      <c r="G197" s="5">
        <f>IF(C197="카드",INDEX(비용표!$C$2:$C$7,MATCH(F197,비용표!$B$2:$B$7,0)),F197*INDEX(비용표!$C$8:$C$9,MATCH(C197,비용표!$B$8:$B$9,0)))</f>
        <v/>
      </c>
      <c r="H197" s="5">
        <f>G197*E197</f>
        <v/>
      </c>
      <c r="I197" s="10">
        <f>IF(A197=A196,I196&amp;" · ","")&amp;IF(C197="카드",D197&amp;E197,"["&amp;C197&amp;"] "&amp;D197)</f>
        <v/>
      </c>
    </row>
    <row r="198">
      <c r="A198" s="5" t="n">
        <v>55</v>
      </c>
      <c r="B198" s="5" t="n">
        <v>3</v>
      </c>
      <c r="C198" s="5" t="inlineStr">
        <is>
          <t>카드</t>
        </is>
      </c>
      <c r="D198" s="5" t="inlineStr">
        <is>
          <t>장소</t>
        </is>
      </c>
      <c r="E198" s="5" t="n">
        <v>1</v>
      </c>
      <c r="F198" s="5" t="inlineStr">
        <is>
          <t>A</t>
        </is>
      </c>
      <c r="G198" s="5">
        <f>IF(C198="카드",INDEX(비용표!$C$2:$C$7,MATCH(F198,비용표!$B$2:$B$7,0)),F198*INDEX(비용표!$C$8:$C$9,MATCH(C198,비용표!$B$8:$B$9,0)))</f>
        <v/>
      </c>
      <c r="H198" s="5">
        <f>G198*E198</f>
        <v/>
      </c>
      <c r="I198" s="10">
        <f>IF(A198=A197,I197&amp;" · ","")&amp;IF(C198="카드",D198&amp;E198,"["&amp;C198&amp;"] "&amp;D198)</f>
        <v/>
      </c>
    </row>
    <row r="199">
      <c r="A199" s="5" t="n">
        <v>56</v>
      </c>
      <c r="B199" s="5" t="n">
        <v>1</v>
      </c>
      <c r="C199" s="5" t="inlineStr">
        <is>
          <t>카드</t>
        </is>
      </c>
      <c r="D199" s="5" t="inlineStr">
        <is>
          <t>주유</t>
        </is>
      </c>
      <c r="E199" s="5" t="n">
        <v>1</v>
      </c>
      <c r="F199" s="5" t="inlineStr">
        <is>
          <t>S</t>
        </is>
      </c>
      <c r="G199" s="5">
        <f>IF(C199="카드",INDEX(비용표!$C$2:$C$7,MATCH(F199,비용표!$B$2:$B$7,0)),F199*INDEX(비용표!$C$8:$C$9,MATCH(C199,비용표!$B$8:$B$9,0)))</f>
        <v/>
      </c>
      <c r="H199" s="5">
        <f>G199*E199</f>
        <v/>
      </c>
      <c r="I199" s="10">
        <f>IF(A199=A198,I198&amp;" · ","")&amp;IF(C199="카드",D199&amp;E199,"["&amp;C199&amp;"] "&amp;D199)</f>
        <v/>
      </c>
    </row>
    <row r="200">
      <c r="A200" s="5" t="n">
        <v>56</v>
      </c>
      <c r="B200" s="5" t="n">
        <v>2</v>
      </c>
      <c r="C200" s="5" t="inlineStr">
        <is>
          <t>카드</t>
        </is>
      </c>
      <c r="D200" s="5" t="inlineStr">
        <is>
          <t>채모</t>
        </is>
      </c>
      <c r="E200" s="5" t="n">
        <v>1</v>
      </c>
      <c r="F200" s="5" t="inlineStr">
        <is>
          <t>B</t>
        </is>
      </c>
      <c r="G200" s="5">
        <f>IF(C200="카드",INDEX(비용표!$C$2:$C$7,MATCH(F200,비용표!$B$2:$B$7,0)),F200*INDEX(비용표!$C$8:$C$9,MATCH(C200,비용표!$B$8:$B$9,0)))</f>
        <v/>
      </c>
      <c r="H200" s="5">
        <f>G200*E200</f>
        <v/>
      </c>
      <c r="I200" s="10">
        <f>IF(A200=A199,I199&amp;" · ","")&amp;IF(C200="카드",D200&amp;E200,"["&amp;C200&amp;"] "&amp;D200)</f>
        <v/>
      </c>
    </row>
    <row r="201">
      <c r="A201" s="5" t="n">
        <v>56</v>
      </c>
      <c r="B201" s="5" t="n">
        <v>3</v>
      </c>
      <c r="C201" s="5" t="inlineStr">
        <is>
          <t>카드</t>
        </is>
      </c>
      <c r="D201" s="5" t="inlineStr">
        <is>
          <t>장윤</t>
        </is>
      </c>
      <c r="E201" s="5" t="n">
        <v>1</v>
      </c>
      <c r="F201" s="5" t="inlineStr">
        <is>
          <t>C</t>
        </is>
      </c>
      <c r="G201" s="5">
        <f>IF(C201="카드",INDEX(비용표!$C$2:$C$7,MATCH(F201,비용표!$B$2:$B$7,0)),F201*INDEX(비용표!$C$8:$C$9,MATCH(C201,비용표!$B$8:$B$9,0)))</f>
        <v/>
      </c>
      <c r="H201" s="5">
        <f>G201*E201</f>
        <v/>
      </c>
      <c r="I201" s="10">
        <f>IF(A201=A200,I200&amp;" · ","")&amp;IF(C201="카드",D201&amp;E201,"["&amp;C201&amp;"] "&amp;D201)</f>
        <v/>
      </c>
    </row>
    <row r="202">
      <c r="A202" s="5" t="n">
        <v>57</v>
      </c>
      <c r="B202" s="5" t="n">
        <v>1</v>
      </c>
      <c r="C202" s="5" t="inlineStr">
        <is>
          <t>카드</t>
        </is>
      </c>
      <c r="D202" s="5" t="inlineStr">
        <is>
          <t>제갈량</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57</v>
      </c>
      <c r="B203" s="5" t="n">
        <v>2</v>
      </c>
      <c r="C203" s="5" t="inlineStr">
        <is>
          <t>카드</t>
        </is>
      </c>
      <c r="D203" s="5" t="inlineStr">
        <is>
          <t>노숙</t>
        </is>
      </c>
      <c r="E203" s="5" t="n">
        <v>1</v>
      </c>
      <c r="F203" s="5" t="inlineStr">
        <is>
          <t>S</t>
        </is>
      </c>
      <c r="G203" s="5">
        <f>IF(C203="카드",INDEX(비용표!$C$2:$C$7,MATCH(F203,비용표!$B$2:$B$7,0)),F203*INDEX(비용표!$C$8:$C$9,MATCH(C203,비용표!$B$8:$B$9,0)))</f>
        <v/>
      </c>
      <c r="H203" s="5">
        <f>G203*E203</f>
        <v/>
      </c>
      <c r="I203" s="10">
        <f>IF(A203=A202,I202&amp;" · ","")&amp;IF(C203="카드",D203&amp;E203,"["&amp;C203&amp;"] "&amp;D203)</f>
        <v/>
      </c>
    </row>
    <row r="204">
      <c r="A204" s="5" t="n">
        <v>57</v>
      </c>
      <c r="B204" s="5" t="n">
        <v>3</v>
      </c>
      <c r="C204" s="5" t="inlineStr">
        <is>
          <t>카드</t>
        </is>
      </c>
      <c r="D204" s="5" t="inlineStr">
        <is>
          <t>주유</t>
        </is>
      </c>
      <c r="E204" s="5" t="n">
        <v>1</v>
      </c>
      <c r="F204" s="5" t="inlineStr">
        <is>
          <t>S</t>
        </is>
      </c>
      <c r="G204" s="5">
        <f>IF(C204="카드",INDEX(비용표!$C$2:$C$7,MATCH(F204,비용표!$B$2:$B$7,0)),F204*INDEX(비용표!$C$8:$C$9,MATCH(C204,비용표!$B$8:$B$9,0)))</f>
        <v/>
      </c>
      <c r="H204" s="5">
        <f>G204*E204</f>
        <v/>
      </c>
      <c r="I204" s="10">
        <f>IF(A204=A203,I203&amp;" · ","")&amp;IF(C204="카드",D204&amp;E204,"["&amp;C204&amp;"] "&amp;D204)</f>
        <v/>
      </c>
    </row>
    <row r="205">
      <c r="A205" s="5" t="n">
        <v>58</v>
      </c>
      <c r="B205" s="5" t="n">
        <v>1</v>
      </c>
      <c r="C205" s="5" t="inlineStr">
        <is>
          <t>카드</t>
        </is>
      </c>
      <c r="D205" s="5" t="inlineStr">
        <is>
          <t>주유</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58</v>
      </c>
      <c r="B206" s="5" t="n">
        <v>2</v>
      </c>
      <c r="C206" s="5" t="inlineStr">
        <is>
          <t>카드</t>
        </is>
      </c>
      <c r="D206" s="5" t="inlineStr">
        <is>
          <t>황개</t>
        </is>
      </c>
      <c r="E206" s="5" t="n">
        <v>1</v>
      </c>
      <c r="F206" s="5" t="inlineStr">
        <is>
          <t>A</t>
        </is>
      </c>
      <c r="G206" s="5">
        <f>IF(C206="카드",INDEX(비용표!$C$2:$C$7,MATCH(F206,비용표!$B$2:$B$7,0)),F206*INDEX(비용표!$C$8:$C$9,MATCH(C206,비용표!$B$8:$B$9,0)))</f>
        <v/>
      </c>
      <c r="H206" s="5">
        <f>G206*E206</f>
        <v/>
      </c>
      <c r="I206" s="10">
        <f>IF(A206=A205,I205&amp;" · ","")&amp;IF(C206="카드",D206&amp;E206,"["&amp;C206&amp;"] "&amp;D206)</f>
        <v/>
      </c>
    </row>
    <row r="207">
      <c r="A207" s="5" t="n">
        <v>58</v>
      </c>
      <c r="B207" s="5" t="n">
        <v>3</v>
      </c>
      <c r="C207" s="5" t="inlineStr">
        <is>
          <t>카드</t>
        </is>
      </c>
      <c r="D207" s="5" t="inlineStr">
        <is>
          <t>감택</t>
        </is>
      </c>
      <c r="E207" s="5" t="n">
        <v>1</v>
      </c>
      <c r="F207" s="5" t="inlineStr">
        <is>
          <t>B</t>
        </is>
      </c>
      <c r="G207" s="5">
        <f>IF(C207="카드",INDEX(비용표!$C$2:$C$7,MATCH(F207,비용표!$B$2:$B$7,0)),F207*INDEX(비용표!$C$8:$C$9,MATCH(C207,비용표!$B$8:$B$9,0)))</f>
        <v/>
      </c>
      <c r="H207" s="5">
        <f>G207*E207</f>
        <v/>
      </c>
      <c r="I207" s="10">
        <f>IF(A207=A206,I206&amp;" · ","")&amp;IF(C207="카드",D207&amp;E207,"["&amp;C207&amp;"] "&amp;D207)</f>
        <v/>
      </c>
    </row>
    <row r="208">
      <c r="A208" s="5" t="n">
        <v>59</v>
      </c>
      <c r="B208" s="5" t="n">
        <v>1</v>
      </c>
      <c r="C208" s="5" t="inlineStr">
        <is>
          <t>카드</t>
        </is>
      </c>
      <c r="D208" s="5" t="inlineStr">
        <is>
          <t>방통</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59</v>
      </c>
      <c r="B209" s="5" t="n">
        <v>2</v>
      </c>
      <c r="C209" s="5" t="inlineStr">
        <is>
          <t>카드</t>
        </is>
      </c>
      <c r="D209" s="5" t="inlineStr">
        <is>
          <t>조조</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59</v>
      </c>
      <c r="B210" s="5" t="n">
        <v>3</v>
      </c>
      <c r="C210" s="5" t="inlineStr">
        <is>
          <t>카드</t>
        </is>
      </c>
      <c r="D210" s="5" t="inlineStr">
        <is>
          <t>서서</t>
        </is>
      </c>
      <c r="E210" s="5" t="n">
        <v>1</v>
      </c>
      <c r="F210" s="5" t="inlineStr">
        <is>
          <t>S</t>
        </is>
      </c>
      <c r="G210" s="5">
        <f>IF(C210="카드",INDEX(비용표!$C$2:$C$7,MATCH(F210,비용표!$B$2:$B$7,0)),F210*INDEX(비용표!$C$8:$C$9,MATCH(C210,비용표!$B$8:$B$9,0)))</f>
        <v/>
      </c>
      <c r="H210" s="5">
        <f>G210*E210</f>
        <v/>
      </c>
      <c r="I210" s="10">
        <f>IF(A210=A209,I209&amp;" · ","")&amp;IF(C210="카드",D210&amp;E210,"["&amp;C210&amp;"] "&amp;D210)</f>
        <v/>
      </c>
    </row>
    <row r="211">
      <c r="A211" s="5" t="n">
        <v>60</v>
      </c>
      <c r="B211" s="5" t="n">
        <v>1</v>
      </c>
      <c r="C211" s="5" t="inlineStr">
        <is>
          <t>카드</t>
        </is>
      </c>
      <c r="D211" s="5" t="inlineStr">
        <is>
          <t>제갈량</t>
        </is>
      </c>
      <c r="E211" s="5" t="n">
        <v>1</v>
      </c>
      <c r="F211" s="5" t="inlineStr">
        <is>
          <t>S</t>
        </is>
      </c>
      <c r="G211" s="5">
        <f>IF(C211="카드",INDEX(비용표!$C$2:$C$7,MATCH(F211,비용표!$B$2:$B$7,0)),F211*INDEX(비용표!$C$8:$C$9,MATCH(C211,비용표!$B$8:$B$9,0)))</f>
        <v/>
      </c>
      <c r="H211" s="5">
        <f>G211*E211</f>
        <v/>
      </c>
      <c r="I211" s="10">
        <f>IF(A211=A210,I210&amp;" · ","")&amp;IF(C211="카드",D211&amp;E211,"["&amp;C211&amp;"] "&amp;D211)</f>
        <v/>
      </c>
    </row>
    <row r="212">
      <c r="A212" s="5" t="n">
        <v>60</v>
      </c>
      <c r="B212" s="5" t="n">
        <v>2</v>
      </c>
      <c r="C212" s="5" t="inlineStr">
        <is>
          <t>카드</t>
        </is>
      </c>
      <c r="D212" s="5" t="inlineStr">
        <is>
          <t>노숙</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60</v>
      </c>
      <c r="B213" s="5" t="n">
        <v>3</v>
      </c>
      <c r="C213" s="5" t="inlineStr">
        <is>
          <t>카드</t>
        </is>
      </c>
      <c r="D213" s="5" t="inlineStr">
        <is>
          <t>주유</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60</v>
      </c>
      <c r="B214" s="5" t="n">
        <v>4</v>
      </c>
      <c r="C214" s="5" t="inlineStr">
        <is>
          <t>아이템</t>
        </is>
      </c>
      <c r="D214" s="5" t="inlineStr">
        <is>
          <t>우선</t>
        </is>
      </c>
      <c r="E214" s="5" t="n">
        <v>1</v>
      </c>
      <c r="F214" s="5" t="n">
        <v>4</v>
      </c>
      <c r="G214" s="5">
        <f>IF(C214="카드",INDEX(비용표!$C$2:$C$7,MATCH(F214,비용표!$B$2:$B$7,0)),F214*INDEX(비용표!$C$8:$C$9,MATCH(C214,비용표!$B$8:$B$9,0)))</f>
        <v/>
      </c>
      <c r="H214" s="5">
        <f>G214*E214</f>
        <v/>
      </c>
      <c r="I214" s="10">
        <f>IF(A214=A213,I213&amp;" · ","")&amp;IF(C214="카드",D214&amp;E214,"["&amp;C214&amp;"] "&amp;D214)</f>
        <v/>
      </c>
    </row>
    <row r="215">
      <c r="A215" s="5" t="n">
        <v>60</v>
      </c>
      <c r="B215" s="5" t="n">
        <v>5</v>
      </c>
      <c r="C215" s="5" t="inlineStr">
        <is>
          <t>카드</t>
        </is>
      </c>
      <c r="D215" s="5" t="inlineStr">
        <is>
          <t>서성</t>
        </is>
      </c>
      <c r="E215" s="5" t="n">
        <v>1</v>
      </c>
      <c r="F215" s="5" t="inlineStr">
        <is>
          <t>B</t>
        </is>
      </c>
      <c r="G215" s="5">
        <f>IF(C215="카드",INDEX(비용표!$C$2:$C$7,MATCH(F215,비용표!$B$2:$B$7,0)),F215*INDEX(비용표!$C$8:$C$9,MATCH(C215,비용표!$B$8:$B$9,0)))</f>
        <v/>
      </c>
      <c r="H215" s="5">
        <f>G215*E215</f>
        <v/>
      </c>
      <c r="I215" s="10">
        <f>IF(A215=A214,I214&amp;" · ","")&amp;IF(C215="카드",D215&amp;E215,"["&amp;C215&amp;"] "&amp;D215)</f>
        <v/>
      </c>
    </row>
    <row r="216">
      <c r="A216" s="5" t="n">
        <v>61</v>
      </c>
      <c r="B216" s="5" t="n">
        <v>1</v>
      </c>
      <c r="C216" s="5" t="inlineStr">
        <is>
          <t>카드</t>
        </is>
      </c>
      <c r="D216" s="5" t="inlineStr">
        <is>
          <t>주유</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61</v>
      </c>
      <c r="B217" s="5" t="n">
        <v>2</v>
      </c>
      <c r="C217" s="5" t="inlineStr">
        <is>
          <t>카드</t>
        </is>
      </c>
      <c r="D217" s="5" t="inlineStr">
        <is>
          <t>황개</t>
        </is>
      </c>
      <c r="E217" s="5" t="n">
        <v>1</v>
      </c>
      <c r="F217" s="5" t="inlineStr">
        <is>
          <t>A</t>
        </is>
      </c>
      <c r="G217" s="5">
        <f>IF(C217="카드",INDEX(비용표!$C$2:$C$7,MATCH(F217,비용표!$B$2:$B$7,0)),F217*INDEX(비용표!$C$8:$C$9,MATCH(C217,비용표!$B$8:$B$9,0)))</f>
        <v/>
      </c>
      <c r="H217" s="5">
        <f>G217*E217</f>
        <v/>
      </c>
      <c r="I217" s="10">
        <f>IF(A217=A216,I216&amp;" · ","")&amp;IF(C217="카드",D217&amp;E217,"["&amp;C217&amp;"] "&amp;D217)</f>
        <v/>
      </c>
    </row>
    <row r="218">
      <c r="A218" s="5" t="n">
        <v>61</v>
      </c>
      <c r="B218" s="5" t="n">
        <v>3</v>
      </c>
      <c r="C218" s="5" t="inlineStr">
        <is>
          <t>카드</t>
        </is>
      </c>
      <c r="D218" s="5" t="inlineStr">
        <is>
          <t>제갈량</t>
        </is>
      </c>
      <c r="E218" s="5" t="n">
        <v>1</v>
      </c>
      <c r="F218" s="5" t="inlineStr">
        <is>
          <t>S</t>
        </is>
      </c>
      <c r="G218" s="5">
        <f>IF(C218="카드",INDEX(비용표!$C$2:$C$7,MATCH(F218,비용표!$B$2:$B$7,0)),F218*INDEX(비용표!$C$8:$C$9,MATCH(C218,비용표!$B$8:$B$9,0)))</f>
        <v/>
      </c>
      <c r="H218" s="5">
        <f>G218*E218</f>
        <v/>
      </c>
      <c r="I218" s="10">
        <f>IF(A218=A217,I217&amp;" · ","")&amp;IF(C218="카드",D218&amp;E218,"["&amp;C218&amp;"] "&amp;D218)</f>
        <v/>
      </c>
    </row>
    <row r="219">
      <c r="A219" s="5" t="n">
        <v>61</v>
      </c>
      <c r="B219" s="5" t="n">
        <v>4</v>
      </c>
      <c r="C219" s="5" t="inlineStr">
        <is>
          <t>카드</t>
        </is>
      </c>
      <c r="D219" s="5" t="inlineStr">
        <is>
          <t>조조</t>
        </is>
      </c>
      <c r="E219" s="5" t="n">
        <v>1</v>
      </c>
      <c r="F219" s="5" t="inlineStr">
        <is>
          <t>S</t>
        </is>
      </c>
      <c r="G219" s="5">
        <f>IF(C219="카드",INDEX(비용표!$C$2:$C$7,MATCH(F219,비용표!$B$2:$B$7,0)),F219*INDEX(비용표!$C$8:$C$9,MATCH(C219,비용표!$B$8:$B$9,0)))</f>
        <v/>
      </c>
      <c r="H219" s="5">
        <f>G219*E219</f>
        <v/>
      </c>
      <c r="I219" s="10">
        <f>IF(A219=A218,I218&amp;" · ","")&amp;IF(C219="카드",D219&amp;E219,"["&amp;C219&amp;"] "&amp;D219)</f>
        <v/>
      </c>
    </row>
    <row r="220">
      <c r="A220" s="5" t="n">
        <v>61</v>
      </c>
      <c r="B220" s="5" t="n">
        <v>5</v>
      </c>
      <c r="C220" s="5" t="inlineStr">
        <is>
          <t>아이템</t>
        </is>
      </c>
      <c r="D220" s="5" t="inlineStr">
        <is>
          <t>폭약</t>
        </is>
      </c>
      <c r="E220" s="5" t="n">
        <v>1</v>
      </c>
      <c r="F220" s="5" t="n">
        <v>3</v>
      </c>
      <c r="G220" s="5">
        <f>IF(C220="카드",INDEX(비용표!$C$2:$C$7,MATCH(F220,비용표!$B$2:$B$7,0)),F220*INDEX(비용표!$C$8:$C$9,MATCH(C220,비용표!$B$8:$B$9,0)))</f>
        <v/>
      </c>
      <c r="H220" s="5">
        <f>G220*E220</f>
        <v/>
      </c>
      <c r="I220" s="10">
        <f>IF(A220=A219,I219&amp;" · ","")&amp;IF(C220="카드",D220&amp;E220,"["&amp;C220&amp;"] "&amp;D220)</f>
        <v/>
      </c>
    </row>
    <row r="221">
      <c r="A221" s="5" t="n">
        <v>62</v>
      </c>
      <c r="B221" s="5" t="n">
        <v>1</v>
      </c>
      <c r="C221" s="5" t="inlineStr">
        <is>
          <t>카드</t>
        </is>
      </c>
      <c r="D221" s="5" t="inlineStr">
        <is>
          <t>관우</t>
        </is>
      </c>
      <c r="E221" s="5" t="n">
        <v>1</v>
      </c>
      <c r="F221" s="5" t="inlineStr">
        <is>
          <t>S</t>
        </is>
      </c>
      <c r="G221" s="5">
        <f>IF(C221="카드",INDEX(비용표!$C$2:$C$7,MATCH(F221,비용표!$B$2:$B$7,0)),F221*INDEX(비용표!$C$8:$C$9,MATCH(C221,비용표!$B$8:$B$9,0)))</f>
        <v/>
      </c>
      <c r="H221" s="5">
        <f>G221*E221</f>
        <v/>
      </c>
      <c r="I221" s="10">
        <f>IF(A221=A220,I220&amp;" · ","")&amp;IF(C221="카드",D221&amp;E221,"["&amp;C221&amp;"] "&amp;D221)</f>
        <v/>
      </c>
    </row>
    <row r="222">
      <c r="A222" s="5" t="n">
        <v>62</v>
      </c>
      <c r="B222" s="5" t="n">
        <v>2</v>
      </c>
      <c r="C222" s="5" t="inlineStr">
        <is>
          <t>카드</t>
        </is>
      </c>
      <c r="D222" s="5" t="inlineStr">
        <is>
          <t>조조</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62</v>
      </c>
      <c r="B223" s="5" t="n">
        <v>3</v>
      </c>
      <c r="C223" s="5" t="inlineStr">
        <is>
          <t>카드</t>
        </is>
      </c>
      <c r="D223" s="5" t="inlineStr">
        <is>
          <t>장료</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62</v>
      </c>
      <c r="B224" s="5" t="n">
        <v>4</v>
      </c>
      <c r="C224" s="5" t="inlineStr">
        <is>
          <t>카드</t>
        </is>
      </c>
      <c r="D224" s="5" t="inlineStr">
        <is>
          <t>허저</t>
        </is>
      </c>
      <c r="E224" s="5" t="n">
        <v>1</v>
      </c>
      <c r="F224" s="5" t="inlineStr">
        <is>
          <t>S</t>
        </is>
      </c>
      <c r="G224" s="5">
        <f>IF(C224="카드",INDEX(비용표!$C$2:$C$7,MATCH(F224,비용표!$B$2:$B$7,0)),F224*INDEX(비용표!$C$8:$C$9,MATCH(C224,비용표!$B$8:$B$9,0)))</f>
        <v/>
      </c>
      <c r="H224" s="5">
        <f>G224*E224</f>
        <v/>
      </c>
      <c r="I224" s="10">
        <f>IF(A224=A223,I223&amp;" · ","")&amp;IF(C224="카드",D224&amp;E224,"["&amp;C224&amp;"] "&amp;D224)</f>
        <v/>
      </c>
    </row>
    <row r="225">
      <c r="A225" s="5" t="n">
        <v>63</v>
      </c>
      <c r="B225" s="5" t="n">
        <v>1</v>
      </c>
      <c r="C225" s="5" t="inlineStr">
        <is>
          <t>카드</t>
        </is>
      </c>
      <c r="D225" s="5" t="inlineStr">
        <is>
          <t>조인</t>
        </is>
      </c>
      <c r="E225" s="5" t="n">
        <v>1</v>
      </c>
      <c r="F225" s="5" t="inlineStr">
        <is>
          <t>A</t>
        </is>
      </c>
      <c r="G225" s="5">
        <f>IF(C225="카드",INDEX(비용표!$C$2:$C$7,MATCH(F225,비용표!$B$2:$B$7,0)),F225*INDEX(비용표!$C$8:$C$9,MATCH(C225,비용표!$B$8:$B$9,0)))</f>
        <v/>
      </c>
      <c r="H225" s="5">
        <f>G225*E225</f>
        <v/>
      </c>
      <c r="I225" s="10">
        <f>IF(A225=A224,I224&amp;" · ","")&amp;IF(C225="카드",D225&amp;E225,"["&amp;C225&amp;"] "&amp;D225)</f>
        <v/>
      </c>
    </row>
    <row r="226">
      <c r="A226" s="5" t="n">
        <v>63</v>
      </c>
      <c r="B226" s="5" t="n">
        <v>2</v>
      </c>
      <c r="C226" s="5" t="inlineStr">
        <is>
          <t>카드</t>
        </is>
      </c>
      <c r="D226" s="5" t="inlineStr">
        <is>
          <t>주유</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3</v>
      </c>
      <c r="C227" s="5" t="inlineStr">
        <is>
          <t>카드</t>
        </is>
      </c>
      <c r="D227" s="5" t="inlineStr">
        <is>
          <t>조홍</t>
        </is>
      </c>
      <c r="E227" s="5" t="n">
        <v>1</v>
      </c>
      <c r="F227" s="5" t="inlineStr">
        <is>
          <t>B</t>
        </is>
      </c>
      <c r="G227" s="5">
        <f>IF(C227="카드",INDEX(비용표!$C$2:$C$7,MATCH(F227,비용표!$B$2:$B$7,0)),F227*INDEX(비용표!$C$8:$C$9,MATCH(C227,비용표!$B$8:$B$9,0)))</f>
        <v/>
      </c>
      <c r="H227" s="5">
        <f>G227*E227</f>
        <v/>
      </c>
      <c r="I227" s="10">
        <f>IF(A227=A226,I226&amp;" · ","")&amp;IF(C227="카드",D227&amp;E227,"["&amp;C227&amp;"] "&amp;D227)</f>
        <v/>
      </c>
    </row>
    <row r="228">
      <c r="A228" s="5" t="n">
        <v>64</v>
      </c>
      <c r="B228" s="5" t="n">
        <v>1</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2</v>
      </c>
      <c r="C229" s="5" t="inlineStr">
        <is>
          <t>카드</t>
        </is>
      </c>
      <c r="D229" s="5" t="inlineStr">
        <is>
          <t>제갈량</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65</v>
      </c>
      <c r="B230" s="5" t="n">
        <v>1</v>
      </c>
      <c r="C230" s="5" t="inlineStr">
        <is>
          <t>카드</t>
        </is>
      </c>
      <c r="D230" s="5" t="inlineStr">
        <is>
          <t>황충</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2</v>
      </c>
      <c r="C231" s="5" t="inlineStr">
        <is>
          <t>카드</t>
        </is>
      </c>
      <c r="D231" s="5" t="inlineStr">
        <is>
          <t>관우</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3</v>
      </c>
      <c r="C232" s="5" t="inlineStr">
        <is>
          <t>카드</t>
        </is>
      </c>
      <c r="D232" s="5" t="inlineStr">
        <is>
          <t>한현</t>
        </is>
      </c>
      <c r="E232" s="5" t="n">
        <v>1</v>
      </c>
      <c r="F232" s="5" t="inlineStr">
        <is>
          <t>D</t>
        </is>
      </c>
      <c r="G232" s="5">
        <f>IF(C232="카드",INDEX(비용표!$C$2:$C$7,MATCH(F232,비용표!$B$2:$B$7,0)),F232*INDEX(비용표!$C$8:$C$9,MATCH(C232,비용표!$B$8:$B$9,0)))</f>
        <v/>
      </c>
      <c r="H232" s="5">
        <f>G232*E232</f>
        <v/>
      </c>
      <c r="I232" s="10">
        <f>IF(A232=A231,I231&amp;" · ","")&amp;IF(C232="카드",D232&amp;E232,"["&amp;C232&amp;"] "&amp;D232)</f>
        <v/>
      </c>
    </row>
    <row r="233">
      <c r="A233" s="5" t="n">
        <v>65</v>
      </c>
      <c r="B233" s="5" t="n">
        <v>4</v>
      </c>
      <c r="C233" s="5" t="inlineStr">
        <is>
          <t>카드</t>
        </is>
      </c>
      <c r="D233" s="5" t="inlineStr">
        <is>
          <t>위연</t>
        </is>
      </c>
      <c r="E233" s="5" t="n">
        <v>1</v>
      </c>
      <c r="F233" s="5" t="inlineStr">
        <is>
          <t>A</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1</v>
      </c>
      <c r="C234" s="5" t="inlineStr">
        <is>
          <t>카드</t>
        </is>
      </c>
      <c r="D234" s="5" t="inlineStr">
        <is>
          <t>유비</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2</v>
      </c>
      <c r="C235" s="5" t="inlineStr">
        <is>
          <t>카드</t>
        </is>
      </c>
      <c r="D235" s="5" t="inlineStr">
        <is>
          <t>손권</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66</v>
      </c>
      <c r="B236" s="5" t="n">
        <v>3</v>
      </c>
      <c r="C236" s="5" t="inlineStr">
        <is>
          <t>카드</t>
        </is>
      </c>
      <c r="D236" s="5" t="inlineStr">
        <is>
          <t>조운</t>
        </is>
      </c>
      <c r="E236" s="5" t="n">
        <v>1</v>
      </c>
      <c r="F236" s="5" t="inlineStr">
        <is>
          <t>S</t>
        </is>
      </c>
      <c r="G236" s="5">
        <f>IF(C236="카드",INDEX(비용표!$C$2:$C$7,MATCH(F236,비용표!$B$2:$B$7,0)),F236*INDEX(비용표!$C$8:$C$9,MATCH(C236,비용표!$B$8:$B$9,0)))</f>
        <v/>
      </c>
      <c r="H236" s="5">
        <f>G236*E236</f>
        <v/>
      </c>
      <c r="I236" s="10">
        <f>IF(A236=A235,I235&amp;" · ","")&amp;IF(C236="카드",D236&amp;E236,"["&amp;C236&amp;"] "&amp;D236)</f>
        <v/>
      </c>
    </row>
    <row r="237">
      <c r="A237" s="5" t="n">
        <v>66</v>
      </c>
      <c r="B237" s="5" t="n">
        <v>4</v>
      </c>
      <c r="C237" s="5" t="inlineStr">
        <is>
          <t>카드</t>
        </is>
      </c>
      <c r="D237" s="5" t="inlineStr">
        <is>
          <t>주유</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67</v>
      </c>
      <c r="B238" s="5" t="n">
        <v>1</v>
      </c>
      <c r="C238" s="5" t="inlineStr">
        <is>
          <t>카드</t>
        </is>
      </c>
      <c r="D238" s="5" t="inlineStr">
        <is>
          <t>조식</t>
        </is>
      </c>
      <c r="E238" s="5" t="n">
        <v>1</v>
      </c>
      <c r="F238" s="5" t="inlineStr">
        <is>
          <t>B</t>
        </is>
      </c>
      <c r="G238" s="5">
        <f>IF(C238="카드",INDEX(비용표!$C$2:$C$7,MATCH(F238,비용표!$B$2:$B$7,0)),F238*INDEX(비용표!$C$8:$C$9,MATCH(C238,비용표!$B$8:$B$9,0)))</f>
        <v/>
      </c>
      <c r="H238" s="5">
        <f>G238*E238</f>
        <v/>
      </c>
      <c r="I238" s="10">
        <f>IF(A238=A237,I237&amp;" · ","")&amp;IF(C238="카드",D238&amp;E238,"["&amp;C238&amp;"] "&amp;D238)</f>
        <v/>
      </c>
    </row>
    <row r="239">
      <c r="A239" s="5" t="n">
        <v>67</v>
      </c>
      <c r="B239" s="5" t="n">
        <v>2</v>
      </c>
      <c r="C239" s="5" t="inlineStr">
        <is>
          <t>카드</t>
        </is>
      </c>
      <c r="D239" s="5" t="inlineStr">
        <is>
          <t>조비</t>
        </is>
      </c>
      <c r="E239" s="5" t="n">
        <v>1</v>
      </c>
      <c r="F239" s="5" t="inlineStr">
        <is>
          <t>C</t>
        </is>
      </c>
      <c r="G239" s="5">
        <f>IF(C239="카드",INDEX(비용표!$C$2:$C$7,MATCH(F239,비용표!$B$2:$B$7,0)),F239*INDEX(비용표!$C$8:$C$9,MATCH(C239,비용표!$B$8:$B$9,0)))</f>
        <v/>
      </c>
      <c r="H239" s="5">
        <f>G239*E239</f>
        <v/>
      </c>
      <c r="I239" s="10">
        <f>IF(A239=A238,I238&amp;" · ","")&amp;IF(C239="카드",D239&amp;E239,"["&amp;C239&amp;"] "&amp;D239)</f>
        <v/>
      </c>
    </row>
    <row r="240">
      <c r="A240" s="5" t="n">
        <v>67</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1</v>
      </c>
      <c r="C241" s="5" t="inlineStr">
        <is>
          <t>카드</t>
        </is>
      </c>
      <c r="D241" s="5" t="inlineStr">
        <is>
          <t>마초</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2</v>
      </c>
      <c r="C242" s="5" t="inlineStr">
        <is>
          <t>카드</t>
        </is>
      </c>
      <c r="D242" s="5" t="inlineStr">
        <is>
          <t>마대</t>
        </is>
      </c>
      <c r="E242" s="5" t="n">
        <v>1</v>
      </c>
      <c r="F242" s="5" t="inlineStr">
        <is>
          <t>B</t>
        </is>
      </c>
      <c r="G242" s="5">
        <f>IF(C242="카드",INDEX(비용표!$C$2:$C$7,MATCH(F242,비용표!$B$2:$B$7,0)),F242*INDEX(비용표!$C$8:$C$9,MATCH(C242,비용표!$B$8:$B$9,0)))</f>
        <v/>
      </c>
      <c r="H242" s="5">
        <f>G242*E242</f>
        <v/>
      </c>
      <c r="I242" s="10">
        <f>IF(A242=A241,I241&amp;" · ","")&amp;IF(C242="카드",D242&amp;E242,"["&amp;C242&amp;"] "&amp;D242)</f>
        <v/>
      </c>
    </row>
    <row r="243">
      <c r="A243" s="5" t="n">
        <v>68</v>
      </c>
      <c r="B243" s="5" t="n">
        <v>3</v>
      </c>
      <c r="C243" s="5" t="inlineStr">
        <is>
          <t>카드</t>
        </is>
      </c>
      <c r="D243" s="5" t="inlineStr">
        <is>
          <t>방덕</t>
        </is>
      </c>
      <c r="E243" s="5" t="n">
        <v>1</v>
      </c>
      <c r="F243" s="5" t="inlineStr">
        <is>
          <t>S</t>
        </is>
      </c>
      <c r="G243" s="5">
        <f>IF(C243="카드",INDEX(비용표!$C$2:$C$7,MATCH(F243,비용표!$B$2:$B$7,0)),F243*INDEX(비용표!$C$8:$C$9,MATCH(C243,비용표!$B$8:$B$9,0)))</f>
        <v/>
      </c>
      <c r="H243" s="5">
        <f>G243*E243</f>
        <v/>
      </c>
      <c r="I243" s="10">
        <f>IF(A243=A242,I242&amp;" · ","")&amp;IF(C243="카드",D243&amp;E243,"["&amp;C243&amp;"] "&amp;D243)</f>
        <v/>
      </c>
    </row>
    <row r="244">
      <c r="A244" s="5" t="n">
        <v>68</v>
      </c>
      <c r="B244" s="5" t="n">
        <v>4</v>
      </c>
      <c r="C244" s="5" t="inlineStr">
        <is>
          <t>카드</t>
        </is>
      </c>
      <c r="D244" s="5" t="inlineStr">
        <is>
          <t>조조</t>
        </is>
      </c>
      <c r="E244" s="5" t="n">
        <v>1</v>
      </c>
      <c r="F244" s="5" t="inlineStr">
        <is>
          <t>S</t>
        </is>
      </c>
      <c r="G244" s="5">
        <f>IF(C244="카드",INDEX(비용표!$C$2:$C$7,MATCH(F244,비용표!$B$2:$B$7,0)),F244*INDEX(비용표!$C$8:$C$9,MATCH(C244,비용표!$B$8:$B$9,0)))</f>
        <v/>
      </c>
      <c r="H244" s="5">
        <f>G244*E244</f>
        <v/>
      </c>
      <c r="I244" s="10">
        <f>IF(A244=A243,I243&amp;" · ","")&amp;IF(C244="카드",D244&amp;E244,"["&amp;C244&amp;"] "&amp;D244)</f>
        <v/>
      </c>
    </row>
    <row r="245">
      <c r="A245" s="5" t="n">
        <v>68</v>
      </c>
      <c r="B245" s="5" t="n">
        <v>5</v>
      </c>
      <c r="C245" s="5" t="inlineStr">
        <is>
          <t>카드</t>
        </is>
      </c>
      <c r="D245" s="5" t="inlineStr">
        <is>
          <t>허저</t>
        </is>
      </c>
      <c r="E245" s="5" t="n">
        <v>1</v>
      </c>
      <c r="F245" s="5" t="inlineStr">
        <is>
          <t>S</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1</v>
      </c>
      <c r="C246" s="5" t="inlineStr">
        <is>
          <t>카드</t>
        </is>
      </c>
      <c r="D246" s="5" t="inlineStr">
        <is>
          <t>장송</t>
        </is>
      </c>
      <c r="E246" s="5" t="n">
        <v>1</v>
      </c>
      <c r="F246" s="5" t="inlineStr">
        <is>
          <t>B</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2</v>
      </c>
      <c r="C247" s="5" t="inlineStr">
        <is>
          <t>카드</t>
        </is>
      </c>
      <c r="D247" s="5" t="inlineStr">
        <is>
          <t>법정</t>
        </is>
      </c>
      <c r="E247" s="5" t="n">
        <v>1</v>
      </c>
      <c r="F247" s="5" t="inlineStr">
        <is>
          <t>A</t>
        </is>
      </c>
      <c r="G247" s="5">
        <f>IF(C247="카드",INDEX(비용표!$C$2:$C$7,MATCH(F247,비용표!$B$2:$B$7,0)),F247*INDEX(비용표!$C$8:$C$9,MATCH(C247,비용표!$B$8:$B$9,0)))</f>
        <v/>
      </c>
      <c r="H247" s="5">
        <f>G247*E247</f>
        <v/>
      </c>
      <c r="I247" s="10">
        <f>IF(A247=A246,I246&amp;" · ","")&amp;IF(C247="카드",D247&amp;E247,"["&amp;C247&amp;"] "&amp;D247)</f>
        <v/>
      </c>
    </row>
    <row r="248">
      <c r="A248" s="5" t="n">
        <v>69</v>
      </c>
      <c r="B248" s="5" t="n">
        <v>3</v>
      </c>
      <c r="C248" s="5" t="inlineStr">
        <is>
          <t>카드</t>
        </is>
      </c>
      <c r="D248" s="5" t="inlineStr">
        <is>
          <t>맹달</t>
        </is>
      </c>
      <c r="E248" s="5" t="n">
        <v>1</v>
      </c>
      <c r="F248" s="5" t="inlineStr">
        <is>
          <t>A</t>
        </is>
      </c>
      <c r="G248" s="5">
        <f>IF(C248="카드",INDEX(비용표!$C$2:$C$7,MATCH(F248,비용표!$B$2:$B$7,0)),F248*INDEX(비용표!$C$8:$C$9,MATCH(C248,비용표!$B$8:$B$9,0)))</f>
        <v/>
      </c>
      <c r="H248" s="5">
        <f>G248*E248</f>
        <v/>
      </c>
      <c r="I248" s="10">
        <f>IF(A248=A247,I247&amp;" · ","")&amp;IF(C248="카드",D248&amp;E248,"["&amp;C248&amp;"] "&amp;D248)</f>
        <v/>
      </c>
    </row>
    <row r="249">
      <c r="A249" s="5" t="n">
        <v>69</v>
      </c>
      <c r="B249" s="5" t="n">
        <v>4</v>
      </c>
      <c r="C249" s="5" t="inlineStr">
        <is>
          <t>카드</t>
        </is>
      </c>
      <c r="D249" s="5" t="inlineStr">
        <is>
          <t>유장</t>
        </is>
      </c>
      <c r="E249" s="5" t="n">
        <v>1</v>
      </c>
      <c r="F249" s="5" t="inlineStr">
        <is>
          <t>C</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1</v>
      </c>
      <c r="C250" s="5" t="inlineStr">
        <is>
          <t>카드</t>
        </is>
      </c>
      <c r="D250" s="5" t="inlineStr">
        <is>
          <t>방통</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2</v>
      </c>
      <c r="C251" s="5" t="inlineStr">
        <is>
          <t>카드</t>
        </is>
      </c>
      <c r="D251" s="5" t="inlineStr">
        <is>
          <t>장임</t>
        </is>
      </c>
      <c r="E251" s="5" t="n">
        <v>1</v>
      </c>
      <c r="F251" s="5" t="inlineStr">
        <is>
          <t>A</t>
        </is>
      </c>
      <c r="G251" s="5">
        <f>IF(C251="카드",INDEX(비용표!$C$2:$C$7,MATCH(F251,비용표!$B$2:$B$7,0)),F251*INDEX(비용표!$C$8:$C$9,MATCH(C251,비용표!$B$8:$B$9,0)))</f>
        <v/>
      </c>
      <c r="H251" s="5">
        <f>G251*E251</f>
        <v/>
      </c>
      <c r="I251" s="10">
        <f>IF(A251=A250,I250&amp;" · ","")&amp;IF(C251="카드",D251&amp;E251,"["&amp;C251&amp;"] "&amp;D251)</f>
        <v/>
      </c>
    </row>
    <row r="252">
      <c r="A252" s="5" t="n">
        <v>70</v>
      </c>
      <c r="B252" s="5" t="n">
        <v>3</v>
      </c>
      <c r="C252" s="5" t="inlineStr">
        <is>
          <t>아이템</t>
        </is>
      </c>
      <c r="D252" s="5" t="inlineStr">
        <is>
          <t>적로</t>
        </is>
      </c>
      <c r="E252" s="5" t="n">
        <v>1</v>
      </c>
      <c r="F252" s="5" t="n">
        <v>3</v>
      </c>
      <c r="G252" s="5">
        <f>IF(C252="카드",INDEX(비용표!$C$2:$C$7,MATCH(F252,비용표!$B$2:$B$7,0)),F252*INDEX(비용표!$C$8:$C$9,MATCH(C252,비용표!$B$8:$B$9,0)))</f>
        <v/>
      </c>
      <c r="H252" s="5">
        <f>G252*E252</f>
        <v/>
      </c>
      <c r="I252" s="10">
        <f>IF(A252=A251,I251&amp;" · ","")&amp;IF(C252="카드",D252&amp;E252,"["&amp;C252&amp;"] "&amp;D252)</f>
        <v/>
      </c>
    </row>
    <row r="253">
      <c r="A253" s="5" t="n">
        <v>71</v>
      </c>
      <c r="B253" s="5" t="n">
        <v>1</v>
      </c>
      <c r="C253" s="5" t="inlineStr">
        <is>
          <t>카드</t>
        </is>
      </c>
      <c r="D253" s="5" t="inlineStr">
        <is>
          <t>엄안</t>
        </is>
      </c>
      <c r="E253" s="5" t="n">
        <v>1</v>
      </c>
      <c r="F253" s="5" t="inlineStr">
        <is>
          <t>A</t>
        </is>
      </c>
      <c r="G253" s="5">
        <f>IF(C253="카드",INDEX(비용표!$C$2:$C$7,MATCH(F253,비용표!$B$2:$B$7,0)),F253*INDEX(비용표!$C$8:$C$9,MATCH(C253,비용표!$B$8:$B$9,0)))</f>
        <v/>
      </c>
      <c r="H253" s="5">
        <f>G253*E253</f>
        <v/>
      </c>
      <c r="I253" s="10">
        <f>IF(A253=A252,I252&amp;" · ","")&amp;IF(C253="카드",D253&amp;E253,"["&amp;C253&amp;"] "&amp;D253)</f>
        <v/>
      </c>
    </row>
    <row r="254">
      <c r="A254" s="5" t="n">
        <v>71</v>
      </c>
      <c r="B254" s="5" t="n">
        <v>2</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1</v>
      </c>
      <c r="C255" s="5" t="inlineStr">
        <is>
          <t>카드</t>
        </is>
      </c>
      <c r="D255" s="5" t="inlineStr">
        <is>
          <t>장비</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2</v>
      </c>
      <c r="C256" s="5" t="inlineStr">
        <is>
          <t>카드</t>
        </is>
      </c>
      <c r="D256" s="5" t="inlineStr">
        <is>
          <t>마초</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장임</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엄안</t>
        </is>
      </c>
      <c r="E261" s="5" t="n">
        <v>1</v>
      </c>
      <c r="F261" s="5" t="inlineStr">
        <is>
          <t>A</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75</v>
      </c>
      <c r="B267" s="5" t="n">
        <v>3</v>
      </c>
      <c r="C267" s="5" t="inlineStr">
        <is>
          <t>카드</t>
        </is>
      </c>
      <c r="D267" s="5" t="inlineStr">
        <is>
          <t>감녕</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1</v>
      </c>
      <c r="C268" s="5" t="inlineStr">
        <is>
          <t>카드</t>
        </is>
      </c>
      <c r="D268" s="5" t="inlineStr">
        <is>
          <t>순욱</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76</v>
      </c>
      <c r="B269" s="5" t="n">
        <v>2</v>
      </c>
      <c r="C269" s="5" t="inlineStr">
        <is>
          <t>카드</t>
        </is>
      </c>
      <c r="D269" s="5" t="inlineStr">
        <is>
          <t>조조</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1</v>
      </c>
      <c r="C270" s="5" t="inlineStr">
        <is>
          <t>카드</t>
        </is>
      </c>
      <c r="D270" s="5" t="inlineStr">
        <is>
          <t>감녕</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2</v>
      </c>
      <c r="C271" s="5" t="inlineStr">
        <is>
          <t>카드</t>
        </is>
      </c>
      <c r="D271" s="5" t="inlineStr">
        <is>
          <t>조조</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3</v>
      </c>
      <c r="C272" s="5" t="inlineStr">
        <is>
          <t>카드</t>
        </is>
      </c>
      <c r="D272" s="5" t="inlineStr">
        <is>
          <t>능통</t>
        </is>
      </c>
      <c r="E272" s="5" t="n">
        <v>1</v>
      </c>
      <c r="F272" s="5" t="inlineStr">
        <is>
          <t>A</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80</v>
      </c>
      <c r="B280" s="5" t="n">
        <v>1</v>
      </c>
      <c r="C280" s="5" t="inlineStr">
        <is>
          <t>카드</t>
        </is>
      </c>
      <c r="D280" s="5" t="inlineStr">
        <is>
          <t>황충</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2</v>
      </c>
      <c r="C281" s="5" t="inlineStr">
        <is>
          <t>카드</t>
        </is>
      </c>
      <c r="D281" s="5" t="inlineStr">
        <is>
          <t>하후연</t>
        </is>
      </c>
      <c r="E281" s="5" t="n">
        <v>1</v>
      </c>
      <c r="F281" s="5" t="inlineStr">
        <is>
          <t>A</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3</v>
      </c>
      <c r="C282" s="5" t="inlineStr">
        <is>
          <t>카드</t>
        </is>
      </c>
      <c r="D282" s="5" t="inlineStr">
        <is>
          <t>법정</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4</v>
      </c>
      <c r="C283" s="5" t="inlineStr">
        <is>
          <t>병기</t>
        </is>
      </c>
      <c r="D283" s="5" t="inlineStr">
        <is>
          <t>대감도</t>
        </is>
      </c>
      <c r="E283" s="5" t="n">
        <v>1</v>
      </c>
      <c r="F283" s="5" t="n">
        <v>1</v>
      </c>
      <c r="G283" s="5">
        <f>IF(C283="카드",INDEX(비용표!$C$2:$C$7,MATCH(F283,비용표!$B$2:$B$7,0)),F283*INDEX(비용표!$C$8:$C$9,MATCH(C283,비용표!$B$8:$B$9,0)))</f>
        <v/>
      </c>
      <c r="H283" s="5">
        <f>G283*E283</f>
        <v/>
      </c>
      <c r="I283" s="10">
        <f>IF(A283=A282,I282&amp;" · ","")&amp;IF(C283="카드",D283&amp;E283,"["&amp;C283&amp;"] "&amp;D283)</f>
        <v/>
      </c>
    </row>
    <row r="284">
      <c r="A284" s="5" t="n">
        <v>80</v>
      </c>
      <c r="B284" s="5" t="n">
        <v>5</v>
      </c>
      <c r="C284" s="5" t="inlineStr">
        <is>
          <t>아이템</t>
        </is>
      </c>
      <c r="D284" s="5" t="inlineStr">
        <is>
          <t>영기</t>
        </is>
      </c>
      <c r="E284" s="5" t="n">
        <v>1</v>
      </c>
      <c r="F284" s="5" t="n">
        <v>5</v>
      </c>
      <c r="G284" s="5">
        <f>IF(C284="카드",INDEX(비용표!$C$2:$C$7,MATCH(F284,비용표!$B$2:$B$7,0)),F284*INDEX(비용표!$C$8:$C$9,MATCH(C284,비용표!$B$8:$B$9,0)))</f>
        <v/>
      </c>
      <c r="H284" s="5">
        <f>G284*E284</f>
        <v/>
      </c>
      <c r="I284" s="10">
        <f>IF(A284=A283,I283&amp;" · ","")&amp;IF(C284="카드",D284&amp;E284,"["&amp;C284&amp;"] "&amp;D284)</f>
        <v/>
      </c>
    </row>
    <row r="285">
      <c r="A285" s="5" t="n">
        <v>81</v>
      </c>
      <c r="B285" s="5" t="n">
        <v>1</v>
      </c>
      <c r="C285" s="5" t="inlineStr">
        <is>
          <t>카드</t>
        </is>
      </c>
      <c r="D285" s="5" t="inlineStr">
        <is>
          <t>양수</t>
        </is>
      </c>
      <c r="E285" s="5" t="n">
        <v>1</v>
      </c>
      <c r="F285" s="5" t="inlineStr">
        <is>
          <t>B</t>
        </is>
      </c>
      <c r="G285" s="5">
        <f>IF(C285="카드",INDEX(비용표!$C$2:$C$7,MATCH(F285,비용표!$B$2:$B$7,0)),F285*INDEX(비용표!$C$8:$C$9,MATCH(C285,비용표!$B$8:$B$9,0)))</f>
        <v/>
      </c>
      <c r="H285" s="5">
        <f>G285*E285</f>
        <v/>
      </c>
      <c r="I285" s="10">
        <f>IF(A285=A284,I284&amp;" · ","")&amp;IF(C285="카드",D285&amp;E285,"["&amp;C285&amp;"] "&amp;D285)</f>
        <v/>
      </c>
    </row>
    <row r="286">
      <c r="A286" s="5" t="n">
        <v>81</v>
      </c>
      <c r="B286" s="5" t="n">
        <v>2</v>
      </c>
      <c r="C286" s="5" t="inlineStr">
        <is>
          <t>카드</t>
        </is>
      </c>
      <c r="D286" s="5" t="inlineStr">
        <is>
          <t>조조</t>
        </is>
      </c>
      <c r="E286" s="5" t="n">
        <v>1</v>
      </c>
      <c r="F286" s="5" t="inlineStr">
        <is>
          <t>S</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3</v>
      </c>
      <c r="C287" s="5" t="inlineStr">
        <is>
          <t>카드</t>
        </is>
      </c>
      <c r="D287" s="5" t="inlineStr">
        <is>
          <t>하후돈</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방덕</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82</v>
      </c>
      <c r="B291" s="5" t="n">
        <v>4</v>
      </c>
      <c r="C291" s="5" t="inlineStr">
        <is>
          <t>카드</t>
        </is>
      </c>
      <c r="D291" s="5" t="inlineStr">
        <is>
          <t>관평</t>
        </is>
      </c>
      <c r="E291" s="5" t="n">
        <v>1</v>
      </c>
      <c r="F291" s="5" t="inlineStr">
        <is>
          <t>A</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1</v>
      </c>
      <c r="C292" s="5" t="inlineStr">
        <is>
          <t>카드</t>
        </is>
      </c>
      <c r="D292" s="5" t="inlineStr">
        <is>
          <t>방덕</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83</v>
      </c>
      <c r="B293" s="5" t="n">
        <v>2</v>
      </c>
      <c r="C293" s="5" t="inlineStr">
        <is>
          <t>카드</t>
        </is>
      </c>
      <c r="D293" s="5" t="inlineStr">
        <is>
          <t>관우</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1</v>
      </c>
      <c r="C294" s="5" t="inlineStr">
        <is>
          <t>카드</t>
        </is>
      </c>
      <c r="D294" s="5" t="inlineStr">
        <is>
          <t>여몽</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2</v>
      </c>
      <c r="C295" s="5" t="inlineStr">
        <is>
          <t>카드</t>
        </is>
      </c>
      <c r="D295" s="5" t="inlineStr">
        <is>
          <t>육손</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3</v>
      </c>
      <c r="C296" s="5" t="inlineStr">
        <is>
          <t>카드</t>
        </is>
      </c>
      <c r="D296" s="5" t="inlineStr">
        <is>
          <t>관우</t>
        </is>
      </c>
      <c r="E296" s="5" t="n">
        <v>1</v>
      </c>
      <c r="F296" s="5" t="inlineStr">
        <is>
          <t>S</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4</v>
      </c>
      <c r="C297" s="5" t="inlineStr">
        <is>
          <t>카드</t>
        </is>
      </c>
      <c r="D297" s="5" t="inlineStr">
        <is>
          <t>미방</t>
        </is>
      </c>
      <c r="E297" s="5" t="n">
        <v>1</v>
      </c>
      <c r="F297" s="5" t="inlineStr">
        <is>
          <t>D</t>
        </is>
      </c>
      <c r="G297" s="5">
        <f>IF(C297="카드",INDEX(비용표!$C$2:$C$7,MATCH(F297,비용표!$B$2:$B$7,0)),F297*INDEX(비용표!$C$8:$C$9,MATCH(C297,비용표!$B$8:$B$9,0)))</f>
        <v/>
      </c>
      <c r="H297" s="5">
        <f>G297*E297</f>
        <v/>
      </c>
      <c r="I297" s="10">
        <f>IF(A297=A296,I296&amp;" · ","")&amp;IF(C297="카드",D297&amp;E297,"["&amp;C297&amp;"] "&amp;D297)</f>
        <v/>
      </c>
    </row>
    <row r="298">
      <c r="A298" s="5" t="n">
        <v>84</v>
      </c>
      <c r="B298" s="5" t="n">
        <v>5</v>
      </c>
      <c r="C298" s="5" t="inlineStr">
        <is>
          <t>카드</t>
        </is>
      </c>
      <c r="D298" s="5" t="inlineStr">
        <is>
          <t>손권</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1</v>
      </c>
      <c r="C299" s="5" t="inlineStr">
        <is>
          <t>카드</t>
        </is>
      </c>
      <c r="D299" s="5" t="inlineStr">
        <is>
          <t>관우</t>
        </is>
      </c>
      <c r="E299" s="5" t="n">
        <v>1</v>
      </c>
      <c r="F299" s="5" t="inlineStr">
        <is>
          <t>S</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2</v>
      </c>
      <c r="C300" s="5" t="inlineStr">
        <is>
          <t>카드</t>
        </is>
      </c>
      <c r="D300" s="5" t="inlineStr">
        <is>
          <t>관평</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3</v>
      </c>
      <c r="C301" s="5" t="inlineStr">
        <is>
          <t>카드</t>
        </is>
      </c>
      <c r="D301" s="5" t="inlineStr">
        <is>
          <t>주창</t>
        </is>
      </c>
      <c r="E301" s="5" t="n">
        <v>1</v>
      </c>
      <c r="F301" s="5" t="inlineStr">
        <is>
          <t>A</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4</v>
      </c>
      <c r="C302" s="5" t="inlineStr">
        <is>
          <t>카드</t>
        </is>
      </c>
      <c r="D302" s="5" t="inlineStr">
        <is>
          <t>요화</t>
        </is>
      </c>
      <c r="E302" s="5" t="n">
        <v>1</v>
      </c>
      <c r="F302" s="5" t="inlineStr">
        <is>
          <t>B</t>
        </is>
      </c>
      <c r="G302" s="5">
        <f>IF(C302="카드",INDEX(비용표!$C$2:$C$7,MATCH(F302,비용표!$B$2:$B$7,0)),F302*INDEX(비용표!$C$8:$C$9,MATCH(C302,비용표!$B$8:$B$9,0)))</f>
        <v/>
      </c>
      <c r="H302" s="5">
        <f>G302*E302</f>
        <v/>
      </c>
      <c r="I302" s="10">
        <f>IF(A302=A301,I301&amp;" · ","")&amp;IF(C302="카드",D302&amp;E302,"["&amp;C302&amp;"] "&amp;D302)</f>
        <v/>
      </c>
    </row>
    <row r="303">
      <c r="A303" s="5" t="n">
        <v>85</v>
      </c>
      <c r="B303" s="5" t="n">
        <v>5</v>
      </c>
      <c r="C303" s="5" t="inlineStr">
        <is>
          <t>카드</t>
        </is>
      </c>
      <c r="D303" s="5" t="inlineStr">
        <is>
          <t>유봉</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1</v>
      </c>
      <c r="C304" s="5" t="inlineStr">
        <is>
          <t>카드</t>
        </is>
      </c>
      <c r="D304" s="5" t="inlineStr">
        <is>
          <t>조비</t>
        </is>
      </c>
      <c r="E304" s="5" t="n">
        <v>1</v>
      </c>
      <c r="F304" s="5" t="inlineStr">
        <is>
          <t>C</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2</v>
      </c>
      <c r="C305" s="5" t="inlineStr">
        <is>
          <t>카드</t>
        </is>
      </c>
      <c r="D305" s="5" t="inlineStr">
        <is>
          <t>헌제</t>
        </is>
      </c>
      <c r="E305" s="5" t="n">
        <v>1</v>
      </c>
      <c r="F305" s="5" t="inlineStr">
        <is>
          <t>E</t>
        </is>
      </c>
      <c r="G305" s="5">
        <f>IF(C305="카드",INDEX(비용표!$C$2:$C$7,MATCH(F305,비용표!$B$2:$B$7,0)),F305*INDEX(비용표!$C$8:$C$9,MATCH(C305,비용표!$B$8:$B$9,0)))</f>
        <v/>
      </c>
      <c r="H305" s="5">
        <f>G305*E305</f>
        <v/>
      </c>
      <c r="I305" s="10">
        <f>IF(A305=A304,I304&amp;" · ","")&amp;IF(C305="카드",D305&amp;E305,"["&amp;C305&amp;"] "&amp;D305)</f>
        <v/>
      </c>
    </row>
    <row r="306">
      <c r="A306" s="5" t="n">
        <v>86</v>
      </c>
      <c r="B306" s="5" t="n">
        <v>3</v>
      </c>
      <c r="C306" s="5" t="inlineStr">
        <is>
          <t>카드</t>
        </is>
      </c>
      <c r="D306" s="5" t="inlineStr">
        <is>
          <t>사마의</t>
        </is>
      </c>
      <c r="E306" s="5" t="n">
        <v>1</v>
      </c>
      <c r="F306" s="5" t="inlineStr">
        <is>
          <t>S</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1</v>
      </c>
      <c r="C307" s="5" t="inlineStr">
        <is>
          <t>카드</t>
        </is>
      </c>
      <c r="D307" s="5" t="inlineStr">
        <is>
          <t>조식</t>
        </is>
      </c>
      <c r="E307" s="5" t="n">
        <v>1</v>
      </c>
      <c r="F307" s="5" t="inlineStr">
        <is>
          <t>B</t>
        </is>
      </c>
      <c r="G307" s="5">
        <f>IF(C307="카드",INDEX(비용표!$C$2:$C$7,MATCH(F307,비용표!$B$2:$B$7,0)),F307*INDEX(비용표!$C$8:$C$9,MATCH(C307,비용표!$B$8:$B$9,0)))</f>
        <v/>
      </c>
      <c r="H307" s="5">
        <f>G307*E307</f>
        <v/>
      </c>
      <c r="I307" s="10">
        <f>IF(A307=A306,I306&amp;" · ","")&amp;IF(C307="카드",D307&amp;E307,"["&amp;C307&amp;"] "&amp;D307)</f>
        <v/>
      </c>
    </row>
    <row r="308">
      <c r="A308" s="5" t="n">
        <v>87</v>
      </c>
      <c r="B308" s="5" t="n">
        <v>2</v>
      </c>
      <c r="C308" s="5" t="inlineStr">
        <is>
          <t>카드</t>
        </is>
      </c>
      <c r="D308" s="5" t="inlineStr">
        <is>
          <t>조비</t>
        </is>
      </c>
      <c r="E308" s="5" t="n">
        <v>1</v>
      </c>
      <c r="F308" s="5" t="inlineStr">
        <is>
          <t>C</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1</v>
      </c>
      <c r="C309" s="5" t="inlineStr">
        <is>
          <t>카드</t>
        </is>
      </c>
      <c r="D309" s="5" t="inlineStr">
        <is>
          <t>관흥</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2</v>
      </c>
      <c r="C310" s="5" t="inlineStr">
        <is>
          <t>카드</t>
        </is>
      </c>
      <c r="D310" s="5" t="inlineStr">
        <is>
          <t>장포</t>
        </is>
      </c>
      <c r="E310" s="5" t="n">
        <v>1</v>
      </c>
      <c r="F310" s="5" t="inlineStr">
        <is>
          <t>A</t>
        </is>
      </c>
      <c r="G310" s="5">
        <f>IF(C310="카드",INDEX(비용표!$C$2:$C$7,MATCH(F310,비용표!$B$2:$B$7,0)),F310*INDEX(비용표!$C$8:$C$9,MATCH(C310,비용표!$B$8:$B$9,0)))</f>
        <v/>
      </c>
      <c r="H310" s="5">
        <f>G310*E310</f>
        <v/>
      </c>
      <c r="I310" s="10">
        <f>IF(A310=A309,I309&amp;" · ","")&amp;IF(C310="카드",D310&amp;E310,"["&amp;C310&amp;"] "&amp;D310)</f>
        <v/>
      </c>
    </row>
    <row r="311">
      <c r="A311" s="5" t="n">
        <v>89</v>
      </c>
      <c r="B311" s="5" t="n">
        <v>1</v>
      </c>
      <c r="C311" s="5" t="inlineStr">
        <is>
          <t>카드</t>
        </is>
      </c>
      <c r="D311" s="5" t="inlineStr">
        <is>
          <t>사마가</t>
        </is>
      </c>
      <c r="E311" s="5" t="n">
        <v>1</v>
      </c>
      <c r="F311" s="5" t="inlineStr">
        <is>
          <t>A</t>
        </is>
      </c>
      <c r="G311" s="5">
        <f>IF(C311="카드",INDEX(비용표!$C$2:$C$7,MATCH(F311,비용표!$B$2:$B$7,0)),F311*INDEX(비용표!$C$8:$C$9,MATCH(C311,비용표!$B$8:$B$9,0)))</f>
        <v/>
      </c>
      <c r="H311" s="5">
        <f>G311*E311</f>
        <v/>
      </c>
      <c r="I311" s="10">
        <f>IF(A311=A310,I310&amp;" · ","")&amp;IF(C311="카드",D311&amp;E311,"["&amp;C311&amp;"] "&amp;D311)</f>
        <v/>
      </c>
    </row>
    <row r="312">
      <c r="A312" s="5" t="n">
        <v>89</v>
      </c>
      <c r="B312" s="5" t="n">
        <v>2</v>
      </c>
      <c r="C312" s="5" t="inlineStr">
        <is>
          <t>카드</t>
        </is>
      </c>
      <c r="D312" s="5" t="inlineStr">
        <is>
          <t>감녕</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3</v>
      </c>
      <c r="C313" s="5" t="inlineStr">
        <is>
          <t>카드</t>
        </is>
      </c>
      <c r="D313" s="5" t="inlineStr">
        <is>
          <t>유비</t>
        </is>
      </c>
      <c r="E313" s="5" t="n">
        <v>1</v>
      </c>
      <c r="F313" s="5" t="inlineStr">
        <is>
          <t>S</t>
        </is>
      </c>
      <c r="G313" s="5">
        <f>IF(C313="카드",INDEX(비용표!$C$2:$C$7,MATCH(F313,비용표!$B$2:$B$7,0)),F313*INDEX(비용표!$C$8:$C$9,MATCH(C313,비용표!$B$8:$B$9,0)))</f>
        <v/>
      </c>
      <c r="H313" s="5">
        <f>G313*E313</f>
        <v/>
      </c>
      <c r="I313" s="10">
        <f>IF(A313=A312,I312&amp;" · ","")&amp;IF(C313="카드",D313&amp;E313,"["&amp;C313&amp;"] "&amp;D313)</f>
        <v/>
      </c>
    </row>
    <row r="314">
      <c r="A314" s="5" t="n">
        <v>90</v>
      </c>
      <c r="B314" s="5" t="n">
        <v>1</v>
      </c>
      <c r="C314" s="5" t="inlineStr">
        <is>
          <t>카드</t>
        </is>
      </c>
      <c r="D314" s="5" t="inlineStr">
        <is>
          <t>육손</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90</v>
      </c>
      <c r="B315" s="5" t="n">
        <v>2</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3</v>
      </c>
      <c r="C316" s="5" t="inlineStr">
        <is>
          <t>카드</t>
        </is>
      </c>
      <c r="D316" s="5" t="inlineStr">
        <is>
          <t>주연</t>
        </is>
      </c>
      <c r="E316" s="5" t="n">
        <v>1</v>
      </c>
      <c r="F316" s="5" t="inlineStr">
        <is>
          <t>B</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4</v>
      </c>
      <c r="C317" s="5" t="inlineStr">
        <is>
          <t>카드</t>
        </is>
      </c>
      <c r="D317" s="5" t="inlineStr">
        <is>
          <t>마량</t>
        </is>
      </c>
      <c r="E317" s="5" t="n">
        <v>1</v>
      </c>
      <c r="F317" s="5" t="inlineStr">
        <is>
          <t>A</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5</v>
      </c>
      <c r="C318" s="5" t="inlineStr">
        <is>
          <t>카드</t>
        </is>
      </c>
      <c r="D318" s="5" t="inlineStr">
        <is>
          <t>황권</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91</v>
      </c>
      <c r="B319" s="5" t="n">
        <v>1</v>
      </c>
      <c r="C319" s="5" t="inlineStr">
        <is>
          <t>카드</t>
        </is>
      </c>
      <c r="D319" s="5" t="inlineStr">
        <is>
          <t>유비</t>
        </is>
      </c>
      <c r="E319" s="5" t="n">
        <v>1</v>
      </c>
      <c r="F319" s="5" t="inlineStr">
        <is>
          <t>S</t>
        </is>
      </c>
      <c r="G319" s="5">
        <f>IF(C319="카드",INDEX(비용표!$C$2:$C$7,MATCH(F319,비용표!$B$2:$B$7,0)),F319*INDEX(비용표!$C$8:$C$9,MATCH(C319,비용표!$B$8:$B$9,0)))</f>
        <v/>
      </c>
      <c r="H319" s="5">
        <f>G319*E319</f>
        <v/>
      </c>
      <c r="I319" s="10">
        <f>IF(A319=A318,I318&amp;" · ","")&amp;IF(C319="카드",D319&amp;E319,"["&amp;C319&amp;"] "&amp;D319)</f>
        <v/>
      </c>
    </row>
    <row r="320">
      <c r="A320" s="5" t="n">
        <v>91</v>
      </c>
      <c r="B320" s="5" t="n">
        <v>2</v>
      </c>
      <c r="C320" s="5" t="inlineStr">
        <is>
          <t>카드</t>
        </is>
      </c>
      <c r="D320" s="5" t="inlineStr">
        <is>
          <t>제갈량</t>
        </is>
      </c>
      <c r="E320" s="5" t="n">
        <v>1</v>
      </c>
      <c r="F320" s="5" t="inlineStr">
        <is>
          <t>S</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3</v>
      </c>
      <c r="C321" s="5" t="inlineStr">
        <is>
          <t>카드</t>
        </is>
      </c>
      <c r="D321" s="5" t="inlineStr">
        <is>
          <t>유선</t>
        </is>
      </c>
      <c r="E321" s="5" t="n">
        <v>1</v>
      </c>
      <c r="F321" s="5" t="inlineStr">
        <is>
          <t>D</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4</v>
      </c>
      <c r="C322" s="5" t="inlineStr">
        <is>
          <t>카드</t>
        </is>
      </c>
      <c r="D322" s="5" t="inlineStr">
        <is>
          <t>이엄</t>
        </is>
      </c>
      <c r="E322" s="5" t="n">
        <v>1</v>
      </c>
      <c r="F322" s="5" t="inlineStr">
        <is>
          <t>A</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5</v>
      </c>
      <c r="C323" s="5" t="inlineStr">
        <is>
          <t>카드</t>
        </is>
      </c>
      <c r="D323" s="5" t="inlineStr">
        <is>
          <t>조운</t>
        </is>
      </c>
      <c r="E323" s="5" t="n">
        <v>1</v>
      </c>
      <c r="F323" s="5" t="inlineStr">
        <is>
          <t>S</t>
        </is>
      </c>
      <c r="G323" s="5">
        <f>IF(C323="카드",INDEX(비용표!$C$2:$C$7,MATCH(F323,비용표!$B$2:$B$7,0)),F323*INDEX(비용표!$C$8:$C$9,MATCH(C323,비용표!$B$8:$B$9,0)))</f>
        <v/>
      </c>
      <c r="H323" s="5">
        <f>G323*E323</f>
        <v/>
      </c>
      <c r="I323" s="10">
        <f>IF(A323=A322,I322&amp;" · ","")&amp;IF(C323="카드",D323&amp;E323,"["&amp;C323&amp;"] "&amp;D323)</f>
        <v/>
      </c>
    </row>
    <row r="324">
      <c r="A324" s="5" t="n">
        <v>92</v>
      </c>
      <c r="B324" s="5" t="n">
        <v>1</v>
      </c>
      <c r="C324" s="5" t="inlineStr">
        <is>
          <t>카드</t>
        </is>
      </c>
      <c r="D324" s="5" t="inlineStr">
        <is>
          <t>서성</t>
        </is>
      </c>
      <c r="E324" s="5" t="n">
        <v>1</v>
      </c>
      <c r="F324" s="5" t="inlineStr">
        <is>
          <t>B</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2</v>
      </c>
      <c r="C325" s="5" t="inlineStr">
        <is>
          <t>카드</t>
        </is>
      </c>
      <c r="D325" s="5" t="inlineStr">
        <is>
          <t>조비</t>
        </is>
      </c>
      <c r="E325" s="5" t="n">
        <v>1</v>
      </c>
      <c r="F325" s="5" t="inlineStr">
        <is>
          <t>C</t>
        </is>
      </c>
      <c r="G325" s="5">
        <f>IF(C325="카드",INDEX(비용표!$C$2:$C$7,MATCH(F325,비용표!$B$2:$B$7,0)),F325*INDEX(비용표!$C$8:$C$9,MATCH(C325,비용표!$B$8:$B$9,0)))</f>
        <v/>
      </c>
      <c r="H325" s="5">
        <f>G325*E325</f>
        <v/>
      </c>
      <c r="I325" s="10">
        <f>IF(A325=A324,I324&amp;" · ","")&amp;IF(C325="카드",D325&amp;E325,"["&amp;C325&amp;"] "&amp;D325)</f>
        <v/>
      </c>
    </row>
    <row r="326">
      <c r="A326" s="5" t="n">
        <v>93</v>
      </c>
      <c r="B326" s="5" t="n">
        <v>1</v>
      </c>
      <c r="C326" s="5" t="inlineStr">
        <is>
          <t>카드</t>
        </is>
      </c>
      <c r="D326" s="5" t="inlineStr">
        <is>
          <t>축융</t>
        </is>
      </c>
      <c r="E326" s="5" t="n">
        <v>1</v>
      </c>
      <c r="F326" s="5" t="inlineStr">
        <is>
          <t>B</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2</v>
      </c>
      <c r="C327" s="5" t="inlineStr">
        <is>
          <t>카드</t>
        </is>
      </c>
      <c r="D327" s="5" t="inlineStr">
        <is>
          <t>오란</t>
        </is>
      </c>
      <c r="E327" s="5" t="n">
        <v>1</v>
      </c>
      <c r="F327" s="5" t="inlineStr">
        <is>
          <t>A</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3</v>
      </c>
      <c r="C328" s="5" t="inlineStr">
        <is>
          <t>카드</t>
        </is>
      </c>
      <c r="D328" s="5" t="inlineStr">
        <is>
          <t>제갈량</t>
        </is>
      </c>
      <c r="E328" s="5" t="n">
        <v>1</v>
      </c>
      <c r="F328" s="5" t="inlineStr">
        <is>
          <t>S</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4</v>
      </c>
      <c r="C329" s="5" t="inlineStr">
        <is>
          <t>카드</t>
        </is>
      </c>
      <c r="D329" s="5" t="inlineStr">
        <is>
          <t>마대</t>
        </is>
      </c>
      <c r="E329" s="5" t="n">
        <v>1</v>
      </c>
      <c r="F329" s="5" t="inlineStr">
        <is>
          <t>B</t>
        </is>
      </c>
      <c r="G329" s="5">
        <f>IF(C329="카드",INDEX(비용표!$C$2:$C$7,MATCH(F329,비용표!$B$2:$B$7,0)),F329*INDEX(비용표!$C$8:$C$9,MATCH(C329,비용표!$B$8:$B$9,0)))</f>
        <v/>
      </c>
      <c r="H329" s="5">
        <f>G329*E329</f>
        <v/>
      </c>
      <c r="I329" s="10">
        <f>IF(A329=A328,I328&amp;" · ","")&amp;IF(C329="카드",D329&amp;E329,"["&amp;C329&amp;"] "&amp;D329)</f>
        <v/>
      </c>
    </row>
    <row r="330">
      <c r="A330" s="5" t="n">
        <v>93</v>
      </c>
      <c r="B330" s="5" t="n">
        <v>5</v>
      </c>
      <c r="C330" s="5" t="inlineStr">
        <is>
          <t>카드</t>
        </is>
      </c>
      <c r="D330" s="5" t="inlineStr">
        <is>
          <t>왕평</t>
        </is>
      </c>
      <c r="E330" s="5" t="n">
        <v>1</v>
      </c>
      <c r="F330" s="5" t="inlineStr">
        <is>
          <t>B</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1</v>
      </c>
      <c r="C331" s="5" t="inlineStr">
        <is>
          <t>카드</t>
        </is>
      </c>
      <c r="D331" s="5" t="inlineStr">
        <is>
          <t>제갈량</t>
        </is>
      </c>
      <c r="E331" s="5" t="n">
        <v>1</v>
      </c>
      <c r="F331" s="5" t="inlineStr">
        <is>
          <t>S</t>
        </is>
      </c>
      <c r="G331" s="5">
        <f>IF(C331="카드",INDEX(비용표!$C$2:$C$7,MATCH(F331,비용표!$B$2:$B$7,0)),F331*INDEX(비용표!$C$8:$C$9,MATCH(C331,비용표!$B$8:$B$9,0)))</f>
        <v/>
      </c>
      <c r="H331" s="5">
        <f>G331*E331</f>
        <v/>
      </c>
      <c r="I331" s="10">
        <f>IF(A331=A330,I330&amp;" · ","")&amp;IF(C331="카드",D331&amp;E331,"["&amp;C331&amp;"] "&amp;D331)</f>
        <v/>
      </c>
    </row>
    <row r="332">
      <c r="A332" s="5" t="n">
        <v>94</v>
      </c>
      <c r="B332" s="5" t="n">
        <v>2</v>
      </c>
      <c r="C332" s="5" t="inlineStr">
        <is>
          <t>카드</t>
        </is>
      </c>
      <c r="D332" s="5" t="inlineStr">
        <is>
          <t>유선</t>
        </is>
      </c>
      <c r="E332" s="5" t="n">
        <v>1</v>
      </c>
      <c r="F332" s="5" t="inlineStr">
        <is>
          <t>D</t>
        </is>
      </c>
      <c r="G332" s="5">
        <f>IF(C332="카드",INDEX(비용표!$C$2:$C$7,MATCH(F332,비용표!$B$2:$B$7,0)),F332*INDEX(비용표!$C$8:$C$9,MATCH(C332,비용표!$B$8:$B$9,0)))</f>
        <v/>
      </c>
      <c r="H332" s="5">
        <f>G332*E332</f>
        <v/>
      </c>
      <c r="I332" s="10">
        <f>IF(A332=A331,I331&amp;" · ","")&amp;IF(C332="카드",D332&amp;E332,"["&amp;C332&amp;"] "&amp;D332)</f>
        <v/>
      </c>
    </row>
    <row r="333">
      <c r="A333" s="5" t="n">
        <v>94</v>
      </c>
      <c r="B333" s="5" t="n">
        <v>3</v>
      </c>
      <c r="C333" s="5" t="inlineStr">
        <is>
          <t>카드</t>
        </is>
      </c>
      <c r="D333" s="5" t="inlineStr">
        <is>
          <t>조운</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94</v>
      </c>
      <c r="B334" s="5" t="n">
        <v>4</v>
      </c>
      <c r="C334" s="5" t="inlineStr">
        <is>
          <t>카드</t>
        </is>
      </c>
      <c r="D334" s="5" t="inlineStr">
        <is>
          <t>위연</t>
        </is>
      </c>
      <c r="E334" s="5" t="n">
        <v>1</v>
      </c>
      <c r="F334" s="5" t="inlineStr">
        <is>
          <t>A</t>
        </is>
      </c>
      <c r="G334" s="5">
        <f>IF(C334="카드",INDEX(비용표!$C$2:$C$7,MATCH(F334,비용표!$B$2:$B$7,0)),F334*INDEX(비용표!$C$8:$C$9,MATCH(C334,비용표!$B$8:$B$9,0)))</f>
        <v/>
      </c>
      <c r="H334" s="5">
        <f>G334*E334</f>
        <v/>
      </c>
      <c r="I334" s="10">
        <f>IF(A334=A333,I333&amp;" · ","")&amp;IF(C334="카드",D334&amp;E334,"["&amp;C334&amp;"] "&amp;D334)</f>
        <v/>
      </c>
    </row>
    <row r="335">
      <c r="A335" s="5" t="n">
        <v>94</v>
      </c>
      <c r="B335" s="5" t="n">
        <v>5</v>
      </c>
      <c r="C335" s="5" t="inlineStr">
        <is>
          <t>카드</t>
        </is>
      </c>
      <c r="D335" s="5" t="inlineStr">
        <is>
          <t>비위</t>
        </is>
      </c>
      <c r="E335" s="5" t="n">
        <v>1</v>
      </c>
      <c r="F335" s="5" t="inlineStr">
        <is>
          <t>B</t>
        </is>
      </c>
      <c r="G335" s="5">
        <f>IF(C335="카드",INDEX(비용표!$C$2:$C$7,MATCH(F335,비용표!$B$2:$B$7,0)),F335*INDEX(비용표!$C$8:$C$9,MATCH(C335,비용표!$B$8:$B$9,0)))</f>
        <v/>
      </c>
      <c r="H335" s="5">
        <f>G335*E335</f>
        <v/>
      </c>
      <c r="I335" s="10">
        <f>IF(A335=A334,I334&amp;" · ","")&amp;IF(C335="카드",D335&amp;E335,"["&amp;C335&amp;"] "&amp;D335)</f>
        <v/>
      </c>
    </row>
    <row r="336">
      <c r="A336" s="5" t="n">
        <v>95</v>
      </c>
      <c r="B336" s="5" t="n">
        <v>1</v>
      </c>
      <c r="C336" s="5" t="inlineStr">
        <is>
          <t>카드</t>
        </is>
      </c>
      <c r="D336" s="5" t="inlineStr">
        <is>
          <t>장로</t>
        </is>
      </c>
      <c r="E336" s="5" t="n">
        <v>1</v>
      </c>
      <c r="F336" s="5" t="inlineStr">
        <is>
          <t>A</t>
        </is>
      </c>
      <c r="G336" s="5">
        <f>IF(C336="카드",INDEX(비용표!$C$2:$C$7,MATCH(F336,비용표!$B$2:$B$7,0)),F336*INDEX(비용표!$C$8:$C$9,MATCH(C336,비용표!$B$8:$B$9,0)))</f>
        <v/>
      </c>
      <c r="H336" s="5">
        <f>G336*E336</f>
        <v/>
      </c>
      <c r="I336" s="10">
        <f>IF(A336=A335,I335&amp;" · ","")&amp;IF(C336="카드",D336&amp;E336,"["&amp;C336&amp;"] "&amp;D336)</f>
        <v/>
      </c>
    </row>
    <row r="337">
      <c r="A337" s="5" t="n">
        <v>95</v>
      </c>
      <c r="B337" s="5" t="n">
        <v>2</v>
      </c>
      <c r="C337" s="5" t="inlineStr">
        <is>
          <t>카드</t>
        </is>
      </c>
      <c r="D337" s="5" t="inlineStr">
        <is>
          <t>염포</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95</v>
      </c>
      <c r="B338" s="5" t="n">
        <v>3</v>
      </c>
      <c r="C338" s="5" t="inlineStr">
        <is>
          <t>카드</t>
        </is>
      </c>
      <c r="D338" s="5" t="inlineStr">
        <is>
          <t>양송</t>
        </is>
      </c>
      <c r="E338" s="5" t="n">
        <v>1</v>
      </c>
      <c r="F338" s="5" t="inlineStr">
        <is>
          <t>D</t>
        </is>
      </c>
      <c r="G338" s="5">
        <f>IF(C338="카드",INDEX(비용표!$C$2:$C$7,MATCH(F338,비용표!$B$2:$B$7,0)),F338*INDEX(비용표!$C$8:$C$9,MATCH(C338,비용표!$B$8:$B$9,0)))</f>
        <v/>
      </c>
      <c r="H338" s="5">
        <f>G338*E338</f>
        <v/>
      </c>
      <c r="I338" s="10">
        <f>IF(A338=A337,I337&amp;" · ","")&amp;IF(C338="카드",D338&amp;E338,"["&amp;C338&amp;"] "&amp;D338)</f>
        <v/>
      </c>
    </row>
    <row r="339">
      <c r="A339" s="5" t="n">
        <v>95</v>
      </c>
      <c r="B339" s="5" t="n">
        <v>4</v>
      </c>
      <c r="C339" s="5" t="inlineStr">
        <is>
          <t>카드</t>
        </is>
      </c>
      <c r="D339" s="5" t="inlineStr">
        <is>
          <t>양앙</t>
        </is>
      </c>
      <c r="E339" s="5" t="n">
        <v>1</v>
      </c>
      <c r="F339" s="5" t="inlineStr">
        <is>
          <t>C</t>
        </is>
      </c>
      <c r="G339" s="5">
        <f>IF(C339="카드",INDEX(비용표!$C$2:$C$7,MATCH(F339,비용표!$B$2:$B$7,0)),F339*INDEX(비용표!$C$8:$C$9,MATCH(C339,비용표!$B$8:$B$9,0)))</f>
        <v/>
      </c>
      <c r="H339" s="5">
        <f>G339*E339</f>
        <v/>
      </c>
      <c r="I339" s="10">
        <f>IF(A339=A338,I338&amp;" · ","")&amp;IF(C339="카드",D339&amp;E339,"["&amp;C339&amp;"] "&amp;D339)</f>
        <v/>
      </c>
    </row>
    <row r="340">
      <c r="A340" s="5" t="n">
        <v>95</v>
      </c>
      <c r="B340" s="5" t="n">
        <v>5</v>
      </c>
      <c r="C340" s="5" t="inlineStr">
        <is>
          <t>카드</t>
        </is>
      </c>
      <c r="D340" s="5" t="inlineStr">
        <is>
          <t>양임</t>
        </is>
      </c>
      <c r="E340" s="5" t="n">
        <v>1</v>
      </c>
      <c r="F340" s="5" t="inlineStr">
        <is>
          <t>D</t>
        </is>
      </c>
      <c r="G340" s="5">
        <f>IF(C340="카드",INDEX(비용표!$C$2:$C$7,MATCH(F340,비용표!$B$2:$B$7,0)),F340*INDEX(비용표!$C$8:$C$9,MATCH(C340,비용표!$B$8:$B$9,0)))</f>
        <v/>
      </c>
      <c r="H340" s="5">
        <f>G340*E340</f>
        <v/>
      </c>
      <c r="I340" s="10">
        <f>IF(A340=A339,I339&amp;" · ","")&amp;IF(C340="카드",D340&amp;E340,"["&amp;C340&amp;"] "&amp;D340)</f>
        <v/>
      </c>
    </row>
    <row r="341">
      <c r="A341" s="5" t="n">
        <v>96</v>
      </c>
      <c r="B341" s="5" t="n">
        <v>1</v>
      </c>
      <c r="C341" s="5" t="inlineStr">
        <is>
          <t>카드</t>
        </is>
      </c>
      <c r="D341" s="5" t="inlineStr">
        <is>
          <t>강유</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96</v>
      </c>
      <c r="B342" s="5" t="n">
        <v>2</v>
      </c>
      <c r="C342" s="5" t="inlineStr">
        <is>
          <t>카드</t>
        </is>
      </c>
      <c r="D342" s="5" t="inlineStr">
        <is>
          <t>제갈량</t>
        </is>
      </c>
      <c r="E342" s="5" t="n">
        <v>1</v>
      </c>
      <c r="F342" s="5" t="inlineStr">
        <is>
          <t>S</t>
        </is>
      </c>
      <c r="G342" s="5">
        <f>IF(C342="카드",INDEX(비용표!$C$2:$C$7,MATCH(F342,비용표!$B$2:$B$7,0)),F342*INDEX(비용표!$C$8:$C$9,MATCH(C342,비용표!$B$8:$B$9,0)))</f>
        <v/>
      </c>
      <c r="H342" s="5">
        <f>G342*E342</f>
        <v/>
      </c>
      <c r="I342" s="10">
        <f>IF(A342=A341,I341&amp;" · ","")&amp;IF(C342="카드",D342&amp;E342,"["&amp;C342&amp;"] "&amp;D342)</f>
        <v/>
      </c>
    </row>
    <row r="343">
      <c r="A343" s="5" t="n">
        <v>96</v>
      </c>
      <c r="B343" s="5" t="n">
        <v>3</v>
      </c>
      <c r="C343" s="5" t="inlineStr">
        <is>
          <t>카드</t>
        </is>
      </c>
      <c r="D343" s="5" t="inlineStr">
        <is>
          <t>조운</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97</v>
      </c>
      <c r="B344" s="5" t="n">
        <v>1</v>
      </c>
      <c r="C344" s="5" t="inlineStr">
        <is>
          <t>카드</t>
        </is>
      </c>
      <c r="D344" s="5" t="inlineStr">
        <is>
          <t>마속</t>
        </is>
      </c>
      <c r="E344" s="5" t="n">
        <v>1</v>
      </c>
      <c r="F344" s="5" t="inlineStr">
        <is>
          <t>B</t>
        </is>
      </c>
      <c r="G344" s="5">
        <f>IF(C344="카드",INDEX(비용표!$C$2:$C$7,MATCH(F344,비용표!$B$2:$B$7,0)),F344*INDEX(비용표!$C$8:$C$9,MATCH(C344,비용표!$B$8:$B$9,0)))</f>
        <v/>
      </c>
      <c r="H344" s="5">
        <f>G344*E344</f>
        <v/>
      </c>
      <c r="I344" s="10">
        <f>IF(A344=A343,I343&amp;" · ","")&amp;IF(C344="카드",D344&amp;E344,"["&amp;C344&amp;"] "&amp;D344)</f>
        <v/>
      </c>
    </row>
    <row r="345">
      <c r="A345" s="5" t="n">
        <v>97</v>
      </c>
      <c r="B345" s="5" t="n">
        <v>2</v>
      </c>
      <c r="C345" s="5" t="inlineStr">
        <is>
          <t>카드</t>
        </is>
      </c>
      <c r="D345" s="5" t="inlineStr">
        <is>
          <t>왕평</t>
        </is>
      </c>
      <c r="E345" s="5" t="n">
        <v>1</v>
      </c>
      <c r="F345" s="5" t="inlineStr">
        <is>
          <t>B</t>
        </is>
      </c>
      <c r="G345" s="5">
        <f>IF(C345="카드",INDEX(비용표!$C$2:$C$7,MATCH(F345,비용표!$B$2:$B$7,0)),F345*INDEX(비용표!$C$8:$C$9,MATCH(C345,비용표!$B$8:$B$9,0)))</f>
        <v/>
      </c>
      <c r="H345" s="5">
        <f>G345*E345</f>
        <v/>
      </c>
      <c r="I345" s="10">
        <f>IF(A345=A344,I344&amp;" · ","")&amp;IF(C345="카드",D345&amp;E345,"["&amp;C345&amp;"] "&amp;D345)</f>
        <v/>
      </c>
    </row>
    <row r="346">
      <c r="A346" s="5" t="n">
        <v>97</v>
      </c>
      <c r="B346" s="5" t="n">
        <v>3</v>
      </c>
      <c r="C346" s="5" t="inlineStr">
        <is>
          <t>카드</t>
        </is>
      </c>
      <c r="D346" s="5" t="inlineStr">
        <is>
          <t>장합</t>
        </is>
      </c>
      <c r="E346" s="5" t="n">
        <v>1</v>
      </c>
      <c r="F346" s="5" t="inlineStr">
        <is>
          <t>S</t>
        </is>
      </c>
      <c r="G346" s="5">
        <f>IF(C346="카드",INDEX(비용표!$C$2:$C$7,MATCH(F346,비용표!$B$2:$B$7,0)),F346*INDEX(비용표!$C$8:$C$9,MATCH(C346,비용표!$B$8:$B$9,0)))</f>
        <v/>
      </c>
      <c r="H346" s="5">
        <f>G346*E346</f>
        <v/>
      </c>
      <c r="I346" s="10">
        <f>IF(A346=A345,I345&amp;" · ","")&amp;IF(C346="카드",D346&amp;E346,"["&amp;C346&amp;"] "&amp;D346)</f>
        <v/>
      </c>
    </row>
    <row r="347">
      <c r="A347" s="5" t="n">
        <v>97</v>
      </c>
      <c r="B347" s="5" t="n">
        <v>4</v>
      </c>
      <c r="C347" s="5" t="inlineStr">
        <is>
          <t>카드</t>
        </is>
      </c>
      <c r="D347" s="5" t="inlineStr">
        <is>
          <t>사마의</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98</v>
      </c>
      <c r="B348" s="5" t="n">
        <v>1</v>
      </c>
      <c r="C348" s="5" t="inlineStr">
        <is>
          <t>카드</t>
        </is>
      </c>
      <c r="D348" s="5" t="inlineStr">
        <is>
          <t>제갈량</t>
        </is>
      </c>
      <c r="E348" s="5" t="n">
        <v>1</v>
      </c>
      <c r="F348" s="5" t="inlineStr">
        <is>
          <t>S</t>
        </is>
      </c>
      <c r="G348" s="5">
        <f>IF(C348="카드",INDEX(비용표!$C$2:$C$7,MATCH(F348,비용표!$B$2:$B$7,0)),F348*INDEX(비용표!$C$8:$C$9,MATCH(C348,비용표!$B$8:$B$9,0)))</f>
        <v/>
      </c>
      <c r="H348" s="5">
        <f>G348*E348</f>
        <v/>
      </c>
      <c r="I348" s="10">
        <f>IF(A348=A347,I347&amp;" · ","")&amp;IF(C348="카드",D348&amp;E348,"["&amp;C348&amp;"] "&amp;D348)</f>
        <v/>
      </c>
    </row>
    <row r="349">
      <c r="A349" s="5" t="n">
        <v>98</v>
      </c>
      <c r="B349" s="5" t="n">
        <v>2</v>
      </c>
      <c r="C349" s="5" t="inlineStr">
        <is>
          <t>카드</t>
        </is>
      </c>
      <c r="D349" s="5" t="inlineStr">
        <is>
          <t>사마의</t>
        </is>
      </c>
      <c r="E349" s="5" t="n">
        <v>1</v>
      </c>
      <c r="F349" s="5" t="inlineStr">
        <is>
          <t>S</t>
        </is>
      </c>
      <c r="G349" s="5">
        <f>IF(C349="카드",INDEX(비용표!$C$2:$C$7,MATCH(F349,비용표!$B$2:$B$7,0)),F349*INDEX(비용표!$C$8:$C$9,MATCH(C349,비용표!$B$8:$B$9,0)))</f>
        <v/>
      </c>
      <c r="H349" s="5">
        <f>G349*E349</f>
        <v/>
      </c>
      <c r="I349" s="10">
        <f>IF(A349=A348,I348&amp;" · ","")&amp;IF(C349="카드",D349&amp;E349,"["&amp;C349&amp;"] "&amp;D349)</f>
        <v/>
      </c>
    </row>
    <row r="350">
      <c r="A350" s="5" t="n">
        <v>98</v>
      </c>
      <c r="B350" s="5" t="n">
        <v>3</v>
      </c>
      <c r="C350" s="5" t="inlineStr">
        <is>
          <t>카드</t>
        </is>
      </c>
      <c r="D350" s="5" t="inlineStr">
        <is>
          <t>사마소</t>
        </is>
      </c>
      <c r="E350" s="5" t="n">
        <v>1</v>
      </c>
      <c r="F350" s="5" t="inlineStr">
        <is>
          <t>A</t>
        </is>
      </c>
      <c r="G350" s="5">
        <f>IF(C350="카드",INDEX(비용표!$C$2:$C$7,MATCH(F350,비용표!$B$2:$B$7,0)),F350*INDEX(비용표!$C$8:$C$9,MATCH(C350,비용표!$B$8:$B$9,0)))</f>
        <v/>
      </c>
      <c r="H350" s="5">
        <f>G350*E350</f>
        <v/>
      </c>
      <c r="I350" s="10">
        <f>IF(A350=A349,I349&amp;" · ","")&amp;IF(C350="카드",D350&amp;E350,"["&amp;C350&amp;"] "&amp;D350)</f>
        <v/>
      </c>
    </row>
    <row r="351">
      <c r="A351" s="5" t="n">
        <v>99</v>
      </c>
      <c r="B351" s="5" t="n">
        <v>1</v>
      </c>
      <c r="C351" s="5" t="inlineStr">
        <is>
          <t>카드</t>
        </is>
      </c>
      <c r="D351" s="5" t="inlineStr">
        <is>
          <t>학소</t>
        </is>
      </c>
      <c r="E351" s="5" t="n">
        <v>1</v>
      </c>
      <c r="F351" s="5" t="inlineStr">
        <is>
          <t>A</t>
        </is>
      </c>
      <c r="G351" s="5">
        <f>IF(C351="카드",INDEX(비용표!$C$2:$C$7,MATCH(F351,비용표!$B$2:$B$7,0)),F351*INDEX(비용표!$C$8:$C$9,MATCH(C351,비용표!$B$8:$B$9,0)))</f>
        <v/>
      </c>
      <c r="H351" s="5">
        <f>G351*E351</f>
        <v/>
      </c>
      <c r="I351" s="10">
        <f>IF(A351=A350,I350&amp;" · ","")&amp;IF(C351="카드",D351&amp;E351,"["&amp;C351&amp;"] "&amp;D351)</f>
        <v/>
      </c>
    </row>
    <row r="352">
      <c r="A352" s="5" t="n">
        <v>99</v>
      </c>
      <c r="B352" s="5" t="n">
        <v>2</v>
      </c>
      <c r="C352" s="5" t="inlineStr">
        <is>
          <t>카드</t>
        </is>
      </c>
      <c r="D352" s="5" t="inlineStr">
        <is>
          <t>제갈량</t>
        </is>
      </c>
      <c r="E352" s="5" t="n">
        <v>1</v>
      </c>
      <c r="F352" s="5" t="inlineStr">
        <is>
          <t>S</t>
        </is>
      </c>
      <c r="G352" s="5">
        <f>IF(C352="카드",INDEX(비용표!$C$2:$C$7,MATCH(F352,비용표!$B$2:$B$7,0)),F352*INDEX(비용표!$C$8:$C$9,MATCH(C352,비용표!$B$8:$B$9,0)))</f>
        <v/>
      </c>
      <c r="H352" s="5">
        <f>G352*E352</f>
        <v/>
      </c>
      <c r="I352" s="10">
        <f>IF(A352=A351,I351&amp;" · ","")&amp;IF(C352="카드",D352&amp;E352,"["&amp;C352&amp;"] "&amp;D352)</f>
        <v/>
      </c>
    </row>
    <row r="353">
      <c r="A353" s="5" t="n">
        <v>100</v>
      </c>
      <c r="B353" s="5" t="n">
        <v>1</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100</v>
      </c>
      <c r="B354" s="5" t="n">
        <v>2</v>
      </c>
      <c r="C354" s="5" t="inlineStr">
        <is>
          <t>카드</t>
        </is>
      </c>
      <c r="D354" s="5" t="inlineStr">
        <is>
          <t>이엄</t>
        </is>
      </c>
      <c r="E354" s="5" t="n">
        <v>1</v>
      </c>
      <c r="F354" s="5" t="inlineStr">
        <is>
          <t>A</t>
        </is>
      </c>
      <c r="G354" s="5">
        <f>IF(C354="카드",INDEX(비용표!$C$2:$C$7,MATCH(F354,비용표!$B$2:$B$7,0)),F354*INDEX(비용표!$C$8:$C$9,MATCH(C354,비용표!$B$8:$B$9,0)))</f>
        <v/>
      </c>
      <c r="H354" s="5">
        <f>G354*E354</f>
        <v/>
      </c>
      <c r="I354" s="10">
        <f>IF(A354=A353,I353&amp;" · ","")&amp;IF(C354="카드",D354&amp;E354,"["&amp;C354&amp;"] "&amp;D354)</f>
        <v/>
      </c>
    </row>
    <row r="355">
      <c r="A355" s="5" t="n">
        <v>100</v>
      </c>
      <c r="B355" s="5" t="n">
        <v>3</v>
      </c>
      <c r="C355" s="5" t="inlineStr">
        <is>
          <t>아이템</t>
        </is>
      </c>
      <c r="D355" s="5" t="inlineStr">
        <is>
          <t>목우유마</t>
        </is>
      </c>
      <c r="E355" s="5" t="n">
        <v>1</v>
      </c>
      <c r="F355" s="5" t="n">
        <v>4</v>
      </c>
      <c r="G355" s="5">
        <f>IF(C355="카드",INDEX(비용표!$C$2:$C$7,MATCH(F355,비용표!$B$2:$B$7,0)),F355*INDEX(비용표!$C$8:$C$9,MATCH(C355,비용표!$B$8:$B$9,0)))</f>
        <v/>
      </c>
      <c r="H355" s="5">
        <f>G355*E355</f>
        <v/>
      </c>
      <c r="I355" s="10">
        <f>IF(A355=A354,I354&amp;" · ","")&amp;IF(C355="카드",D355&amp;E355,"["&amp;C355&amp;"] "&amp;D355)</f>
        <v/>
      </c>
    </row>
    <row r="356">
      <c r="A356" s="5" t="n">
        <v>101</v>
      </c>
      <c r="B356" s="5" t="n">
        <v>1</v>
      </c>
      <c r="C356" s="5" t="inlineStr">
        <is>
          <t>카드</t>
        </is>
      </c>
      <c r="D356" s="5" t="inlineStr">
        <is>
          <t>장합</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101</v>
      </c>
      <c r="B357" s="5" t="n">
        <v>2</v>
      </c>
      <c r="C357" s="5" t="inlineStr">
        <is>
          <t>카드</t>
        </is>
      </c>
      <c r="D357" s="5" t="inlineStr">
        <is>
          <t>제갈량</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102</v>
      </c>
      <c r="B358" s="5" t="n">
        <v>1</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102</v>
      </c>
      <c r="B359" s="5" t="n">
        <v>2</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103</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103</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103</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103</v>
      </c>
      <c r="B363" s="5" t="n">
        <v>4</v>
      </c>
      <c r="C363" s="5" t="inlineStr">
        <is>
          <t>카드</t>
        </is>
      </c>
      <c r="D363" s="5" t="inlineStr">
        <is>
          <t>제갈량</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103</v>
      </c>
      <c r="B364" s="5" t="n">
        <v>5</v>
      </c>
      <c r="C364" s="5" t="inlineStr">
        <is>
          <t>아이템</t>
        </is>
      </c>
      <c r="D364" s="5" t="inlineStr">
        <is>
          <t>폭약</t>
        </is>
      </c>
      <c r="E364" s="5" t="n">
        <v>1</v>
      </c>
      <c r="F364" s="5" t="n">
        <v>3</v>
      </c>
      <c r="G364" s="5">
        <f>IF(C364="카드",INDEX(비용표!$C$2:$C$7,MATCH(F364,비용표!$B$2:$B$7,0)),F364*INDEX(비용표!$C$8:$C$9,MATCH(C364,비용표!$B$8:$B$9,0)))</f>
        <v/>
      </c>
      <c r="H364" s="5">
        <f>G364*E364</f>
        <v/>
      </c>
      <c r="I364" s="10">
        <f>IF(A364=A363,I363&amp;" · ","")&amp;IF(C364="카드",D364&amp;E364,"["&amp;C364&amp;"] "&amp;D364)</f>
        <v/>
      </c>
    </row>
    <row r="365">
      <c r="A365" s="5" t="n">
        <v>104</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104</v>
      </c>
      <c r="B366" s="5" t="n">
        <v>2</v>
      </c>
      <c r="C366" s="5" t="inlineStr">
        <is>
          <t>카드</t>
        </is>
      </c>
      <c r="D366" s="5" t="inlineStr">
        <is>
          <t>사마의</t>
        </is>
      </c>
      <c r="E366" s="5" t="n">
        <v>1</v>
      </c>
      <c r="F366" s="5" t="inlineStr">
        <is>
          <t>S</t>
        </is>
      </c>
      <c r="G366" s="5">
        <f>IF(C366="카드",INDEX(비용표!$C$2:$C$7,MATCH(F366,비용표!$B$2:$B$7,0)),F366*INDEX(비용표!$C$8:$C$9,MATCH(C366,비용표!$B$8:$B$9,0)))</f>
        <v/>
      </c>
      <c r="H366" s="5">
        <f>G366*E366</f>
        <v/>
      </c>
      <c r="I366" s="10">
        <f>IF(A366=A365,I365&amp;" · ","")&amp;IF(C366="카드",D366&amp;E366,"["&amp;C366&amp;"] "&amp;D366)</f>
        <v/>
      </c>
    </row>
    <row r="367">
      <c r="A367" s="5" t="n">
        <v>104</v>
      </c>
      <c r="B367" s="5" t="n">
        <v>3</v>
      </c>
      <c r="C367" s="5" t="inlineStr">
        <is>
          <t>카드</t>
        </is>
      </c>
      <c r="D367" s="5" t="inlineStr">
        <is>
          <t>강유</t>
        </is>
      </c>
      <c r="E367" s="5" t="n">
        <v>1</v>
      </c>
      <c r="F367" s="5" t="inlineStr">
        <is>
          <t>S</t>
        </is>
      </c>
      <c r="G367" s="5">
        <f>IF(C367="카드",INDEX(비용표!$C$2:$C$7,MATCH(F367,비용표!$B$2:$B$7,0)),F367*INDEX(비용표!$C$8:$C$9,MATCH(C367,비용표!$B$8:$B$9,0)))</f>
        <v/>
      </c>
      <c r="H367" s="5">
        <f>G367*E367</f>
        <v/>
      </c>
      <c r="I367" s="10">
        <f>IF(A367=A366,I366&amp;" · ","")&amp;IF(C367="카드",D367&amp;E367,"["&amp;C367&amp;"] "&amp;D367)</f>
        <v/>
      </c>
    </row>
    <row r="368">
      <c r="A368" s="5" t="n">
        <v>104</v>
      </c>
      <c r="B368" s="5" t="n">
        <v>4</v>
      </c>
      <c r="C368" s="5" t="inlineStr">
        <is>
          <t>카드</t>
        </is>
      </c>
      <c r="D368" s="5" t="inlineStr">
        <is>
          <t>위연</t>
        </is>
      </c>
      <c r="E368" s="5" t="n">
        <v>1</v>
      </c>
      <c r="F368" s="5" t="inlineStr">
        <is>
          <t>A</t>
        </is>
      </c>
      <c r="G368" s="5">
        <f>IF(C368="카드",INDEX(비용표!$C$2:$C$7,MATCH(F368,비용표!$B$2:$B$7,0)),F368*INDEX(비용표!$C$8:$C$9,MATCH(C368,비용표!$B$8:$B$9,0)))</f>
        <v/>
      </c>
      <c r="H368" s="5">
        <f>G368*E368</f>
        <v/>
      </c>
      <c r="I368" s="10">
        <f>IF(A368=A367,I367&amp;" · ","")&amp;IF(C368="카드",D368&amp;E368,"["&amp;C368&amp;"] "&amp;D368)</f>
        <v/>
      </c>
    </row>
    <row r="369">
      <c r="A369" s="5" t="n">
        <v>104</v>
      </c>
      <c r="B369" s="5" t="n">
        <v>5</v>
      </c>
      <c r="C369" s="5" t="inlineStr">
        <is>
          <t>카드</t>
        </is>
      </c>
      <c r="D369" s="5" t="inlineStr">
        <is>
          <t>마대</t>
        </is>
      </c>
      <c r="E369" s="5" t="n">
        <v>1</v>
      </c>
      <c r="F369" s="5" t="inlineStr">
        <is>
          <t>B</t>
        </is>
      </c>
      <c r="G369" s="5">
        <f>IF(C369="카드",INDEX(비용표!$C$2:$C$7,MATCH(F369,비용표!$B$2:$B$7,0)),F369*INDEX(비용표!$C$8:$C$9,MATCH(C369,비용표!$B$8:$B$9,0)))</f>
        <v/>
      </c>
      <c r="H369" s="5">
        <f>G369*E369</f>
        <v/>
      </c>
      <c r="I369" s="10">
        <f>IF(A369=A368,I368&amp;" · ","")&amp;IF(C369="카드",D369&amp;E369,"["&amp;C369&amp;"] "&amp;D369)</f>
        <v/>
      </c>
    </row>
    <row r="370">
      <c r="A370" s="5" t="n">
        <v>105</v>
      </c>
      <c r="B370" s="5" t="n">
        <v>1</v>
      </c>
      <c r="C370" s="5" t="inlineStr">
        <is>
          <t>카드</t>
        </is>
      </c>
      <c r="D370" s="5" t="inlineStr">
        <is>
          <t>사마의</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105</v>
      </c>
      <c r="B371" s="5" t="n">
        <v>2</v>
      </c>
      <c r="C371" s="5" t="inlineStr">
        <is>
          <t>카드</t>
        </is>
      </c>
      <c r="D371" s="5" t="inlineStr">
        <is>
          <t>사마사</t>
        </is>
      </c>
      <c r="E371" s="5" t="n">
        <v>1</v>
      </c>
      <c r="F371" s="5" t="inlineStr">
        <is>
          <t>A</t>
        </is>
      </c>
      <c r="G371" s="5">
        <f>IF(C371="카드",INDEX(비용표!$C$2:$C$7,MATCH(F371,비용표!$B$2:$B$7,0)),F371*INDEX(비용표!$C$8:$C$9,MATCH(C371,비용표!$B$8:$B$9,0)))</f>
        <v/>
      </c>
      <c r="H371" s="5">
        <f>G371*E371</f>
        <v/>
      </c>
      <c r="I371" s="10">
        <f>IF(A371=A370,I370&amp;" · ","")&amp;IF(C371="카드",D371&amp;E371,"["&amp;C371&amp;"] "&amp;D371)</f>
        <v/>
      </c>
    </row>
    <row r="372">
      <c r="A372" s="5" t="n">
        <v>105</v>
      </c>
      <c r="B372" s="5" t="n">
        <v>3</v>
      </c>
      <c r="C372" s="5" t="inlineStr">
        <is>
          <t>카드</t>
        </is>
      </c>
      <c r="D372" s="5" t="inlineStr">
        <is>
          <t>사마소</t>
        </is>
      </c>
      <c r="E372" s="5" t="n">
        <v>1</v>
      </c>
      <c r="F372" s="5" t="inlineStr">
        <is>
          <t>A</t>
        </is>
      </c>
      <c r="G372" s="5">
        <f>IF(C372="카드",INDEX(비용표!$C$2:$C$7,MATCH(F372,비용표!$B$2:$B$7,0)),F372*INDEX(비용표!$C$8:$C$9,MATCH(C372,비용표!$B$8:$B$9,0)))</f>
        <v/>
      </c>
      <c r="H372" s="5">
        <f>G372*E372</f>
        <v/>
      </c>
      <c r="I372" s="10">
        <f>IF(A372=A371,I371&amp;" · ","")&amp;IF(C372="카드",D372&amp;E372,"["&amp;C372&amp;"] "&amp;D372)</f>
        <v/>
      </c>
    </row>
    <row r="373">
      <c r="A373" s="5" t="n">
        <v>106</v>
      </c>
      <c r="B373" s="5" t="n">
        <v>1</v>
      </c>
      <c r="C373" s="5" t="inlineStr">
        <is>
          <t>카드</t>
        </is>
      </c>
      <c r="D373" s="5" t="inlineStr">
        <is>
          <t>강유</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106</v>
      </c>
      <c r="B374" s="5" t="n">
        <v>2</v>
      </c>
      <c r="C374" s="5" t="inlineStr">
        <is>
          <t>카드</t>
        </is>
      </c>
      <c r="D374" s="5" t="inlineStr">
        <is>
          <t>요화</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106</v>
      </c>
      <c r="B375" s="5" t="n">
        <v>3</v>
      </c>
      <c r="C375" s="5" t="inlineStr">
        <is>
          <t>카드</t>
        </is>
      </c>
      <c r="D375" s="5" t="inlineStr">
        <is>
          <t>마충</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107</v>
      </c>
      <c r="B376" s="5" t="n">
        <v>1</v>
      </c>
      <c r="C376" s="5" t="inlineStr">
        <is>
          <t>카드</t>
        </is>
      </c>
      <c r="D376" s="5" t="inlineStr">
        <is>
          <t>제갈량</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107</v>
      </c>
      <c r="B377" s="5" t="n">
        <v>2</v>
      </c>
      <c r="C377" s="5" t="inlineStr">
        <is>
          <t>카드</t>
        </is>
      </c>
      <c r="D377" s="5" t="inlineStr">
        <is>
          <t>장완</t>
        </is>
      </c>
      <c r="E377" s="5" t="n">
        <v>1</v>
      </c>
      <c r="F377" s="5" t="inlineStr">
        <is>
          <t>A</t>
        </is>
      </c>
      <c r="G377" s="5">
        <f>IF(C377="카드",INDEX(비용표!$C$2:$C$7,MATCH(F377,비용표!$B$2:$B$7,0)),F377*INDEX(비용표!$C$8:$C$9,MATCH(C377,비용표!$B$8:$B$9,0)))</f>
        <v/>
      </c>
      <c r="H377" s="5">
        <f>G377*E377</f>
        <v/>
      </c>
      <c r="I377" s="10">
        <f>IF(A377=A376,I376&amp;" · ","")&amp;IF(C377="카드",D377&amp;E377,"["&amp;C377&amp;"] "&amp;D377)</f>
        <v/>
      </c>
    </row>
    <row r="378">
      <c r="A378" s="5" t="n">
        <v>107</v>
      </c>
      <c r="B378" s="5" t="n">
        <v>3</v>
      </c>
      <c r="C378" s="5" t="inlineStr">
        <is>
          <t>카드</t>
        </is>
      </c>
      <c r="D378" s="5" t="inlineStr">
        <is>
          <t>비위</t>
        </is>
      </c>
      <c r="E378" s="5" t="n">
        <v>1</v>
      </c>
      <c r="F378" s="5" t="inlineStr">
        <is>
          <t>B</t>
        </is>
      </c>
      <c r="G378" s="5">
        <f>IF(C378="카드",INDEX(비용표!$C$2:$C$7,MATCH(F378,비용표!$B$2:$B$7,0)),F378*INDEX(비용표!$C$8:$C$9,MATCH(C378,비용표!$B$8:$B$9,0)))</f>
        <v/>
      </c>
      <c r="H378" s="5">
        <f>G378*E378</f>
        <v/>
      </c>
      <c r="I378" s="10">
        <f>IF(A378=A377,I377&amp;" · ","")&amp;IF(C378="카드",D378&amp;E378,"["&amp;C378&amp;"] "&amp;D378)</f>
        <v/>
      </c>
    </row>
    <row r="379">
      <c r="A379" s="5" t="n">
        <v>108</v>
      </c>
      <c r="B379" s="5" t="n">
        <v>1</v>
      </c>
      <c r="C379" s="5" t="inlineStr">
        <is>
          <t>카드</t>
        </is>
      </c>
      <c r="D379" s="5" t="inlineStr">
        <is>
          <t>관우</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108</v>
      </c>
      <c r="B380" s="5" t="n">
        <v>2</v>
      </c>
      <c r="C380" s="5" t="inlineStr">
        <is>
          <t>카드</t>
        </is>
      </c>
      <c r="D380" s="5" t="inlineStr">
        <is>
          <t>장비</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108</v>
      </c>
      <c r="B381" s="5" t="n">
        <v>3</v>
      </c>
      <c r="C381" s="5" t="inlineStr">
        <is>
          <t>카드</t>
        </is>
      </c>
      <c r="D381" s="5" t="inlineStr">
        <is>
          <t>조운</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108</v>
      </c>
      <c r="B382" s="5" t="n">
        <v>4</v>
      </c>
      <c r="C382" s="5" t="inlineStr">
        <is>
          <t>카드</t>
        </is>
      </c>
      <c r="D382" s="5" t="inlineStr">
        <is>
          <t>마초</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108</v>
      </c>
      <c r="B383" s="5" t="n">
        <v>5</v>
      </c>
      <c r="C383" s="5" t="inlineStr">
        <is>
          <t>카드</t>
        </is>
      </c>
      <c r="D383" s="5" t="inlineStr">
        <is>
          <t>황충</t>
        </is>
      </c>
      <c r="E383" s="5" t="n">
        <v>1</v>
      </c>
      <c r="F383" s="5" t="inlineStr">
        <is>
          <t>S</t>
        </is>
      </c>
      <c r="G383" s="5">
        <f>IF(C383="카드",INDEX(비용표!$C$2:$C$7,MATCH(F383,비용표!$B$2:$B$7,0)),F383*INDEX(비용표!$C$8:$C$9,MATCH(C383,비용표!$B$8:$B$9,0)))</f>
        <v/>
      </c>
      <c r="H383" s="5">
        <f>G383*E383</f>
        <v/>
      </c>
      <c r="I383" s="10">
        <f>IF(A383=A382,I382&amp;" · ","")&amp;IF(C383="카드",D383&amp;E383,"["&amp;C383&amp;"] "&amp;D383)</f>
        <v/>
      </c>
    </row>
    <row r="384">
      <c r="A384" s="5" t="n">
        <v>109</v>
      </c>
      <c r="B384" s="5" t="n">
        <v>1</v>
      </c>
      <c r="C384" s="5" t="inlineStr">
        <is>
          <t>카드</t>
        </is>
      </c>
      <c r="D384" s="5" t="inlineStr">
        <is>
          <t>장료</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109</v>
      </c>
      <c r="B385" s="5" t="n">
        <v>2</v>
      </c>
      <c r="C385" s="5" t="inlineStr">
        <is>
          <t>카드</t>
        </is>
      </c>
      <c r="D385" s="5" t="inlineStr">
        <is>
          <t>악진</t>
        </is>
      </c>
      <c r="E385" s="5" t="n">
        <v>1</v>
      </c>
      <c r="F385" s="5" t="inlineStr">
        <is>
          <t>B</t>
        </is>
      </c>
      <c r="G385" s="5">
        <f>IF(C385="카드",INDEX(비용표!$C$2:$C$7,MATCH(F385,비용표!$B$2:$B$7,0)),F385*INDEX(비용표!$C$8:$C$9,MATCH(C385,비용표!$B$8:$B$9,0)))</f>
        <v/>
      </c>
      <c r="H385" s="5">
        <f>G385*E385</f>
        <v/>
      </c>
      <c r="I385" s="10">
        <f>IF(A385=A384,I384&amp;" · ","")&amp;IF(C385="카드",D385&amp;E385,"["&amp;C385&amp;"] "&amp;D385)</f>
        <v/>
      </c>
    </row>
    <row r="386">
      <c r="A386" s="5" t="n">
        <v>109</v>
      </c>
      <c r="B386" s="5" t="n">
        <v>3</v>
      </c>
      <c r="C386" s="5" t="inlineStr">
        <is>
          <t>카드</t>
        </is>
      </c>
      <c r="D386" s="5" t="inlineStr">
        <is>
          <t>우금</t>
        </is>
      </c>
      <c r="E386" s="5" t="n">
        <v>1</v>
      </c>
      <c r="F386" s="5" t="inlineStr">
        <is>
          <t>C</t>
        </is>
      </c>
      <c r="G386" s="5">
        <f>IF(C386="카드",INDEX(비용표!$C$2:$C$7,MATCH(F386,비용표!$B$2:$B$7,0)),F386*INDEX(비용표!$C$8:$C$9,MATCH(C386,비용표!$B$8:$B$9,0)))</f>
        <v/>
      </c>
      <c r="H386" s="5">
        <f>G386*E386</f>
        <v/>
      </c>
      <c r="I386" s="10">
        <f>IF(A386=A385,I385&amp;" · ","")&amp;IF(C386="카드",D386&amp;E386,"["&amp;C386&amp;"] "&amp;D386)</f>
        <v/>
      </c>
    </row>
    <row r="387">
      <c r="A387" s="5" t="n">
        <v>109</v>
      </c>
      <c r="B387" s="5" t="n">
        <v>4</v>
      </c>
      <c r="C387" s="5" t="inlineStr">
        <is>
          <t>카드</t>
        </is>
      </c>
      <c r="D387" s="5" t="inlineStr">
        <is>
          <t>장합</t>
        </is>
      </c>
      <c r="E387" s="5" t="n">
        <v>1</v>
      </c>
      <c r="F387" s="5" t="inlineStr">
        <is>
          <t>S</t>
        </is>
      </c>
      <c r="G387" s="5">
        <f>IF(C387="카드",INDEX(비용표!$C$2:$C$7,MATCH(F387,비용표!$B$2:$B$7,0)),F387*INDEX(비용표!$C$8:$C$9,MATCH(C387,비용표!$B$8:$B$9,0)))</f>
        <v/>
      </c>
      <c r="H387" s="5">
        <f>G387*E387</f>
        <v/>
      </c>
      <c r="I387" s="10">
        <f>IF(A387=A386,I386&amp;" · ","")&amp;IF(C387="카드",D387&amp;E387,"["&amp;C387&amp;"] "&amp;D387)</f>
        <v/>
      </c>
    </row>
    <row r="388">
      <c r="A388" s="5" t="n">
        <v>109</v>
      </c>
      <c r="B388" s="5" t="n">
        <v>5</v>
      </c>
      <c r="C388" s="5" t="inlineStr">
        <is>
          <t>카드</t>
        </is>
      </c>
      <c r="D388" s="5" t="inlineStr">
        <is>
          <t>서황</t>
        </is>
      </c>
      <c r="E388" s="5" t="n">
        <v>1</v>
      </c>
      <c r="F388" s="5" t="inlineStr">
        <is>
          <t>S</t>
        </is>
      </c>
      <c r="G388" s="5">
        <f>IF(C388="카드",INDEX(비용표!$C$2:$C$7,MATCH(F388,비용표!$B$2:$B$7,0)),F388*INDEX(비용표!$C$8:$C$9,MATCH(C388,비용표!$B$8:$B$9,0)))</f>
        <v/>
      </c>
      <c r="H388" s="5">
        <f>G388*E388</f>
        <v/>
      </c>
      <c r="I388" s="10">
        <f>IF(A388=A387,I387&amp;" · ","")&amp;IF(C388="카드",D388&amp;E388,"["&amp;C388&amp;"] "&amp;D388)</f>
        <v/>
      </c>
    </row>
    <row r="389">
      <c r="A389" s="5" t="n">
        <v>110</v>
      </c>
      <c r="B389" s="5" t="n">
        <v>1</v>
      </c>
      <c r="C389" s="5" t="inlineStr">
        <is>
          <t>카드</t>
        </is>
      </c>
      <c r="D389" s="5" t="inlineStr">
        <is>
          <t>주유</t>
        </is>
      </c>
      <c r="E389" s="5" t="n">
        <v>1</v>
      </c>
      <c r="F389" s="5" t="inlineStr">
        <is>
          <t>S</t>
        </is>
      </c>
      <c r="G389" s="5">
        <f>IF(C389="카드",INDEX(비용표!$C$2:$C$7,MATCH(F389,비용표!$B$2:$B$7,0)),F389*INDEX(비용표!$C$8:$C$9,MATCH(C389,비용표!$B$8:$B$9,0)))</f>
        <v/>
      </c>
      <c r="H389" s="5">
        <f>G389*E389</f>
        <v/>
      </c>
      <c r="I389" s="10">
        <f>IF(A389=A388,I388&amp;" · ","")&amp;IF(C389="카드",D389&amp;E389,"["&amp;C389&amp;"] "&amp;D389)</f>
        <v/>
      </c>
    </row>
    <row r="390">
      <c r="A390" s="5" t="n">
        <v>110</v>
      </c>
      <c r="B390" s="5" t="n">
        <v>2</v>
      </c>
      <c r="C390" s="5" t="inlineStr">
        <is>
          <t>카드</t>
        </is>
      </c>
      <c r="D390" s="5" t="inlineStr">
        <is>
          <t>노숙</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110</v>
      </c>
      <c r="B391" s="5" t="n">
        <v>3</v>
      </c>
      <c r="C391" s="5" t="inlineStr">
        <is>
          <t>카드</t>
        </is>
      </c>
      <c r="D391" s="5" t="inlineStr">
        <is>
          <t>여몽</t>
        </is>
      </c>
      <c r="E391" s="5" t="n">
        <v>1</v>
      </c>
      <c r="F391" s="5" t="inlineStr">
        <is>
          <t>S</t>
        </is>
      </c>
      <c r="G391" s="5">
        <f>IF(C391="카드",INDEX(비용표!$C$2:$C$7,MATCH(F391,비용표!$B$2:$B$7,0)),F391*INDEX(비용표!$C$8:$C$9,MATCH(C391,비용표!$B$8:$B$9,0)))</f>
        <v/>
      </c>
      <c r="H391" s="5">
        <f>G391*E391</f>
        <v/>
      </c>
      <c r="I391" s="10">
        <f>IF(A391=A390,I390&amp;" · ","")&amp;IF(C391="카드",D391&amp;E391,"["&amp;C391&amp;"] "&amp;D391)</f>
        <v/>
      </c>
    </row>
    <row r="392">
      <c r="A392" s="5" t="n">
        <v>110</v>
      </c>
      <c r="B392" s="5" t="n">
        <v>4</v>
      </c>
      <c r="C392" s="5" t="inlineStr">
        <is>
          <t>카드</t>
        </is>
      </c>
      <c r="D392" s="5" t="inlineStr">
        <is>
          <t>육손</t>
        </is>
      </c>
      <c r="E392" s="5" t="n">
        <v>1</v>
      </c>
      <c r="F392" s="5" t="inlineStr">
        <is>
          <t>S</t>
        </is>
      </c>
      <c r="G392" s="5">
        <f>IF(C392="카드",INDEX(비용표!$C$2:$C$7,MATCH(F392,비용표!$B$2:$B$7,0)),F392*INDEX(비용표!$C$8:$C$9,MATCH(C392,비용표!$B$8:$B$9,0)))</f>
        <v/>
      </c>
      <c r="H392" s="5">
        <f>G392*E392</f>
        <v/>
      </c>
      <c r="I392" s="10">
        <f>IF(A392=A391,I391&amp;" · ","")&amp;IF(C392="카드",D392&amp;E392,"["&amp;C392&amp;"] "&amp;D392)</f>
        <v/>
      </c>
    </row>
    <row r="393">
      <c r="A393" s="5" t="n">
        <v>111</v>
      </c>
      <c r="B393" s="5" t="n">
        <v>1</v>
      </c>
      <c r="C393" s="5" t="inlineStr">
        <is>
          <t>카드</t>
        </is>
      </c>
      <c r="D393" s="5" t="inlineStr">
        <is>
          <t>순욱</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111</v>
      </c>
      <c r="B394" s="5" t="n">
        <v>2</v>
      </c>
      <c r="C394" s="5" t="inlineStr">
        <is>
          <t>카드</t>
        </is>
      </c>
      <c r="D394" s="5" t="inlineStr">
        <is>
          <t>순유</t>
        </is>
      </c>
      <c r="E394" s="5" t="n">
        <v>1</v>
      </c>
      <c r="F394" s="5" t="inlineStr">
        <is>
          <t>A</t>
        </is>
      </c>
      <c r="G394" s="5">
        <f>IF(C394="카드",INDEX(비용표!$C$2:$C$7,MATCH(F394,비용표!$B$2:$B$7,0)),F394*INDEX(비용표!$C$8:$C$9,MATCH(C394,비용표!$B$8:$B$9,0)))</f>
        <v/>
      </c>
      <c r="H394" s="5">
        <f>G394*E394</f>
        <v/>
      </c>
      <c r="I394" s="10">
        <f>IF(A394=A393,I393&amp;" · ","")&amp;IF(C394="카드",D394&amp;E394,"["&amp;C394&amp;"] "&amp;D394)</f>
        <v/>
      </c>
    </row>
    <row r="395">
      <c r="A395" s="5" t="n">
        <v>111</v>
      </c>
      <c r="B395" s="5" t="n">
        <v>3</v>
      </c>
      <c r="C395" s="5" t="inlineStr">
        <is>
          <t>카드</t>
        </is>
      </c>
      <c r="D395" s="5" t="inlineStr">
        <is>
          <t>곽가</t>
        </is>
      </c>
      <c r="E395" s="5" t="n">
        <v>1</v>
      </c>
      <c r="F395" s="5" t="inlineStr">
        <is>
          <t>S</t>
        </is>
      </c>
      <c r="G395" s="5">
        <f>IF(C395="카드",INDEX(비용표!$C$2:$C$7,MATCH(F395,비용표!$B$2:$B$7,0)),F395*INDEX(비용표!$C$8:$C$9,MATCH(C395,비용표!$B$8:$B$9,0)))</f>
        <v/>
      </c>
      <c r="H395" s="5">
        <f>G395*E395</f>
        <v/>
      </c>
      <c r="I395" s="10">
        <f>IF(A395=A394,I394&amp;" · ","")&amp;IF(C395="카드",D395&amp;E395,"["&amp;C395&amp;"] "&amp;D395)</f>
        <v/>
      </c>
    </row>
    <row r="396">
      <c r="A396" s="5" t="n">
        <v>111</v>
      </c>
      <c r="B396" s="5" t="n">
        <v>4</v>
      </c>
      <c r="C396" s="5" t="inlineStr">
        <is>
          <t>카드</t>
        </is>
      </c>
      <c r="D396" s="5" t="inlineStr">
        <is>
          <t>가후</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111</v>
      </c>
      <c r="B397" s="5" t="n">
        <v>5</v>
      </c>
      <c r="C397" s="5" t="inlineStr">
        <is>
          <t>카드</t>
        </is>
      </c>
      <c r="D397" s="5" t="inlineStr">
        <is>
          <t>사마의</t>
        </is>
      </c>
      <c r="E397" s="5" t="n">
        <v>1</v>
      </c>
      <c r="F397" s="5" t="inlineStr">
        <is>
          <t>S</t>
        </is>
      </c>
      <c r="G397" s="5">
        <f>IF(C397="카드",INDEX(비용표!$C$2:$C$7,MATCH(F397,비용표!$B$2:$B$7,0)),F397*INDEX(비용표!$C$8:$C$9,MATCH(C397,비용표!$B$8:$B$9,0)))</f>
        <v/>
      </c>
      <c r="H397" s="5">
        <f>G397*E397</f>
        <v/>
      </c>
      <c r="I397" s="10">
        <f>IF(A397=A396,I396&amp;" · ","")&amp;IF(C397="카드",D397&amp;E397,"["&amp;C397&amp;"] "&amp;D397)</f>
        <v/>
      </c>
    </row>
    <row r="398">
      <c r="A398" s="5" t="n">
        <v>112</v>
      </c>
      <c r="B398" s="5" t="n">
        <v>1</v>
      </c>
      <c r="C398" s="5" t="inlineStr">
        <is>
          <t>카드</t>
        </is>
      </c>
      <c r="D398" s="5" t="inlineStr">
        <is>
          <t>정보</t>
        </is>
      </c>
      <c r="E398" s="5" t="n">
        <v>1</v>
      </c>
      <c r="F398" s="5" t="inlineStr">
        <is>
          <t>A</t>
        </is>
      </c>
      <c r="G398" s="5">
        <f>IF(C398="카드",INDEX(비용표!$C$2:$C$7,MATCH(F398,비용표!$B$2:$B$7,0)),F398*INDEX(비용표!$C$8:$C$9,MATCH(C398,비용표!$B$8:$B$9,0)))</f>
        <v/>
      </c>
      <c r="H398" s="5">
        <f>G398*E398</f>
        <v/>
      </c>
      <c r="I398" s="10">
        <f>IF(A398=A397,I397&amp;" · ","")&amp;IF(C398="카드",D398&amp;E398,"["&amp;C398&amp;"] "&amp;D398)</f>
        <v/>
      </c>
    </row>
    <row r="399">
      <c r="A399" s="5" t="n">
        <v>112</v>
      </c>
      <c r="B399" s="5" t="n">
        <v>2</v>
      </c>
      <c r="C399" s="5" t="inlineStr">
        <is>
          <t>카드</t>
        </is>
      </c>
      <c r="D399" s="5" t="inlineStr">
        <is>
          <t>황개</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112</v>
      </c>
      <c r="B400" s="5" t="n">
        <v>3</v>
      </c>
      <c r="C400" s="5" t="inlineStr">
        <is>
          <t>카드</t>
        </is>
      </c>
      <c r="D400" s="5" t="inlineStr">
        <is>
          <t>주태</t>
        </is>
      </c>
      <c r="E400" s="5" t="n">
        <v>1</v>
      </c>
      <c r="F400" s="5" t="inlineStr">
        <is>
          <t>A</t>
        </is>
      </c>
      <c r="G400" s="5">
        <f>IF(C400="카드",INDEX(비용표!$C$2:$C$7,MATCH(F400,비용표!$B$2:$B$7,0)),F400*INDEX(비용표!$C$8:$C$9,MATCH(C400,비용표!$B$8:$B$9,0)))</f>
        <v/>
      </c>
      <c r="H400" s="5">
        <f>G400*E400</f>
        <v/>
      </c>
      <c r="I400" s="10">
        <f>IF(A400=A399,I399&amp;" · ","")&amp;IF(C400="카드",D400&amp;E400,"["&amp;C400&amp;"] "&amp;D400)</f>
        <v/>
      </c>
    </row>
    <row r="401">
      <c r="A401" s="5" t="n">
        <v>112</v>
      </c>
      <c r="B401" s="5" t="n">
        <v>4</v>
      </c>
      <c r="C401" s="5" t="inlineStr">
        <is>
          <t>카드</t>
        </is>
      </c>
      <c r="D401" s="5" t="inlineStr">
        <is>
          <t>감녕</t>
        </is>
      </c>
      <c r="E401" s="5" t="n">
        <v>1</v>
      </c>
      <c r="F401" s="5" t="inlineStr">
        <is>
          <t>S</t>
        </is>
      </c>
      <c r="G401" s="5">
        <f>IF(C401="카드",INDEX(비용표!$C$2:$C$7,MATCH(F401,비용표!$B$2:$B$7,0)),F401*INDEX(비용표!$C$8:$C$9,MATCH(C401,비용표!$B$8:$B$9,0)))</f>
        <v/>
      </c>
      <c r="H401" s="5">
        <f>G401*E401</f>
        <v/>
      </c>
      <c r="I401" s="10">
        <f>IF(A401=A400,I400&amp;" · ","")&amp;IF(C401="카드",D401&amp;E401,"["&amp;C401&amp;"] "&amp;D401)</f>
        <v/>
      </c>
    </row>
    <row r="402">
      <c r="A402" s="5" t="n">
        <v>112</v>
      </c>
      <c r="B402" s="5" t="n">
        <v>5</v>
      </c>
      <c r="C402" s="5" t="inlineStr">
        <is>
          <t>카드</t>
        </is>
      </c>
      <c r="D402" s="5" t="inlineStr">
        <is>
          <t>능통</t>
        </is>
      </c>
      <c r="E402" s="5" t="n">
        <v>1</v>
      </c>
      <c r="F402" s="5" t="inlineStr">
        <is>
          <t>A</t>
        </is>
      </c>
      <c r="G402" s="5">
        <f>IF(C402="카드",INDEX(비용표!$C$2:$C$7,MATCH(F402,비용표!$B$2:$B$7,0)),F402*INDEX(비용표!$C$8:$C$9,MATCH(C402,비용표!$B$8:$B$9,0)))</f>
        <v/>
      </c>
      <c r="H402" s="5">
        <f>G402*E402</f>
        <v/>
      </c>
      <c r="I402" s="10">
        <f>IF(A402=A401,I401&amp;" · ","")&amp;IF(C402="카드",D402&amp;E402,"["&amp;C402&amp;"] "&amp;D402)</f>
        <v/>
      </c>
    </row>
    <row r="403">
      <c r="A403" s="5" t="n">
        <v>113</v>
      </c>
      <c r="B403" s="5" t="n">
        <v>1</v>
      </c>
      <c r="C403" s="5" t="inlineStr">
        <is>
          <t>카드</t>
        </is>
      </c>
      <c r="D403" s="5" t="inlineStr">
        <is>
          <t>주태</t>
        </is>
      </c>
      <c r="E403" s="5" t="n">
        <v>1</v>
      </c>
      <c r="F403" s="5" t="inlineStr">
        <is>
          <t>A</t>
        </is>
      </c>
      <c r="G403" s="5">
        <f>IF(C403="카드",INDEX(비용표!$C$2:$C$7,MATCH(F403,비용표!$B$2:$B$7,0)),F403*INDEX(비용표!$C$8:$C$9,MATCH(C403,비용표!$B$8:$B$9,0)))</f>
        <v/>
      </c>
      <c r="H403" s="5">
        <f>G403*E403</f>
        <v/>
      </c>
      <c r="I403" s="10">
        <f>IF(A403=A402,I402&amp;" · ","")&amp;IF(C403="카드",D403&amp;E403,"["&amp;C403&amp;"] "&amp;D403)</f>
        <v/>
      </c>
    </row>
    <row r="404">
      <c r="A404" s="5" t="n">
        <v>113</v>
      </c>
      <c r="B404" s="5" t="n">
        <v>2</v>
      </c>
      <c r="C404" s="5" t="inlineStr">
        <is>
          <t>카드</t>
        </is>
      </c>
      <c r="D404" s="5" t="inlineStr">
        <is>
          <t>손권</t>
        </is>
      </c>
      <c r="E404" s="5" t="n">
        <v>1</v>
      </c>
      <c r="F404" s="5" t="inlineStr">
        <is>
          <t>S</t>
        </is>
      </c>
      <c r="G404" s="5">
        <f>IF(C404="카드",INDEX(비용표!$C$2:$C$7,MATCH(F404,비용표!$B$2:$B$7,0)),F404*INDEX(비용표!$C$8:$C$9,MATCH(C404,비용표!$B$8:$B$9,0)))</f>
        <v/>
      </c>
      <c r="H404" s="5">
        <f>G404*E404</f>
        <v/>
      </c>
      <c r="I404" s="10">
        <f>IF(A404=A403,I403&amp;" · ","")&amp;IF(C404="카드",D404&amp;E404,"["&amp;C404&amp;"] "&amp;D404)</f>
        <v/>
      </c>
    </row>
    <row r="405">
      <c r="A405" s="5" t="n">
        <v>114</v>
      </c>
      <c r="B405" s="5" t="n">
        <v>1</v>
      </c>
      <c r="C405" s="5" t="inlineStr">
        <is>
          <t>카드</t>
        </is>
      </c>
      <c r="D405" s="5" t="inlineStr">
        <is>
          <t>하후돈</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row r="406">
      <c r="A406" s="5" t="n">
        <v>114</v>
      </c>
      <c r="B406" s="5" t="n">
        <v>2</v>
      </c>
      <c r="C406" s="5" t="inlineStr">
        <is>
          <t>카드</t>
        </is>
      </c>
      <c r="D406" s="5" t="inlineStr">
        <is>
          <t>하후연</t>
        </is>
      </c>
      <c r="E406" s="5" t="n">
        <v>1</v>
      </c>
      <c r="F406" s="5" t="inlineStr">
        <is>
          <t>A</t>
        </is>
      </c>
      <c r="G406" s="5">
        <f>IF(C406="카드",INDEX(비용표!$C$2:$C$7,MATCH(F406,비용표!$B$2:$B$7,0)),F406*INDEX(비용표!$C$8:$C$9,MATCH(C406,비용표!$B$8:$B$9,0)))</f>
        <v/>
      </c>
      <c r="H406" s="5">
        <f>G406*E406</f>
        <v/>
      </c>
      <c r="I406" s="10">
        <f>IF(A406=A405,I405&amp;" · ","")&amp;IF(C406="카드",D406&amp;E406,"["&amp;C406&amp;"] "&amp;D406)</f>
        <v/>
      </c>
    </row>
    <row r="407">
      <c r="A407" s="5" t="n">
        <v>115</v>
      </c>
      <c r="B407" s="5" t="n">
        <v>1</v>
      </c>
      <c r="C407" s="5" t="inlineStr">
        <is>
          <t>카드</t>
        </is>
      </c>
      <c r="D407" s="5" t="inlineStr">
        <is>
          <t>마량</t>
        </is>
      </c>
      <c r="E407" s="5" t="n">
        <v>1</v>
      </c>
      <c r="F407" s="5" t="inlineStr">
        <is>
          <t>A</t>
        </is>
      </c>
      <c r="G407" s="5">
        <f>IF(C407="카드",INDEX(비용표!$C$2:$C$7,MATCH(F407,비용표!$B$2:$B$7,0)),F407*INDEX(비용표!$C$8:$C$9,MATCH(C407,비용표!$B$8:$B$9,0)))</f>
        <v/>
      </c>
      <c r="H407" s="5">
        <f>G407*E407</f>
        <v/>
      </c>
      <c r="I407" s="10">
        <f>IF(A407=A406,I406&amp;" · ","")&amp;IF(C407="카드",D407&amp;E407,"["&amp;C407&amp;"] "&amp;D407)</f>
        <v/>
      </c>
    </row>
    <row r="408">
      <c r="A408" s="5" t="n">
        <v>115</v>
      </c>
      <c r="B408" s="5" t="n">
        <v>2</v>
      </c>
      <c r="C408" s="5" t="inlineStr">
        <is>
          <t>카드</t>
        </is>
      </c>
      <c r="D408" s="5" t="inlineStr">
        <is>
          <t>마속</t>
        </is>
      </c>
      <c r="E408" s="5" t="n">
        <v>1</v>
      </c>
      <c r="F408" s="5" t="inlineStr">
        <is>
          <t>B</t>
        </is>
      </c>
      <c r="G408" s="5">
        <f>IF(C408="카드",INDEX(비용표!$C$2:$C$7,MATCH(F408,비용표!$B$2:$B$7,0)),F408*INDEX(비용표!$C$8:$C$9,MATCH(C408,비용표!$B$8:$B$9,0)))</f>
        <v/>
      </c>
      <c r="H408" s="5">
        <f>G408*E408</f>
        <v/>
      </c>
      <c r="I408" s="10">
        <f>IF(A408=A407,I407&amp;" · ","")&amp;IF(C408="카드",D408&amp;E408,"["&amp;C408&amp;"] "&amp;D408)</f>
        <v/>
      </c>
    </row>
    <row r="409">
      <c r="A409" s="5" t="n">
        <v>116</v>
      </c>
      <c r="B409" s="5" t="n">
        <v>1</v>
      </c>
      <c r="C409" s="5" t="inlineStr">
        <is>
          <t>카드</t>
        </is>
      </c>
      <c r="D409" s="5" t="inlineStr">
        <is>
          <t>마등</t>
        </is>
      </c>
      <c r="E409" s="5" t="n">
        <v>1</v>
      </c>
      <c r="F409" s="5" t="inlineStr">
        <is>
          <t>A</t>
        </is>
      </c>
      <c r="G409" s="5">
        <f>IF(C409="카드",INDEX(비용표!$C$2:$C$7,MATCH(F409,비용표!$B$2:$B$7,0)),F409*INDEX(비용표!$C$8:$C$9,MATCH(C409,비용표!$B$8:$B$9,0)))</f>
        <v/>
      </c>
      <c r="H409" s="5">
        <f>G409*E409</f>
        <v/>
      </c>
      <c r="I409" s="10">
        <f>IF(A409=A408,I408&amp;" · ","")&amp;IF(C409="카드",D409&amp;E409,"["&amp;C409&amp;"] "&amp;D409)</f>
        <v/>
      </c>
    </row>
    <row r="410">
      <c r="A410" s="5" t="n">
        <v>116</v>
      </c>
      <c r="B410" s="5" t="n">
        <v>2</v>
      </c>
      <c r="C410" s="5" t="inlineStr">
        <is>
          <t>카드</t>
        </is>
      </c>
      <c r="D410" s="5" t="inlineStr">
        <is>
          <t>마초</t>
        </is>
      </c>
      <c r="E410" s="5" t="n">
        <v>1</v>
      </c>
      <c r="F410" s="5" t="inlineStr">
        <is>
          <t>S</t>
        </is>
      </c>
      <c r="G410" s="5">
        <f>IF(C410="카드",INDEX(비용표!$C$2:$C$7,MATCH(F410,비용표!$B$2:$B$7,0)),F410*INDEX(비용표!$C$8:$C$9,MATCH(C410,비용표!$B$8:$B$9,0)))</f>
        <v/>
      </c>
      <c r="H410" s="5">
        <f>G410*E410</f>
        <v/>
      </c>
      <c r="I410" s="10">
        <f>IF(A410=A409,I409&amp;" · ","")&amp;IF(C410="카드",D410&amp;E410,"["&amp;C410&amp;"] "&amp;D410)</f>
        <v/>
      </c>
    </row>
    <row r="411">
      <c r="A411" s="5" t="n">
        <v>116</v>
      </c>
      <c r="B411" s="5" t="n">
        <v>3</v>
      </c>
      <c r="C411" s="5" t="inlineStr">
        <is>
          <t>카드</t>
        </is>
      </c>
      <c r="D411" s="5" t="inlineStr">
        <is>
          <t>마대</t>
        </is>
      </c>
      <c r="E411" s="5" t="n">
        <v>1</v>
      </c>
      <c r="F411" s="5" t="inlineStr">
        <is>
          <t>B</t>
        </is>
      </c>
      <c r="G411" s="5">
        <f>IF(C411="카드",INDEX(비용표!$C$2:$C$7,MATCH(F411,비용표!$B$2:$B$7,0)),F411*INDEX(비용표!$C$8:$C$9,MATCH(C411,비용표!$B$8:$B$9,0)))</f>
        <v/>
      </c>
      <c r="H411" s="5">
        <f>G411*E411</f>
        <v/>
      </c>
      <c r="I411" s="10">
        <f>IF(A411=A410,I410&amp;" · ","")&amp;IF(C411="카드",D411&amp;E411,"["&amp;C411&amp;"] "&amp;D411)</f>
        <v/>
      </c>
    </row>
    <row r="412">
      <c r="A412" s="5" t="n">
        <v>117</v>
      </c>
      <c r="B412" s="5" t="n">
        <v>1</v>
      </c>
      <c r="C412" s="5" t="inlineStr">
        <is>
          <t>카드</t>
        </is>
      </c>
      <c r="D412" s="5" t="inlineStr">
        <is>
          <t>유표</t>
        </is>
      </c>
      <c r="E412" s="5" t="n">
        <v>1</v>
      </c>
      <c r="F412" s="5" t="inlineStr">
        <is>
          <t>B</t>
        </is>
      </c>
      <c r="G412" s="5">
        <f>IF(C412="카드",INDEX(비용표!$C$2:$C$7,MATCH(F412,비용표!$B$2:$B$7,0)),F412*INDEX(비용표!$C$8:$C$9,MATCH(C412,비용표!$B$8:$B$9,0)))</f>
        <v/>
      </c>
      <c r="H412" s="5">
        <f>G412*E412</f>
        <v/>
      </c>
      <c r="I412" s="10">
        <f>IF(A412=A411,I411&amp;" · ","")&amp;IF(C412="카드",D412&amp;E412,"["&amp;C412&amp;"] "&amp;D412)</f>
        <v/>
      </c>
    </row>
    <row r="413">
      <c r="A413" s="5" t="n">
        <v>117</v>
      </c>
      <c r="B413" s="5" t="n">
        <v>2</v>
      </c>
      <c r="C413" s="5" t="inlineStr">
        <is>
          <t>카드</t>
        </is>
      </c>
      <c r="D413" s="5" t="inlineStr">
        <is>
          <t>유기</t>
        </is>
      </c>
      <c r="E413" s="5" t="n">
        <v>1</v>
      </c>
      <c r="F413" s="5" t="inlineStr">
        <is>
          <t>D</t>
        </is>
      </c>
      <c r="G413" s="5">
        <f>IF(C413="카드",INDEX(비용표!$C$2:$C$7,MATCH(F413,비용표!$B$2:$B$7,0)),F413*INDEX(비용표!$C$8:$C$9,MATCH(C413,비용표!$B$8:$B$9,0)))</f>
        <v/>
      </c>
      <c r="H413" s="5">
        <f>G413*E413</f>
        <v/>
      </c>
      <c r="I413" s="10">
        <f>IF(A413=A412,I412&amp;" · ","")&amp;IF(C413="카드",D413&amp;E413,"["&amp;C413&amp;"] "&amp;D413)</f>
        <v/>
      </c>
    </row>
    <row r="414">
      <c r="A414" s="5" t="n">
        <v>117</v>
      </c>
      <c r="B414" s="5" t="n">
        <v>3</v>
      </c>
      <c r="C414" s="5" t="inlineStr">
        <is>
          <t>카드</t>
        </is>
      </c>
      <c r="D414" s="5" t="inlineStr">
        <is>
          <t>유종</t>
        </is>
      </c>
      <c r="E414" s="5" t="n">
        <v>1</v>
      </c>
      <c r="F414" s="5" t="inlineStr">
        <is>
          <t>C</t>
        </is>
      </c>
      <c r="G414" s="5">
        <f>IF(C414="카드",INDEX(비용표!$C$2:$C$7,MATCH(F414,비용표!$B$2:$B$7,0)),F414*INDEX(비용표!$C$8:$C$9,MATCH(C414,비용표!$B$8:$B$9,0)))</f>
        <v/>
      </c>
      <c r="H414" s="5">
        <f>G414*E414</f>
        <v/>
      </c>
      <c r="I414" s="10">
        <f>IF(A414=A413,I413&amp;" · ","")&amp;IF(C414="카드",D414&amp;E414,"["&amp;C414&amp;"] "&amp;D414)</f>
        <v/>
      </c>
    </row>
    <row r="415">
      <c r="A415" s="5" t="n">
        <v>117</v>
      </c>
      <c r="B415" s="5" t="n">
        <v>4</v>
      </c>
      <c r="C415" s="5" t="inlineStr">
        <is>
          <t>카드</t>
        </is>
      </c>
      <c r="D415" s="5" t="inlineStr">
        <is>
          <t>채모</t>
        </is>
      </c>
      <c r="E415" s="5" t="n">
        <v>1</v>
      </c>
      <c r="F415" s="5" t="inlineStr">
        <is>
          <t>B</t>
        </is>
      </c>
      <c r="G415" s="5">
        <f>IF(C415="카드",INDEX(비용표!$C$2:$C$7,MATCH(F415,비용표!$B$2:$B$7,0)),F415*INDEX(비용표!$C$8:$C$9,MATCH(C415,비용표!$B$8:$B$9,0)))</f>
        <v/>
      </c>
      <c r="H415" s="5">
        <f>G415*E415</f>
        <v/>
      </c>
      <c r="I415" s="10">
        <f>IF(A415=A414,I414&amp;" · ","")&amp;IF(C415="카드",D415&amp;E415,"["&amp;C415&amp;"] "&amp;D415)</f>
        <v/>
      </c>
    </row>
    <row r="416">
      <c r="A416" s="5" t="n">
        <v>117</v>
      </c>
      <c r="B416" s="5" t="n">
        <v>5</v>
      </c>
      <c r="C416" s="5" t="inlineStr">
        <is>
          <t>카드</t>
        </is>
      </c>
      <c r="D416" s="5" t="inlineStr">
        <is>
          <t>괴월</t>
        </is>
      </c>
      <c r="E416" s="5" t="n">
        <v>1</v>
      </c>
      <c r="F416" s="5" t="inlineStr">
        <is>
          <t>B</t>
        </is>
      </c>
      <c r="G416" s="5">
        <f>IF(C416="카드",INDEX(비용표!$C$2:$C$7,MATCH(F416,비용표!$B$2:$B$7,0)),F416*INDEX(비용표!$C$8:$C$9,MATCH(C416,비용표!$B$8:$B$9,0)))</f>
        <v/>
      </c>
      <c r="H416" s="5">
        <f>G416*E416</f>
        <v/>
      </c>
      <c r="I416" s="10">
        <f>IF(A416=A415,I415&amp;" · ","")&amp;IF(C416="카드",D416&amp;E416,"["&amp;C416&amp;"] "&amp;D416)</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row r="17">
      <c r="A17" s="11" t="inlineStr">
        <is>
          <t>등급 지정</t>
        </is>
      </c>
      <c r="B17" s="4" t="inlineStr">
        <is>
          <t>등급은 비용 합으로 정하되, 「컬렉션」 시트의 「등급 지정」 칸을 채우면 그 등급을 따른다. 5칸 상한으로 칸을 줄인 23개가 원래 등급을 지키려고 쓴다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2026-10-13T07:45:36Z</dcterms:modified>
  <cp:lastModifiedBy>JoongEun Jung</cp:lastModifiedBy>
</cp:coreProperties>
</file>